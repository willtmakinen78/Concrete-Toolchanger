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243087CC-DA0C-4209-901A-57449877053F}"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Sheet'!$T$38</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4" i="1" l="1"/>
  <c r="G26" i="1"/>
  <c r="G12" i="1"/>
  <c r="G20" i="1"/>
  <c r="G36" i="1" l="1"/>
  <c r="F36" i="1"/>
  <c r="E35" i="1"/>
  <c r="E34" i="1"/>
  <c r="L33" i="1"/>
  <c r="K33" i="1"/>
  <c r="G33" i="1"/>
  <c r="L32" i="1"/>
  <c r="K32" i="1"/>
  <c r="H32" i="1"/>
  <c r="L31" i="1"/>
  <c r="K31" i="1"/>
  <c r="G31" i="1" a="1"/>
  <c r="G31" i="1" s="1"/>
  <c r="L30" i="1"/>
  <c r="K30" i="1"/>
  <c r="H30" i="1"/>
  <c r="F30" i="1"/>
  <c r="E30" i="1"/>
  <c r="D30" i="1"/>
  <c r="E26" i="1"/>
  <c r="L25" i="1"/>
  <c r="K25" i="1"/>
  <c r="H25" i="1"/>
  <c r="L24" i="1"/>
  <c r="K24" i="1"/>
  <c r="G24" i="1" a="1"/>
  <c r="G24" i="1" s="1"/>
  <c r="L23" i="1"/>
  <c r="K23" i="1"/>
  <c r="H23" i="1"/>
  <c r="L22" i="1"/>
  <c r="K22" i="1"/>
  <c r="G22" i="1"/>
  <c r="E22" i="1"/>
  <c r="D22" i="1"/>
  <c r="E21" i="1"/>
  <c r="E20" i="1"/>
  <c r="L19" i="1"/>
  <c r="K19" i="1"/>
  <c r="H19" i="1"/>
  <c r="L18" i="1"/>
  <c r="K18" i="1"/>
  <c r="G18" i="1" a="1"/>
  <c r="G18" i="1" s="1"/>
  <c r="L17" i="1"/>
  <c r="K17" i="1"/>
  <c r="H17" i="1"/>
  <c r="L16" i="1"/>
  <c r="K16" i="1"/>
  <c r="G16" i="1"/>
  <c r="E16" i="1"/>
  <c r="D16" i="1"/>
  <c r="E12" i="1"/>
  <c r="L11" i="1"/>
  <c r="K11" i="1"/>
  <c r="G11" i="1"/>
  <c r="L10" i="1"/>
  <c r="K10" i="1"/>
  <c r="H10" i="1"/>
  <c r="L9" i="1"/>
  <c r="K9" i="1"/>
  <c r="G9" i="1" a="1"/>
  <c r="G9" i="1" s="1"/>
  <c r="L8" i="1"/>
  <c r="K8" i="1"/>
  <c r="H8" i="1"/>
  <c r="E8" i="1"/>
  <c r="D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<sst xmlns="http://schemas.openxmlformats.org/spreadsheetml/2006/main" count="11797" uniqueCount="2406">
  <si>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</si>
  <si>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</si>
  <si>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</si>
  <si>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</si>
  <si>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</si>
  <si>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</si>
  <si>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</si>
  <si>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</si>
  <si>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</si>
  <si>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</si>
  <si>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</si>
  <si>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</si>
  <si>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</si>
  <si>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</si>
  <si>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</si>
  <si>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</si>
  <si>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</si>
  <si>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</si>
  <si>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</si>
  <si>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</si>
  <si>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</si>
  <si>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</si>
  <si>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</si>
  <si>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</si>
  <si>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</si>
  <si>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</si>
  <si>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</si>
  <si>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</si>
  <si>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</si>
  <si>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</si>
  <si>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</si>
  <si>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</si>
  <si>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</si>
  <si>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</si>
  <si>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</si>
  <si>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</si>
  <si>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</si>
  <si>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</si>
  <si>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</si>
  <si>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</si>
  <si>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</si>
  <si>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</si>
  <si>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</si>
  <si>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</si>
  <si>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</si>
  <si>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</si>
  <si>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</si>
  <si>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</si>
  <si>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</si>
  <si>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</si>
  <si>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</si>
  <si>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</si>
  <si>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</si>
  <si>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</si>
  <si>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</si>
  <si>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</si>
  <si>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</si>
  <si>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</si>
  <si>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</si>
  <si>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</si>
  <si>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</si>
  <si>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</si>
  <si>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</si>
  <si>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</si>
  <si>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</si>
  <si>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</si>
  <si>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</si>
  <si>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</si>
  <si>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</si>
  <si>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</si>
  <si>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</si>
  <si>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</si>
  <si>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</si>
  <si>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</si>
  <si>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</si>
  <si>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</si>
  <si>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</si>
  <si>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</si>
  <si>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</si>
  <si>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</si>
  <si>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</si>
  <si>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</si>
  <si>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</si>
  <si>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</si>
  <si>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</si>
  <si>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</si>
  <si>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</si>
  <si>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</si>
  <si>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</si>
  <si>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</si>
  <si>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</si>
  <si>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</si>
  <si>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</si>
  <si>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</si>
  <si>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</si>
  <si>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</si>
  <si>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</si>
  <si>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</si>
  <si>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</si>
  <si>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</si>
  <si>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</si>
  <si>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</si>
  <si>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</si>
  <si>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</si>
  <si>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</si>
  <si>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</si>
  <si>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</si>
  <si>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</si>
  <si>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</si>
  <si>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</si>
  <si>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</si>
  <si>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</si>
  <si>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</si>
  <si>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</si>
  <si>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</si>
  <si>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</si>
  <si>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</si>
  <si>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</si>
  <si>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</si>
  <si>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</si>
  <si>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</si>
  <si>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</si>
  <si>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</si>
  <si>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</si>
  <si>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</si>
  <si>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</si>
  <si>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</si>
  <si>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</si>
  <si>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</si>
  <si>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</si>
  <si>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</si>
  <si>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</si>
  <si>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</si>
  <si>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</si>
  <si>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</si>
  <si>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</si>
  <si>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</si>
  <si>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</si>
  <si>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</si>
  <si>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</si>
  <si>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</si>
  <si>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</si>
  <si>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</si>
  <si>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</si>
  <si>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</si>
  <si>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</si>
  <si>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</si>
  <si>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</si>
  <si>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</si>
  <si>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</si>
  <si>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</si>
  <si>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</si>
  <si>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</si>
  <si>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</si>
  <si>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</si>
  <si>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</si>
  <si>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</si>
  <si>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</si>
  <si>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</si>
  <si>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</si>
  <si>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</si>
  <si>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</si>
  <si>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</si>
  <si>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</si>
  <si>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</si>
  <si>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</si>
  <si>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</si>
  <si>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</si>
  <si>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</si>
  <si>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</si>
  <si>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</si>
  <si>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</si>
  <si>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</si>
  <si>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</si>
  <si>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</si>
  <si>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</si>
  <si>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</si>
  <si>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</si>
  <si>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</si>
  <si>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</si>
  <si>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</si>
  <si>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</si>
  <si>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</si>
  <si>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</si>
  <si>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</si>
  <si>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</si>
  <si>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</si>
  <si>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</si>
  <si>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</si>
  <si>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</si>
  <si>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</si>
  <si>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</si>
  <si>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</si>
  <si>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</si>
  <si>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</si>
  <si>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</si>
  <si>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</si>
  <si>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</si>
  <si>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</si>
  <si>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</si>
  <si>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</si>
  <si>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</si>
  <si>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</si>
  <si>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</si>
  <si>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</si>
  <si>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</si>
  <si>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</si>
  <si>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</si>
  <si>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</si>
  <si>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</si>
  <si>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</si>
  <si>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</si>
  <si>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</si>
  <si>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</si>
  <si>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</si>
  <si>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</si>
  <si>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</si>
  <si>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</si>
  <si>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</si>
  <si>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</si>
  <si>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</si>
  <si>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</si>
  <si>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</si>
  <si>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</si>
  <si>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</si>
  <si>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</si>
  <si>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</si>
  <si>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</si>
  <si>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</si>
  <si>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</si>
  <si>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</si>
  <si>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</si>
  <si>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</si>
  <si>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</si>
  <si>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</si>
  <si>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</si>
  <si>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</si>
  <si>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</si>
  <si>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</si>
  <si>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</si>
  <si>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</si>
  <si>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</si>
  <si>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</si>
  <si>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</si>
  <si>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</si>
  <si>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</si>
  <si>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</si>
  <si>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</si>
  <si>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</si>
  <si>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</si>
  <si>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</si>
  <si>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</si>
  <si>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</si>
  <si>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</si>
  <si>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</si>
  <si>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</si>
  <si>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</si>
  <si>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</si>
  <si>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</si>
  <si>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</si>
  <si>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</si>
  <si>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</si>
  <si>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</si>
  <si>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</si>
  <si>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</si>
  <si>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</si>
  <si>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</si>
  <si>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</si>
  <si>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</si>
  <si>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</si>
  <si>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</si>
  <si>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</si>
  <si>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</si>
  <si>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</si>
  <si>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</si>
  <si>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</si>
  <si>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</si>
  <si>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</si>
  <si>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</si>
  <si>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</si>
  <si>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</si>
  <si>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</si>
  <si>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</si>
  <si>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</si>
  <si>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</si>
  <si>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</si>
  <si>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</si>
  <si>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</si>
  <si>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</si>
  <si>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</si>
  <si>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</si>
  <si>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</si>
  <si>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</si>
  <si>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</si>
  <si>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</si>
  <si>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</si>
  <si>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</si>
  <si>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</si>
  <si>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</si>
  <si>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</si>
  <si>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</si>
  <si>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</si>
  <si>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</si>
  <si>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</si>
  <si>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</si>
  <si>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</si>
  <si>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</si>
  <si>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</si>
  <si>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</si>
  <si>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</si>
  <si>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</si>
  <si>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</si>
  <si>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</si>
  <si>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</si>
  <si>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</si>
  <si>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</si>
  <si>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</si>
  <si>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</si>
  <si>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</si>
  <si>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</si>
  <si>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</si>
  <si>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</si>
  <si>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</si>
  <si>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</si>
  <si>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</si>
  <si>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</si>
  <si>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</si>
  <si>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</si>
  <si>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</si>
  <si>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</si>
  <si>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</si>
  <si>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</si>
  <si>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</si>
  <si>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</si>
  <si>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</si>
  <si>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</si>
  <si>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</si>
  <si>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</si>
  <si>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</si>
  <si>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</si>
  <si>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</si>
  <si>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</si>
  <si>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</si>
  <si>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</si>
  <si>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</si>
  <si>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</si>
  <si>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</si>
  <si>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</si>
  <si>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</si>
  <si>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</si>
  <si>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</si>
  <si>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</si>
  <si>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</si>
  <si>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</si>
  <si>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</si>
  <si>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</si>
  <si>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</si>
  <si>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</si>
  <si>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</si>
  <si>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</si>
  <si>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</si>
  <si>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</si>
  <si>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</si>
  <si>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</si>
  <si>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</si>
  <si>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</si>
  <si>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</si>
  <si>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</si>
  <si>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</si>
  <si>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</si>
  <si>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</si>
  <si>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</si>
  <si>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</si>
  <si>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</si>
  <si>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</si>
  <si>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</si>
  <si>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</si>
  <si>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</si>
  <si>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</si>
  <si>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</si>
  <si>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</si>
  <si>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</si>
  <si>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</si>
  <si>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</si>
  <si>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</si>
  <si>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</si>
  <si>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</si>
  <si>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</si>
  <si>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</si>
  <si>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</si>
  <si>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</si>
  <si>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</si>
  <si>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</si>
  <si>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</si>
  <si>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</si>
  <si>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</si>
  <si>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</si>
  <si>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</si>
  <si>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</si>
  <si>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</si>
  <si>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</si>
  <si>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</si>
  <si>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</si>
  <si>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</si>
  <si>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</si>
  <si>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</si>
  <si>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</si>
  <si>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</si>
  <si>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</si>
  <si>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</si>
  <si>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</si>
  <si>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</si>
  <si>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</si>
  <si>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</si>
  <si>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</si>
  <si>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</si>
  <si>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</si>
  <si>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</si>
  <si>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</si>
  <si>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</si>
  <si>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</si>
  <si>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</si>
  <si>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</si>
  <si>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</si>
  <si>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</si>
  <si>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</si>
  <si>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</si>
  <si>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</si>
  <si>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</si>
  <si>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</si>
  <si>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</si>
  <si>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</si>
  <si>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</si>
  <si>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</si>
  <si>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</si>
  <si>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</si>
  <si>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</si>
  <si>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</si>
  <si>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</si>
  <si>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</si>
  <si>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</si>
  <si>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</si>
  <si>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</si>
  <si>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</si>
  <si>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</si>
  <si>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</si>
  <si>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</si>
  <si>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</si>
  <si>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</si>
  <si>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</si>
  <si>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</si>
  <si>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</si>
  <si>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</si>
  <si>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</si>
  <si>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</si>
  <si>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</si>
  <si>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</si>
  <si>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</si>
  <si>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</si>
  <si>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</si>
  <si>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</si>
  <si>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</si>
  <si>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</si>
  <si>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</si>
  <si>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</si>
  <si>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</si>
  <si>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</si>
  <si>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</si>
  <si>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</si>
  <si>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</si>
  <si>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</si>
  <si>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</si>
  <si>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</si>
  <si>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</si>
  <si>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</si>
  <si>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</si>
  <si>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</si>
  <si>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</si>
  <si>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</si>
  <si>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</si>
  <si>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</si>
  <si>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</si>
  <si>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</si>
  <si>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</si>
  <si>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</si>
  <si>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</si>
  <si>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</si>
  <si>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</si>
  <si>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</si>
  <si>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</si>
  <si>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</si>
  <si>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</si>
  <si>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</si>
  <si>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</si>
  <si>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</si>
  <si>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</si>
  <si>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</si>
  <si>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</si>
  <si>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</si>
  <si>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</si>
  <si>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</si>
  <si>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</si>
  <si>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</si>
  <si>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</si>
  <si>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</si>
  <si>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</si>
  <si>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</si>
  <si>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</si>
  <si>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</si>
  <si>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</si>
  <si>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</si>
  <si>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</si>
  <si>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</si>
  <si>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</si>
  <si>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</si>
  <si>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</si>
  <si>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</si>
  <si>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</si>
  <si>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</si>
  <si>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</si>
  <si>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</si>
  <si>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</si>
  <si>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</si>
  <si>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</si>
  <si>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</si>
  <si>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</si>
  <si>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</si>
  <si>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</si>
  <si>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</si>
  <si>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</si>
  <si>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</si>
  <si>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</si>
  <si>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</si>
  <si>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</si>
  <si>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</si>
  <si>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</si>
  <si>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</si>
  <si>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</si>
  <si>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</si>
  <si>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</si>
  <si>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</si>
  <si>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</si>
  <si>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</si>
  <si>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</si>
  <si>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</si>
  <si>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</si>
  <si>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</si>
  <si>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</si>
  <si>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</si>
  <si>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</si>
  <si>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</si>
  <si>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</si>
  <si>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</si>
  <si>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</si>
  <si>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</si>
  <si>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</si>
  <si>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</si>
  <si>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</si>
  <si>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</si>
  <si>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</si>
  <si>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</si>
  <si>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</si>
  <si>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</si>
  <si>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</si>
  <si>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</si>
  <si>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</si>
  <si>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</si>
  <si>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</si>
  <si>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</si>
  <si>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</si>
  <si>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</si>
  <si>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</si>
  <si>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</si>
  <si>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</si>
  <si>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</si>
  <si>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</si>
  <si>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</si>
  <si>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</si>
  <si>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</si>
  <si>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</si>
  <si>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</si>
  <si>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</si>
  <si>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</si>
  <si>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</si>
  <si>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</si>
  <si>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</si>
  <si>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</si>
  <si>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</si>
  <si>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</si>
  <si>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</si>
  <si>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</si>
  <si>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</si>
  <si>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</si>
  <si>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</si>
  <si>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</si>
  <si>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</si>
  <si>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</si>
  <si>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</si>
  <si>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</si>
  <si>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</si>
  <si>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</si>
  <si>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</si>
  <si>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</si>
  <si>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</si>
  <si>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</si>
  <si>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</si>
  <si>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</si>
  <si>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</si>
  <si>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</si>
  <si>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</si>
  <si>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</si>
  <si>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</si>
  <si>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</si>
  <si>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</si>
  <si>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</si>
  <si>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</si>
  <si>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</si>
  <si>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</si>
  <si>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</si>
  <si>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</si>
  <si>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</si>
  <si>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</si>
  <si>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</si>
  <si>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</si>
  <si>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</si>
  <si>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</si>
  <si>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</si>
  <si>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</si>
  <si>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</si>
  <si>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</si>
  <si>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</si>
  <si>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</si>
  <si>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</si>
  <si>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</si>
  <si>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</si>
  <si>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</si>
  <si>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</si>
  <si>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</si>
  <si>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</si>
  <si>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</si>
  <si>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</si>
  <si>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</si>
  <si>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</si>
  <si>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</si>
  <si>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</si>
  <si>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</si>
  <si>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</si>
  <si>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</si>
  <si>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</si>
  <si>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</si>
  <si>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</si>
  <si>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</si>
  <si>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</si>
  <si>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</si>
  <si>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</si>
  <si>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</si>
  <si>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</si>
  <si>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</si>
  <si>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</si>
  <si>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</si>
  <si>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</si>
  <si>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</si>
  <si>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</si>
  <si>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</si>
  <si>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</si>
  <si>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</si>
  <si>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</si>
  <si>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</si>
  <si>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</si>
  <si>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</si>
  <si>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</si>
  <si>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</si>
  <si>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</si>
  <si>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</si>
  <si>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</si>
  <si>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</si>
  <si>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</si>
  <si>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LineFeat5</t>
  </si>
  <si>
    <t>7</t>
  </si>
  <si>
    <t>LineFeat6</t>
  </si>
  <si>
    <t>8</t>
  </si>
  <si>
    <t>LineFeat7</t>
  </si>
  <si>
    <t>9</t>
  </si>
  <si>
    <t>LineFeat8</t>
  </si>
  <si>
    <t>CartesianRepFeat1 of LineFeat2</t>
  </si>
  <si>
    <t>CartesianRepFeat1 of LineFeat3</t>
  </si>
  <si>
    <t>CartesianRepFeat1 of LineFeat4</t>
  </si>
  <si>
    <t>10</t>
  </si>
  <si>
    <t>11</t>
  </si>
  <si>
    <t>LineFeat9</t>
  </si>
  <si>
    <t>12</t>
  </si>
  <si>
    <t>LineFeat10</t>
  </si>
  <si>
    <t>13.1-9</t>
  </si>
  <si>
    <t>CartesianRepFeat2 of LineFeat7</t>
  </si>
  <si>
    <t>13.1-10</t>
  </si>
  <si>
    <t>CartesianRepFeat2 of LineFeat8</t>
  </si>
  <si>
    <t>13.1-11</t>
  </si>
  <si>
    <t>13.1-12</t>
  </si>
  <si>
    <t>13.2-9</t>
  </si>
  <si>
    <t>13.2-10</t>
  </si>
  <si>
    <t>13.2-11</t>
  </si>
  <si>
    <t>13.2-12</t>
  </si>
  <si>
    <t>13.3-9</t>
  </si>
  <si>
    <t>13.3-10</t>
  </si>
  <si>
    <t>13.3-11</t>
  </si>
  <si>
    <t>13.3-12</t>
  </si>
  <si>
    <t>13.4-9</t>
  </si>
  <si>
    <t>13.4-10</t>
  </si>
  <si>
    <t>13.4-11</t>
  </si>
  <si>
    <t>13.4-12</t>
  </si>
  <si>
    <t>13.5-9</t>
  </si>
  <si>
    <t>13.5-10</t>
  </si>
  <si>
    <t>13.5-11</t>
  </si>
  <si>
    <t>13.5-12</t>
  </si>
  <si>
    <t>13.6-9</t>
  </si>
  <si>
    <t>13.6-10</t>
  </si>
  <si>
    <t>13.6-11</t>
  </si>
  <si>
    <t>13.6-12</t>
  </si>
  <si>
    <t>13.7-9</t>
  </si>
  <si>
    <t>13.7-10</t>
  </si>
  <si>
    <t>13.7-11</t>
  </si>
  <si>
    <t>13.7-12</t>
  </si>
  <si>
    <t>RetractionFeat1</t>
  </si>
  <si>
    <t>CustomGCODEFeat1</t>
  </si>
  <si>
    <t>14</t>
  </si>
  <si>
    <t>G0 F10000.0 Z7.75</t>
  </si>
  <si>
    <t>CartesianRepFeat1 of LineFeat1</t>
  </si>
  <si>
    <t>CustomGCODEFeat2</t>
  </si>
  <si>
    <t>15</t>
  </si>
  <si>
    <t>CartesianRepFeat2 of LineFeat6</t>
  </si>
  <si>
    <t>17</t>
  </si>
  <si>
    <t>RetractionFeat2</t>
  </si>
  <si>
    <t>19.1-17</t>
  </si>
  <si>
    <t>G0 F10000.0 Z4.15</t>
  </si>
  <si>
    <t>CustomGCODEFeat3</t>
  </si>
  <si>
    <t>20</t>
  </si>
  <si>
    <t>LineFeat11</t>
  </si>
  <si>
    <t>21</t>
  </si>
  <si>
    <t>LineFeat12</t>
  </si>
  <si>
    <t>22</t>
  </si>
  <si>
    <t>LineFeat13</t>
  </si>
  <si>
    <t>23</t>
  </si>
  <si>
    <t>LineFeat14</t>
  </si>
  <si>
    <t>24</t>
  </si>
  <si>
    <t>LineFeat15</t>
  </si>
  <si>
    <t>26</t>
  </si>
  <si>
    <t>CustomGCODEFeat4</t>
  </si>
  <si>
    <t>28</t>
  </si>
  <si>
    <t>LineFeat16</t>
  </si>
  <si>
    <t>CartesianRepFeat5 of CustomGCODEFeat1</t>
  </si>
  <si>
    <t>CartesianRepFeat5 of CartesianRepFeat1 of LineFeat2</t>
  </si>
  <si>
    <t>CartesianRepFeat5 of CartesianRepFeat1 of LineFeat3</t>
  </si>
  <si>
    <t>CartesianRepFeat5 of CartesianRepFeat1 of LineFeat4</t>
  </si>
  <si>
    <t>CartesianRepFeat5 of RetractionFeat1</t>
  </si>
  <si>
    <t>CartesianRepFeat5 of CustomGCODEFeat2</t>
  </si>
  <si>
    <t>CartesianRepFeat5 of CartesianRepFeat2 of LineFeat7</t>
  </si>
  <si>
    <t>CartesianRepFeat5 of CartesianRepFeat2 of LineFeat8</t>
  </si>
  <si>
    <t>CartesianRepFeat5 of RetractionFeat2</t>
  </si>
  <si>
    <t>CartesianRepFeat5 of CustomGCODEFeat3</t>
  </si>
  <si>
    <t>CartesianRepFeat5 of CustomGCODEFeat4</t>
  </si>
  <si>
    <t>CartesianRepFeat3 of LineFeat12</t>
  </si>
  <si>
    <t>CartesianRepFeat5 of CartesianRepFeat3 of LineFeat12</t>
  </si>
  <si>
    <t>SKIP_Custom GCODE</t>
  </si>
  <si>
    <t>CustomGCODEFeat5</t>
  </si>
  <si>
    <t>CartesianRepFeat5 of CustomGCODEFeat5</t>
  </si>
  <si>
    <t>13-16</t>
  </si>
  <si>
    <t>4-7</t>
  </si>
  <si>
    <t>23-26</t>
  </si>
  <si>
    <t>16</t>
  </si>
  <si>
    <t>18</t>
  </si>
  <si>
    <t>25</t>
  </si>
  <si>
    <t>CustomGCODEFeat6</t>
  </si>
  <si>
    <t>27.1-23</t>
  </si>
  <si>
    <t>27.1-24</t>
  </si>
  <si>
    <t>27.1-25</t>
  </si>
  <si>
    <t>27.1-26</t>
  </si>
  <si>
    <t>27.2-23</t>
  </si>
  <si>
    <t>27.2-24</t>
  </si>
  <si>
    <t>27.2-25</t>
  </si>
  <si>
    <t>27.2-26</t>
  </si>
  <si>
    <t>27.3-23</t>
  </si>
  <si>
    <t>27.3-24</t>
  </si>
  <si>
    <t>27.3-25</t>
  </si>
  <si>
    <t>27.3-26</t>
  </si>
  <si>
    <t>27.4-23</t>
  </si>
  <si>
    <t>27.4-24</t>
  </si>
  <si>
    <t>27.4-25</t>
  </si>
  <si>
    <t>27.4-26</t>
  </si>
  <si>
    <t>27.5-23</t>
  </si>
  <si>
    <t>27.5-24</t>
  </si>
  <si>
    <t>27.5-25</t>
  </si>
  <si>
    <t>27.5-26</t>
  </si>
  <si>
    <t>27.6-23</t>
  </si>
  <si>
    <t>27.6-24</t>
  </si>
  <si>
    <t>27.6-25</t>
  </si>
  <si>
    <t>27.6-26</t>
  </si>
  <si>
    <t>27.7-23</t>
  </si>
  <si>
    <t>27.7-24</t>
  </si>
  <si>
    <t>27.7-25</t>
  </si>
  <si>
    <t>27.7-26</t>
  </si>
  <si>
    <t>Interlaced_Lines_Alternating</t>
  </si>
  <si>
    <t>Save time: 11/15/2021 8:33:46 PM</t>
  </si>
  <si>
    <t>Interlaced_Lines</t>
  </si>
  <si>
    <t>CartesianRepFeat3 of LineFeat9</t>
  </si>
  <si>
    <t>CartesianRepFeat3 of LineFeat10</t>
  </si>
  <si>
    <t>CartesianRepFeat5 of CartesianRepFeat3 of LineFeat9</t>
  </si>
  <si>
    <t>CartesianRepFeat5 of CartesianRepFeat3 of LineFeat10</t>
  </si>
  <si>
    <t>Save time: 11/15/2021 8:42:35 PM</t>
  </si>
  <si>
    <t>ExtrusionWidth</t>
  </si>
  <si>
    <t>ExtrusionHeight</t>
  </si>
  <si>
    <t>20-23</t>
  </si>
  <si>
    <t>M98 P"parkprep.g"</t>
  </si>
  <si>
    <t>CartesianRepFeat4 of LineFeat16</t>
  </si>
  <si>
    <t>CartesianRepFeat5 of CustomGCODEFeat6</t>
  </si>
  <si>
    <t>CartesianRepFeat5 of CartesianRepFeat4 of LineFeat16</t>
  </si>
  <si>
    <t>G0 F10000.0 Z2.35</t>
  </si>
  <si>
    <t>G0 F10000.0 Z5.95</t>
  </si>
  <si>
    <t>29-32</t>
  </si>
  <si>
    <t>CartesianRepFeat2 of LineFeat5</t>
  </si>
  <si>
    <t>CartesianRepFeat3 of LineFeat11</t>
  </si>
  <si>
    <t>CartesianRepFeat4 of LineFeat13</t>
  </si>
  <si>
    <t>CartesianRepFeat4 of LineFeat14</t>
  </si>
  <si>
    <t>CartesianRepFeat4 of LineFeat15</t>
  </si>
  <si>
    <t>CartesianRepFeat5 of CartesianRepFeat1 of LineFeat1</t>
  </si>
  <si>
    <t>CartesianRepFeat5 of CartesianRepFeat2 of LineFeat5</t>
  </si>
  <si>
    <t>CartesianRepFeat5 of CartesianRepFeat2 of LineFeat6</t>
  </si>
  <si>
    <t>CartesianRepFeat5 of CartesianRepFeat3 of LineFeat11</t>
  </si>
  <si>
    <t>CartesianRepFeat5 of CartesianRepFeat4 of LineFeat13</t>
  </si>
  <si>
    <t>CartesianRepFeat5 of CartesianRepFeat4 of LineFeat14</t>
  </si>
  <si>
    <t>CartesianRepFeat5 of CartesianRepFeat4 of LineFeat15</t>
  </si>
  <si>
    <t>8,9,10,11,17,18,24,25,26,27,33,34</t>
  </si>
  <si>
    <t>G0 F10000.0 Z1.4501</t>
  </si>
  <si>
    <t>G0 F10000.0 Z3.2501</t>
  </si>
  <si>
    <t>G0 F10000.0 Z5.0501</t>
  </si>
  <si>
    <t>G0 F10000.0 Z6.8501</t>
  </si>
  <si>
    <t>G0 F10000.0 Z8.6501</t>
  </si>
  <si>
    <t>G0 F10000.0 Z9.55</t>
  </si>
  <si>
    <t>G0 F10000.0 Z10.4501</t>
  </si>
  <si>
    <t>G0 F10000.0 Z11.35</t>
  </si>
  <si>
    <t>G0 F10000.0 Z12.2501</t>
  </si>
  <si>
    <t>G0 F10000.0 Z13.15</t>
  </si>
  <si>
    <t>G0 F10000.0 Z14.0501</t>
  </si>
  <si>
    <t>G0 F10000.0 Z14.95</t>
  </si>
  <si>
    <t>G0 F10000.0 Z15.8501</t>
  </si>
  <si>
    <t>G0 F10000.0 Z16.75</t>
  </si>
  <si>
    <t>G1 F2100.0 E-1.25</t>
  </si>
  <si>
    <t>Length</t>
  </si>
  <si>
    <t>Interlaced_Lines_1</t>
  </si>
  <si>
    <t>Save time: 11/16/2021 12:36:47 AM</t>
  </si>
  <si>
    <t>Interlaced_Lines_Alternate_1</t>
  </si>
  <si>
    <t>Save time: 11/16/2021 12:42:00 AM</t>
  </si>
  <si>
    <t>RecycleBinSave at 11/16/2021 4:58:26 PM</t>
  </si>
  <si>
    <t>Save time: 11/16/2021 4:58:27 PM</t>
  </si>
  <si>
    <t>G1 F1275 Y79.05 E1.509353</t>
  </si>
  <si>
    <t>G1 Y80.4 E0.503118</t>
  </si>
  <si>
    <t>G1 Y84.45 E1.509353</t>
  </si>
  <si>
    <t>G1 Y85.8 E0.503118</t>
  </si>
  <si>
    <t>G1 Y89.85 E1.509353</t>
  </si>
  <si>
    <t>G1 Y91.2 E0.503118</t>
  </si>
  <si>
    <t>G1 Y95.25 E1.509353</t>
  </si>
  <si>
    <t>G1 Y96.6 E0.503118</t>
  </si>
  <si>
    <t>G1 Y100.65 E1.509353</t>
  </si>
  <si>
    <t>G1 Y102.0 E0.503118</t>
  </si>
  <si>
    <t>G1 Y106.05 E1.509353</t>
  </si>
  <si>
    <t>G1 Y107.4 E0.503118</t>
  </si>
  <si>
    <t>G1 Y111.45 E1.509353</t>
  </si>
  <si>
    <t>G1 Y112.8 E0.503118</t>
  </si>
  <si>
    <t>G1 Y116.85 E1.509353</t>
  </si>
  <si>
    <t>G1 Y118.2 E0.503118</t>
  </si>
  <si>
    <t>5.1-4</t>
  </si>
  <si>
    <t>5.2-4</t>
  </si>
  <si>
    <t>5.3-4</t>
  </si>
  <si>
    <t>5.4-4</t>
  </si>
  <si>
    <t>5.5-4</t>
  </si>
  <si>
    <t>5.6-4</t>
  </si>
  <si>
    <t>5.7-4</t>
  </si>
  <si>
    <t>G1 Y77.7 E0.606166</t>
  </si>
  <si>
    <t>G1 Y81.75 E1.818498</t>
  </si>
  <si>
    <t>G0 F48000 Y76.35 Z1.45</t>
  </si>
  <si>
    <t>G1 F1500 Y79.05 E1.818498</t>
  </si>
  <si>
    <t>G1 Y80.4 E0.606166</t>
  </si>
  <si>
    <t>29.1-5.1-4</t>
  </si>
  <si>
    <t>29.1-5.2-4</t>
  </si>
  <si>
    <t>29.1-5.3-4</t>
  </si>
  <si>
    <t>29.1-5.4-4</t>
  </si>
  <si>
    <t>29.1-5.5-4</t>
  </si>
  <si>
    <t>29.1-5.6-4</t>
  </si>
  <si>
    <t>29.1-5.7-4</t>
  </si>
  <si>
    <t>29.1-6</t>
  </si>
  <si>
    <t>29.1-7</t>
  </si>
  <si>
    <t>29.1-8</t>
  </si>
  <si>
    <t>29.1-14</t>
  </si>
  <si>
    <t>29.1-20</t>
  </si>
  <si>
    <t>29.1-21</t>
  </si>
  <si>
    <t>29.1-22</t>
  </si>
  <si>
    <t>29.1-28</t>
  </si>
  <si>
    <t>29.2-5.1-4</t>
  </si>
  <si>
    <t>29.2-5.2-4</t>
  </si>
  <si>
    <t>29.2-5.3-4</t>
  </si>
  <si>
    <t>29.2-5.4-4</t>
  </si>
  <si>
    <t>29.2-5.5-4</t>
  </si>
  <si>
    <t>29.2-5.6-4</t>
  </si>
  <si>
    <t>29.2-5.7-4</t>
  </si>
  <si>
    <t>29.2-6</t>
  </si>
  <si>
    <t>29.2-7</t>
  </si>
  <si>
    <t>29.2-8</t>
  </si>
  <si>
    <t>29.2-14</t>
  </si>
  <si>
    <t>29.2-20</t>
  </si>
  <si>
    <t>29.2-21</t>
  </si>
  <si>
    <t>29.2-22</t>
  </si>
  <si>
    <t>29.2-28</t>
  </si>
  <si>
    <t>29.3-5.1-4</t>
  </si>
  <si>
    <t>29.3-5.2-4</t>
  </si>
  <si>
    <t>29.3-5.3-4</t>
  </si>
  <si>
    <t>29.3-5.4-4</t>
  </si>
  <si>
    <t>29.3-5.5-4</t>
  </si>
  <si>
    <t>29.3-5.6-4</t>
  </si>
  <si>
    <t>29.3-5.7-4</t>
  </si>
  <si>
    <t>29.3-6</t>
  </si>
  <si>
    <t>29.3-7</t>
  </si>
  <si>
    <t>29.3-8</t>
  </si>
  <si>
    <t>29.3-14</t>
  </si>
  <si>
    <t>29.3-20</t>
  </si>
  <si>
    <t>29.3-21</t>
  </si>
  <si>
    <t>29.3-22</t>
  </si>
  <si>
    <t>29.3-28</t>
  </si>
  <si>
    <t>29.4-5.1-4</t>
  </si>
  <si>
    <t>29.4-5.2-4</t>
  </si>
  <si>
    <t>29.4-5.3-4</t>
  </si>
  <si>
    <t>29.4-5.4-4</t>
  </si>
  <si>
    <t>29.4-5.5-4</t>
  </si>
  <si>
    <t>29.4-5.6-4</t>
  </si>
  <si>
    <t>29.4-5.7-4</t>
  </si>
  <si>
    <t>29.4-6</t>
  </si>
  <si>
    <t>29.4-7</t>
  </si>
  <si>
    <t>29.4-8</t>
  </si>
  <si>
    <t>29.4-14</t>
  </si>
  <si>
    <t>29.4-20</t>
  </si>
  <si>
    <t>29.4-21</t>
  </si>
  <si>
    <t>29.4-22</t>
  </si>
  <si>
    <t>29.4-28</t>
  </si>
  <si>
    <t>29.5-5.1-4</t>
  </si>
  <si>
    <t>29.5-5.2-4</t>
  </si>
  <si>
    <t>29.5-5.3-4</t>
  </si>
  <si>
    <t>29.5-5.4-4</t>
  </si>
  <si>
    <t>29.5-5.5-4</t>
  </si>
  <si>
    <t>29.5-5.6-4</t>
  </si>
  <si>
    <t>29.5-5.7-4</t>
  </si>
  <si>
    <t>29.5-6</t>
  </si>
  <si>
    <t>29.5-7</t>
  </si>
  <si>
    <t>29.5-8</t>
  </si>
  <si>
    <t>29.5-14</t>
  </si>
  <si>
    <t>29.5-20</t>
  </si>
  <si>
    <t>29.5-21</t>
  </si>
  <si>
    <t>29.5-22</t>
  </si>
  <si>
    <t>29.5-28</t>
  </si>
  <si>
    <t>29.6-5.1-4</t>
  </si>
  <si>
    <t>29.6-5.2-4</t>
  </si>
  <si>
    <t>29.6-5.3-4</t>
  </si>
  <si>
    <t>29.6-5.4-4</t>
  </si>
  <si>
    <t>29.6-5.5-4</t>
  </si>
  <si>
    <t>29.6-5.6-4</t>
  </si>
  <si>
    <t>29.6-5.7-4</t>
  </si>
  <si>
    <t>29.6-6</t>
  </si>
  <si>
    <t>29.6-7</t>
  </si>
  <si>
    <t>29.6-8</t>
  </si>
  <si>
    <t>29.6-14</t>
  </si>
  <si>
    <t>29.6-20</t>
  </si>
  <si>
    <t>29.6-21</t>
  </si>
  <si>
    <t>29.6-22</t>
  </si>
  <si>
    <t>29.6-28</t>
  </si>
  <si>
    <t>29.7-5.1-4</t>
  </si>
  <si>
    <t>29.7-5.2-4</t>
  </si>
  <si>
    <t>29.7-5.3-4</t>
  </si>
  <si>
    <t>29.7-5.4-4</t>
  </si>
  <si>
    <t>29.7-5.5-4</t>
  </si>
  <si>
    <t>29.7-5.6-4</t>
  </si>
  <si>
    <t>29.7-5.7-4</t>
  </si>
  <si>
    <t>29.7-6</t>
  </si>
  <si>
    <t>29.7-7</t>
  </si>
  <si>
    <t>29.7-8</t>
  </si>
  <si>
    <t>29.7-14</t>
  </si>
  <si>
    <t>29.7-20</t>
  </si>
  <si>
    <t>29.7-21</t>
  </si>
  <si>
    <t>29.7-22</t>
  </si>
  <si>
    <t>29.7-28</t>
  </si>
  <si>
    <t>29.8-5.1-4</t>
  </si>
  <si>
    <t>29.8-5.2-4</t>
  </si>
  <si>
    <t>29.8-5.3-4</t>
  </si>
  <si>
    <t>29.8-5.4-4</t>
  </si>
  <si>
    <t>29.8-5.5-4</t>
  </si>
  <si>
    <t>29.8-5.6-4</t>
  </si>
  <si>
    <t>29.8-5.7-4</t>
  </si>
  <si>
    <t>29.8-6</t>
  </si>
  <si>
    <t>29.8-7</t>
  </si>
  <si>
    <t>29.8-8</t>
  </si>
  <si>
    <t>29.8-14</t>
  </si>
  <si>
    <t>29.8-20</t>
  </si>
  <si>
    <t>29.8-21</t>
  </si>
  <si>
    <t>29.8-22</t>
  </si>
  <si>
    <t>29.8-28</t>
  </si>
  <si>
    <t>9-12</t>
  </si>
  <si>
    <t>15-18</t>
  </si>
  <si>
    <t>5.1-1</t>
  </si>
  <si>
    <t>5.1-2</t>
  </si>
  <si>
    <t>5.1-3</t>
  </si>
  <si>
    <t>5.2-1</t>
  </si>
  <si>
    <t>5.2-2</t>
  </si>
  <si>
    <t>5.2-3</t>
  </si>
  <si>
    <t>5.3-1</t>
  </si>
  <si>
    <t>5.3-2</t>
  </si>
  <si>
    <t>5.3-3</t>
  </si>
  <si>
    <t>5.4-1</t>
  </si>
  <si>
    <t>5.4-2</t>
  </si>
  <si>
    <t>5.4-3</t>
  </si>
  <si>
    <t>5.5-1</t>
  </si>
  <si>
    <t>5.5-2</t>
  </si>
  <si>
    <t>5.5-3</t>
  </si>
  <si>
    <t>5.6-1</t>
  </si>
  <si>
    <t>5.6-2</t>
  </si>
  <si>
    <t>5.6-3</t>
  </si>
  <si>
    <t>5.7-1</t>
  </si>
  <si>
    <t>5.7-2</t>
  </si>
  <si>
    <t>5.7-3</t>
  </si>
  <si>
    <t>G1 Y83.1 E0.606166</t>
  </si>
  <si>
    <t>G1 Y87.15 E1.818498</t>
  </si>
  <si>
    <t>G1 Y88.5 E0.606166</t>
  </si>
  <si>
    <t>G1 Y92.55 E1.818498</t>
  </si>
  <si>
    <t>G1 Y93.9 E0.606166</t>
  </si>
  <si>
    <t>G1 Y97.95 E1.818498</t>
  </si>
  <si>
    <t>G1 Y99.3 E0.606166</t>
  </si>
  <si>
    <t>G1 Y103.35 E1.818498</t>
  </si>
  <si>
    <t>G1 Y104.7 E0.606166</t>
  </si>
  <si>
    <t>G1 Y108.75 E1.818498</t>
  </si>
  <si>
    <t>G1 Y110.1 E0.606166</t>
  </si>
  <si>
    <t>G1 Y114.15 E1.818498</t>
  </si>
  <si>
    <t>G1 Y115.5 E0.606166</t>
  </si>
  <si>
    <t>G1 Y119.55 E1.818498</t>
  </si>
  <si>
    <t>19.1-15</t>
  </si>
  <si>
    <t>19.1-16</t>
  </si>
  <si>
    <t>19.1-18</t>
  </si>
  <si>
    <t>19.2-15</t>
  </si>
  <si>
    <t>19.2-16</t>
  </si>
  <si>
    <t>19.2-17</t>
  </si>
  <si>
    <t>19.2-18</t>
  </si>
  <si>
    <t>19.3-15</t>
  </si>
  <si>
    <t>19.3-16</t>
  </si>
  <si>
    <t>19.3-17</t>
  </si>
  <si>
    <t>19.3-18</t>
  </si>
  <si>
    <t>19.4-15</t>
  </si>
  <si>
    <t>19.4-16</t>
  </si>
  <si>
    <t>19.4-17</t>
  </si>
  <si>
    <t>19.4-18</t>
  </si>
  <si>
    <t>19.5-15</t>
  </si>
  <si>
    <t>19.5-16</t>
  </si>
  <si>
    <t>19.5-17</t>
  </si>
  <si>
    <t>19.5-18</t>
  </si>
  <si>
    <t>19.6-15</t>
  </si>
  <si>
    <t>19.6-16</t>
  </si>
  <si>
    <t>19.6-17</t>
  </si>
  <si>
    <t>19.6-18</t>
  </si>
  <si>
    <t>19.7-15</t>
  </si>
  <si>
    <t>19.7-16</t>
  </si>
  <si>
    <t>19.7-17</t>
  </si>
  <si>
    <t>19.7-18</t>
  </si>
  <si>
    <t>G1 Y84.45 E1.818498</t>
  </si>
  <si>
    <t>G1 Y85.8 E0.606166</t>
  </si>
  <si>
    <t>G1 Y89.85 E1.818498</t>
  </si>
  <si>
    <t>G1 Y91.2 E0.606166</t>
  </si>
  <si>
    <t>G1 Y95.25 E1.818498</t>
  </si>
  <si>
    <t>G1 Y96.6 E0.606166</t>
  </si>
  <si>
    <t>G1 Y100.65 E1.818498</t>
  </si>
  <si>
    <t>G1 Y102.0 E0.606166</t>
  </si>
  <si>
    <t>G1 Y106.05 E1.818498</t>
  </si>
  <si>
    <t>G1 Y107.4 E0.606166</t>
  </si>
  <si>
    <t>G1 Y111.45 E1.818498</t>
  </si>
  <si>
    <t>G1 Y112.8 E0.606166</t>
  </si>
  <si>
    <t>G1 Y116.85 E1.818498</t>
  </si>
  <si>
    <t>G1 Y118.2 E0.606166</t>
  </si>
  <si>
    <t>29.1-5.1-1</t>
  </si>
  <si>
    <t>29.1-5.1-2</t>
  </si>
  <si>
    <t>29.1-5.1-3</t>
  </si>
  <si>
    <t>29.1-5.2-1</t>
  </si>
  <si>
    <t>29.1-5.2-2</t>
  </si>
  <si>
    <t>29.1-5.2-3</t>
  </si>
  <si>
    <t>29.1-5.3-1</t>
  </si>
  <si>
    <t>29.1-5.3-2</t>
  </si>
  <si>
    <t>29.1-5.3-3</t>
  </si>
  <si>
    <t>29.1-5.4-1</t>
  </si>
  <si>
    <t>29.1-5.4-2</t>
  </si>
  <si>
    <t>29.1-5.4-3</t>
  </si>
  <si>
    <t>29.1-5.5-1</t>
  </si>
  <si>
    <t>29.1-5.5-2</t>
  </si>
  <si>
    <t>29.1-5.5-3</t>
  </si>
  <si>
    <t>29.1-5.6-1</t>
  </si>
  <si>
    <t>29.1-5.6-2</t>
  </si>
  <si>
    <t>29.1-5.6-3</t>
  </si>
  <si>
    <t>29.1-5.7-1</t>
  </si>
  <si>
    <t>29.1-5.7-2</t>
  </si>
  <si>
    <t>29.1-5.7-3</t>
  </si>
  <si>
    <t>29.1-13.1-9</t>
  </si>
  <si>
    <t>29.1-13.1-10</t>
  </si>
  <si>
    <t>29.1-13.1-11</t>
  </si>
  <si>
    <t>29.1-13.1-12</t>
  </si>
  <si>
    <t>29.1-13.2-9</t>
  </si>
  <si>
    <t>29.1-13.2-10</t>
  </si>
  <si>
    <t>29.1-13.2-11</t>
  </si>
  <si>
    <t>29.1-13.2-12</t>
  </si>
  <si>
    <t>29.1-13.3-9</t>
  </si>
  <si>
    <t>29.1-13.3-10</t>
  </si>
  <si>
    <t>29.1-13.3-11</t>
  </si>
  <si>
    <t>29.1-13.3-12</t>
  </si>
  <si>
    <t>29.1-13.4-9</t>
  </si>
  <si>
    <t>29.1-13.4-10</t>
  </si>
  <si>
    <t>29.1-13.4-11</t>
  </si>
  <si>
    <t>29.1-13.4-12</t>
  </si>
  <si>
    <t>29.1-13.5-9</t>
  </si>
  <si>
    <t>29.1-13.5-10</t>
  </si>
  <si>
    <t>29.1-13.5-11</t>
  </si>
  <si>
    <t>29.1-13.5-12</t>
  </si>
  <si>
    <t>29.1-13.6-9</t>
  </si>
  <si>
    <t>29.1-13.6-10</t>
  </si>
  <si>
    <t>29.1-13.6-11</t>
  </si>
  <si>
    <t>29.1-13.6-12</t>
  </si>
  <si>
    <t>29.1-13.7-9</t>
  </si>
  <si>
    <t>29.1-13.7-10</t>
  </si>
  <si>
    <t>29.1-13.7-11</t>
  </si>
  <si>
    <t>29.1-13.7-12</t>
  </si>
  <si>
    <t>29.1-19.1-15</t>
  </si>
  <si>
    <t>29.1-19.1-16</t>
  </si>
  <si>
    <t>29.1-19.1-17</t>
  </si>
  <si>
    <t>29.1-19.1-18</t>
  </si>
  <si>
    <t>29.1-19.2-15</t>
  </si>
  <si>
    <t>29.1-19.2-16</t>
  </si>
  <si>
    <t>29.1-19.2-17</t>
  </si>
  <si>
    <t>29.1-19.2-18</t>
  </si>
  <si>
    <t>29.1-19.3-15</t>
  </si>
  <si>
    <t>29.1-19.3-16</t>
  </si>
  <si>
    <t>29.1-19.3-17</t>
  </si>
  <si>
    <t>29.1-19.3-18</t>
  </si>
  <si>
    <t>29.1-19.4-15</t>
  </si>
  <si>
    <t>29.1-19.4-16</t>
  </si>
  <si>
    <t>29.1-19.4-17</t>
  </si>
  <si>
    <t>29.1-19.4-18</t>
  </si>
  <si>
    <t>29.1-19.5-15</t>
  </si>
  <si>
    <t>29.1-19.5-16</t>
  </si>
  <si>
    <t>29.1-19.5-17</t>
  </si>
  <si>
    <t>29.1-19.5-18</t>
  </si>
  <si>
    <t>29.1-19.6-15</t>
  </si>
  <si>
    <t>29.1-19.6-16</t>
  </si>
  <si>
    <t>29.1-19.6-17</t>
  </si>
  <si>
    <t>29.1-19.6-18</t>
  </si>
  <si>
    <t>29.1-19.7-15</t>
  </si>
  <si>
    <t>29.1-19.7-16</t>
  </si>
  <si>
    <t>29.1-19.7-17</t>
  </si>
  <si>
    <t>29.1-19.7-18</t>
  </si>
  <si>
    <t>29.1-27.1-23</t>
  </si>
  <si>
    <t>29.1-27.1-24</t>
  </si>
  <si>
    <t>29.1-27.1-25</t>
  </si>
  <si>
    <t>29.1-27.1-26</t>
  </si>
  <si>
    <t>29.1-27.2-23</t>
  </si>
  <si>
    <t>29.1-27.2-24</t>
  </si>
  <si>
    <t>29.1-27.2-25</t>
  </si>
  <si>
    <t>29.1-27.2-26</t>
  </si>
  <si>
    <t>29.1-27.3-23</t>
  </si>
  <si>
    <t>29.1-27.3-24</t>
  </si>
  <si>
    <t>29.1-27.3-25</t>
  </si>
  <si>
    <t>29.1-27.3-26</t>
  </si>
  <si>
    <t>29.1-27.4-23</t>
  </si>
  <si>
    <t>29.1-27.4-24</t>
  </si>
  <si>
    <t>29.1-27.4-25</t>
  </si>
  <si>
    <t>29.1-27.4-26</t>
  </si>
  <si>
    <t>29.1-27.5-23</t>
  </si>
  <si>
    <t>29.1-27.5-24</t>
  </si>
  <si>
    <t>29.1-27.5-25</t>
  </si>
  <si>
    <t>29.1-27.5-26</t>
  </si>
  <si>
    <t>29.1-27.6-23</t>
  </si>
  <si>
    <t>29.1-27.6-24</t>
  </si>
  <si>
    <t>29.1-27.6-25</t>
  </si>
  <si>
    <t>29.1-27.6-26</t>
  </si>
  <si>
    <t>29.1-27.7-23</t>
  </si>
  <si>
    <t>29.1-27.7-24</t>
  </si>
  <si>
    <t>29.1-27.7-25</t>
  </si>
  <si>
    <t>29.1-27.7-26</t>
  </si>
  <si>
    <t>29.2-5.1-1</t>
  </si>
  <si>
    <t>29.2-5.1-2</t>
  </si>
  <si>
    <t>29.2-5.1-3</t>
  </si>
  <si>
    <t>29.2-5.2-1</t>
  </si>
  <si>
    <t>29.2-5.2-2</t>
  </si>
  <si>
    <t>29.2-5.2-3</t>
  </si>
  <si>
    <t>29.2-5.3-1</t>
  </si>
  <si>
    <t>29.2-5.3-2</t>
  </si>
  <si>
    <t>29.2-5.3-3</t>
  </si>
  <si>
    <t>29.2-5.4-1</t>
  </si>
  <si>
    <t>29.2-5.4-2</t>
  </si>
  <si>
    <t>29.2-5.4-3</t>
  </si>
  <si>
    <t>29.2-5.5-1</t>
  </si>
  <si>
    <t>29.2-5.5-2</t>
  </si>
  <si>
    <t>29.2-5.5-3</t>
  </si>
  <si>
    <t>29.2-5.6-1</t>
  </si>
  <si>
    <t>29.2-5.6-2</t>
  </si>
  <si>
    <t>29.2-5.6-3</t>
  </si>
  <si>
    <t>29.2-5.7-1</t>
  </si>
  <si>
    <t>29.2-5.7-2</t>
  </si>
  <si>
    <t>29.2-5.7-3</t>
  </si>
  <si>
    <t>29.2-13.1-9</t>
  </si>
  <si>
    <t>29.2-13.1-10</t>
  </si>
  <si>
    <t>29.2-13.1-11</t>
  </si>
  <si>
    <t>29.2-13.1-12</t>
  </si>
  <si>
    <t>29.2-13.2-9</t>
  </si>
  <si>
    <t>29.2-13.2-10</t>
  </si>
  <si>
    <t>29.2-13.2-11</t>
  </si>
  <si>
    <t>29.2-13.2-12</t>
  </si>
  <si>
    <t>29.2-13.3-9</t>
  </si>
  <si>
    <t>29.2-13.3-10</t>
  </si>
  <si>
    <t>29.2-13.3-11</t>
  </si>
  <si>
    <t>29.2-13.3-12</t>
  </si>
  <si>
    <t>29.2-13.4-9</t>
  </si>
  <si>
    <t>29.2-13.4-10</t>
  </si>
  <si>
    <t>29.2-13.4-11</t>
  </si>
  <si>
    <t>29.2-13.4-12</t>
  </si>
  <si>
    <t>29.2-13.5-9</t>
  </si>
  <si>
    <t>29.2-13.5-10</t>
  </si>
  <si>
    <t>29.2-13.5-11</t>
  </si>
  <si>
    <t>29.2-13.5-12</t>
  </si>
  <si>
    <t>29.2-13.6-9</t>
  </si>
  <si>
    <t>29.2-13.6-10</t>
  </si>
  <si>
    <t>29.2-13.6-11</t>
  </si>
  <si>
    <t>29.2-13.6-12</t>
  </si>
  <si>
    <t>29.2-13.7-9</t>
  </si>
  <si>
    <t>29.2-13.7-10</t>
  </si>
  <si>
    <t>29.2-13.7-11</t>
  </si>
  <si>
    <t>29.2-13.7-12</t>
  </si>
  <si>
    <t>29.2-19.1-15</t>
  </si>
  <si>
    <t>29.2-19.1-16</t>
  </si>
  <si>
    <t>29.2-19.1-17</t>
  </si>
  <si>
    <t>29.2-19.1-18</t>
  </si>
  <si>
    <t>29.2-19.2-15</t>
  </si>
  <si>
    <t>29.2-19.2-16</t>
  </si>
  <si>
    <t>29.2-19.2-17</t>
  </si>
  <si>
    <t>29.2-19.2-18</t>
  </si>
  <si>
    <t>29.2-19.3-15</t>
  </si>
  <si>
    <t>29.2-19.3-16</t>
  </si>
  <si>
    <t>29.2-19.3-17</t>
  </si>
  <si>
    <t>29.2-19.3-18</t>
  </si>
  <si>
    <t>29.2-19.4-15</t>
  </si>
  <si>
    <t>29.2-19.4-16</t>
  </si>
  <si>
    <t>29.2-19.4-17</t>
  </si>
  <si>
    <t>29.2-19.4-18</t>
  </si>
  <si>
    <t>29.2-19.5-15</t>
  </si>
  <si>
    <t>29.2-19.5-16</t>
  </si>
  <si>
    <t>29.2-19.5-17</t>
  </si>
  <si>
    <t>29.2-19.5-18</t>
  </si>
  <si>
    <t>29.2-19.6-15</t>
  </si>
  <si>
    <t>29.2-19.6-16</t>
  </si>
  <si>
    <t>29.2-19.6-17</t>
  </si>
  <si>
    <t>29.2-19.6-18</t>
  </si>
  <si>
    <t>29.2-19.7-15</t>
  </si>
  <si>
    <t>29.2-19.7-16</t>
  </si>
  <si>
    <t>29.2-19.7-17</t>
  </si>
  <si>
    <t>29.2-19.7-18</t>
  </si>
  <si>
    <t>29.2-27.1-23</t>
  </si>
  <si>
    <t>29.2-27.1-24</t>
  </si>
  <si>
    <t>29.2-27.1-25</t>
  </si>
  <si>
    <t>29.2-27.1-26</t>
  </si>
  <si>
    <t>29.2-27.2-23</t>
  </si>
  <si>
    <t>29.2-27.2-24</t>
  </si>
  <si>
    <t>29.2-27.2-25</t>
  </si>
  <si>
    <t>29.2-27.2-26</t>
  </si>
  <si>
    <t>29.2-27.3-23</t>
  </si>
  <si>
    <t>29.2-27.3-24</t>
  </si>
  <si>
    <t>29.2-27.3-25</t>
  </si>
  <si>
    <t>29.2-27.3-26</t>
  </si>
  <si>
    <t>29.2-27.4-23</t>
  </si>
  <si>
    <t>29.2-27.4-24</t>
  </si>
  <si>
    <t>29.2-27.4-25</t>
  </si>
  <si>
    <t>29.2-27.4-26</t>
  </si>
  <si>
    <t>29.2-27.5-23</t>
  </si>
  <si>
    <t>29.2-27.5-24</t>
  </si>
  <si>
    <t>29.2-27.5-25</t>
  </si>
  <si>
    <t>29.2-27.5-26</t>
  </si>
  <si>
    <t>29.2-27.6-23</t>
  </si>
  <si>
    <t>29.2-27.6-24</t>
  </si>
  <si>
    <t>29.2-27.6-25</t>
  </si>
  <si>
    <t>29.2-27.6-26</t>
  </si>
  <si>
    <t>29.2-27.7-23</t>
  </si>
  <si>
    <t>29.2-27.7-24</t>
  </si>
  <si>
    <t>29.2-27.7-25</t>
  </si>
  <si>
    <t>29.2-27.7-26</t>
  </si>
  <si>
    <t>29.3-5.1-1</t>
  </si>
  <si>
    <t>29.3-5.1-2</t>
  </si>
  <si>
    <t>29.3-5.1-3</t>
  </si>
  <si>
    <t>29.3-5.2-1</t>
  </si>
  <si>
    <t>29.3-5.2-2</t>
  </si>
  <si>
    <t>29.3-5.2-3</t>
  </si>
  <si>
    <t>29.3-5.3-1</t>
  </si>
  <si>
    <t>29.3-5.3-2</t>
  </si>
  <si>
    <t>29.3-5.3-3</t>
  </si>
  <si>
    <t>29.3-5.4-1</t>
  </si>
  <si>
    <t>29.3-5.4-2</t>
  </si>
  <si>
    <t>29.3-5.4-3</t>
  </si>
  <si>
    <t>29.3-5.5-1</t>
  </si>
  <si>
    <t>29.3-5.5-2</t>
  </si>
  <si>
    <t>29.3-5.5-3</t>
  </si>
  <si>
    <t>29.3-5.6-1</t>
  </si>
  <si>
    <t>29.3-5.6-2</t>
  </si>
  <si>
    <t>29.3-5.6-3</t>
  </si>
  <si>
    <t>29.3-5.7-1</t>
  </si>
  <si>
    <t>29.3-5.7-2</t>
  </si>
  <si>
    <t>29.3-5.7-3</t>
  </si>
  <si>
    <t>29.3-13.1-9</t>
  </si>
  <si>
    <t>29.3-13.1-10</t>
  </si>
  <si>
    <t>29.3-13.1-11</t>
  </si>
  <si>
    <t>29.3-13.1-12</t>
  </si>
  <si>
    <t>29.3-13.2-9</t>
  </si>
  <si>
    <t>29.3-13.2-10</t>
  </si>
  <si>
    <t>29.3-13.2-11</t>
  </si>
  <si>
    <t>29.3-13.2-12</t>
  </si>
  <si>
    <t>29.3-13.3-9</t>
  </si>
  <si>
    <t>29.3-13.3-10</t>
  </si>
  <si>
    <t>29.3-13.3-11</t>
  </si>
  <si>
    <t>29.3-13.3-12</t>
  </si>
  <si>
    <t>29.3-13.4-9</t>
  </si>
  <si>
    <t>29.3-13.4-10</t>
  </si>
  <si>
    <t>29.3-13.4-11</t>
  </si>
  <si>
    <t>29.3-13.4-12</t>
  </si>
  <si>
    <t>29.3-13.5-9</t>
  </si>
  <si>
    <t>29.3-13.5-10</t>
  </si>
  <si>
    <t>29.3-13.5-11</t>
  </si>
  <si>
    <t>29.3-13.5-12</t>
  </si>
  <si>
    <t>29.3-13.6-9</t>
  </si>
  <si>
    <t>29.3-13.6-10</t>
  </si>
  <si>
    <t>29.3-13.6-11</t>
  </si>
  <si>
    <t>29.3-13.6-12</t>
  </si>
  <si>
    <t>29.3-13.7-9</t>
  </si>
  <si>
    <t>29.3-13.7-10</t>
  </si>
  <si>
    <t>29.3-13.7-11</t>
  </si>
  <si>
    <t>29.3-13.7-12</t>
  </si>
  <si>
    <t>29.3-19.1-15</t>
  </si>
  <si>
    <t>29.3-19.1-16</t>
  </si>
  <si>
    <t>29.3-19.1-17</t>
  </si>
  <si>
    <t>29.3-19.1-18</t>
  </si>
  <si>
    <t>29.3-19.2-15</t>
  </si>
  <si>
    <t>29.3-19.2-16</t>
  </si>
  <si>
    <t>29.3-19.2-17</t>
  </si>
  <si>
    <t>29.3-19.2-18</t>
  </si>
  <si>
    <t>29.3-19.3-15</t>
  </si>
  <si>
    <t>29.3-19.3-16</t>
  </si>
  <si>
    <t>29.3-19.3-17</t>
  </si>
  <si>
    <t>29.3-19.3-18</t>
  </si>
  <si>
    <t>29.3-19.4-15</t>
  </si>
  <si>
    <t>29.3-19.4-16</t>
  </si>
  <si>
    <t>29.3-19.4-17</t>
  </si>
  <si>
    <t>29.3-19.4-18</t>
  </si>
  <si>
    <t>29.3-19.5-15</t>
  </si>
  <si>
    <t>29.3-19.5-16</t>
  </si>
  <si>
    <t>29.3-19.5-17</t>
  </si>
  <si>
    <t>29.3-19.5-18</t>
  </si>
  <si>
    <t>29.3-19.6-15</t>
  </si>
  <si>
    <t>29.3-19.6-16</t>
  </si>
  <si>
    <t>29.3-19.6-17</t>
  </si>
  <si>
    <t>29.3-19.6-18</t>
  </si>
  <si>
    <t>29.3-19.7-15</t>
  </si>
  <si>
    <t>29.3-19.7-16</t>
  </si>
  <si>
    <t>29.3-19.7-17</t>
  </si>
  <si>
    <t>29.3-19.7-18</t>
  </si>
  <si>
    <t>29.3-27.1-23</t>
  </si>
  <si>
    <t>29.3-27.1-24</t>
  </si>
  <si>
    <t>29.3-27.1-25</t>
  </si>
  <si>
    <t>29.3-27.1-26</t>
  </si>
  <si>
    <t>29.3-27.2-23</t>
  </si>
  <si>
    <t>29.3-27.2-24</t>
  </si>
  <si>
    <t>29.3-27.2-25</t>
  </si>
  <si>
    <t>29.3-27.2-26</t>
  </si>
  <si>
    <t>29.3-27.3-23</t>
  </si>
  <si>
    <t>29.3-27.3-24</t>
  </si>
  <si>
    <t>29.3-27.3-25</t>
  </si>
  <si>
    <t>29.3-27.3-26</t>
  </si>
  <si>
    <t>29.3-27.4-23</t>
  </si>
  <si>
    <t>29.3-27.4-24</t>
  </si>
  <si>
    <t>29.3-27.4-25</t>
  </si>
  <si>
    <t>29.3-27.4-26</t>
  </si>
  <si>
    <t>29.3-27.5-23</t>
  </si>
  <si>
    <t>29.3-27.5-24</t>
  </si>
  <si>
    <t>29.3-27.5-25</t>
  </si>
  <si>
    <t>29.3-27.5-26</t>
  </si>
  <si>
    <t>29.3-27.6-23</t>
  </si>
  <si>
    <t>29.3-27.6-24</t>
  </si>
  <si>
    <t>29.3-27.6-25</t>
  </si>
  <si>
    <t>29.3-27.6-26</t>
  </si>
  <si>
    <t>29.3-27.7-23</t>
  </si>
  <si>
    <t>29.3-27.7-24</t>
  </si>
  <si>
    <t>29.3-27.7-25</t>
  </si>
  <si>
    <t>29.3-27.7-26</t>
  </si>
  <si>
    <t>29.4-5.1-1</t>
  </si>
  <si>
    <t>29.4-5.1-2</t>
  </si>
  <si>
    <t>29.4-5.1-3</t>
  </si>
  <si>
    <t>29.4-5.2-1</t>
  </si>
  <si>
    <t>29.4-5.2-2</t>
  </si>
  <si>
    <t>29.4-5.2-3</t>
  </si>
  <si>
    <t>29.4-5.3-1</t>
  </si>
  <si>
    <t>29.4-5.3-2</t>
  </si>
  <si>
    <t>29.4-5.3-3</t>
  </si>
  <si>
    <t>29.4-5.4-1</t>
  </si>
  <si>
    <t>29.4-5.4-2</t>
  </si>
  <si>
    <t>29.4-5.4-3</t>
  </si>
  <si>
    <t>29.4-5.5-1</t>
  </si>
  <si>
    <t>29.4-5.5-2</t>
  </si>
  <si>
    <t>29.4-5.5-3</t>
  </si>
  <si>
    <t>29.4-5.6-1</t>
  </si>
  <si>
    <t>29.4-5.6-2</t>
  </si>
  <si>
    <t>29.4-5.6-3</t>
  </si>
  <si>
    <t>29.4-5.7-1</t>
  </si>
  <si>
    <t>29.4-5.7-2</t>
  </si>
  <si>
    <t>29.4-5.7-3</t>
  </si>
  <si>
    <t>29.4-13.1-9</t>
  </si>
  <si>
    <t>29.4-13.1-10</t>
  </si>
  <si>
    <t>29.4-13.1-11</t>
  </si>
  <si>
    <t>29.4-13.1-12</t>
  </si>
  <si>
    <t>29.4-13.2-9</t>
  </si>
  <si>
    <t>29.4-13.2-10</t>
  </si>
  <si>
    <t>29.4-13.2-11</t>
  </si>
  <si>
    <t>29.4-13.2-12</t>
  </si>
  <si>
    <t>29.4-13.3-9</t>
  </si>
  <si>
    <t>29.4-13.3-10</t>
  </si>
  <si>
    <t>29.4-13.3-11</t>
  </si>
  <si>
    <t>29.4-13.3-12</t>
  </si>
  <si>
    <t>29.4-13.4-9</t>
  </si>
  <si>
    <t>29.4-13.4-10</t>
  </si>
  <si>
    <t>29.4-13.4-11</t>
  </si>
  <si>
    <t>29.4-13.4-12</t>
  </si>
  <si>
    <t>29.4-13.5-9</t>
  </si>
  <si>
    <t>29.4-13.5-10</t>
  </si>
  <si>
    <t>29.4-13.5-11</t>
  </si>
  <si>
    <t>29.4-13.5-12</t>
  </si>
  <si>
    <t>29.4-13.6-9</t>
  </si>
  <si>
    <t>29.4-13.6-10</t>
  </si>
  <si>
    <t>29.4-13.6-11</t>
  </si>
  <si>
    <t>29.4-13.6-12</t>
  </si>
  <si>
    <t>29.4-13.7-9</t>
  </si>
  <si>
    <t>29.4-13.7-10</t>
  </si>
  <si>
    <t>29.4-13.7-11</t>
  </si>
  <si>
    <t>29.4-13.7-12</t>
  </si>
  <si>
    <t>29.4-19.1-15</t>
  </si>
  <si>
    <t>29.4-19.1-16</t>
  </si>
  <si>
    <t>29.4-19.1-17</t>
  </si>
  <si>
    <t>29.4-19.1-18</t>
  </si>
  <si>
    <t>29.4-19.2-15</t>
  </si>
  <si>
    <t>29.4-19.2-16</t>
  </si>
  <si>
    <t>29.4-19.2-17</t>
  </si>
  <si>
    <t>29.4-19.2-18</t>
  </si>
  <si>
    <t>29.4-19.3-15</t>
  </si>
  <si>
    <t>29.4-19.3-16</t>
  </si>
  <si>
    <t>29.4-19.3-17</t>
  </si>
  <si>
    <t>29.4-19.3-18</t>
  </si>
  <si>
    <t>29.4-19.4-15</t>
  </si>
  <si>
    <t>29.4-19.4-16</t>
  </si>
  <si>
    <t>29.4-19.4-17</t>
  </si>
  <si>
    <t>29.4-19.4-18</t>
  </si>
  <si>
    <t>29.4-19.5-15</t>
  </si>
  <si>
    <t>29.4-19.5-16</t>
  </si>
  <si>
    <t>29.4-19.5-17</t>
  </si>
  <si>
    <t>29.4-19.5-18</t>
  </si>
  <si>
    <t>29.4-19.6-15</t>
  </si>
  <si>
    <t>29.4-19.6-16</t>
  </si>
  <si>
    <t>29.4-19.6-17</t>
  </si>
  <si>
    <t>29.4-19.6-18</t>
  </si>
  <si>
    <t>29.4-19.7-15</t>
  </si>
  <si>
    <t>29.4-19.7-16</t>
  </si>
  <si>
    <t>29.4-19.7-17</t>
  </si>
  <si>
    <t>29.4-19.7-18</t>
  </si>
  <si>
    <t>29.4-27.1-23</t>
  </si>
  <si>
    <t>29.4-27.1-24</t>
  </si>
  <si>
    <t>29.4-27.1-25</t>
  </si>
  <si>
    <t>29.4-27.1-26</t>
  </si>
  <si>
    <t>29.4-27.2-23</t>
  </si>
  <si>
    <t>29.4-27.2-24</t>
  </si>
  <si>
    <t>29.4-27.2-25</t>
  </si>
  <si>
    <t>29.4-27.2-26</t>
  </si>
  <si>
    <t>29.4-27.3-23</t>
  </si>
  <si>
    <t>29.4-27.3-24</t>
  </si>
  <si>
    <t>29.4-27.3-25</t>
  </si>
  <si>
    <t>29.4-27.3-26</t>
  </si>
  <si>
    <t>29.4-27.4-23</t>
  </si>
  <si>
    <t>29.4-27.4-24</t>
  </si>
  <si>
    <t>29.4-27.4-25</t>
  </si>
  <si>
    <t>29.4-27.4-26</t>
  </si>
  <si>
    <t>29.4-27.5-23</t>
  </si>
  <si>
    <t>29.4-27.5-24</t>
  </si>
  <si>
    <t>29.4-27.5-25</t>
  </si>
  <si>
    <t>29.4-27.5-26</t>
  </si>
  <si>
    <t>29.4-27.6-23</t>
  </si>
  <si>
    <t>29.4-27.6-24</t>
  </si>
  <si>
    <t>29.4-27.6-25</t>
  </si>
  <si>
    <t>29.4-27.6-26</t>
  </si>
  <si>
    <t>29.4-27.7-23</t>
  </si>
  <si>
    <t>29.4-27.7-24</t>
  </si>
  <si>
    <t>29.4-27.7-25</t>
  </si>
  <si>
    <t>29.4-27.7-26</t>
  </si>
  <si>
    <t>29.5-5.1-1</t>
  </si>
  <si>
    <t>29.5-5.1-2</t>
  </si>
  <si>
    <t>29.5-5.1-3</t>
  </si>
  <si>
    <t>29.5-5.2-1</t>
  </si>
  <si>
    <t>29.5-5.2-2</t>
  </si>
  <si>
    <t>29.5-5.2-3</t>
  </si>
  <si>
    <t>29.5-5.3-1</t>
  </si>
  <si>
    <t>29.5-5.3-2</t>
  </si>
  <si>
    <t>29.5-5.3-3</t>
  </si>
  <si>
    <t>29.5-5.4-1</t>
  </si>
  <si>
    <t>29.5-5.4-2</t>
  </si>
  <si>
    <t>29.5-5.4-3</t>
  </si>
  <si>
    <t>29.5-5.5-1</t>
  </si>
  <si>
    <t>29.5-5.5-2</t>
  </si>
  <si>
    <t>29.5-5.5-3</t>
  </si>
  <si>
    <t>29.5-5.6-1</t>
  </si>
  <si>
    <t>29.5-5.6-2</t>
  </si>
  <si>
    <t>29.5-5.6-3</t>
  </si>
  <si>
    <t>29.5-5.7-1</t>
  </si>
  <si>
    <t>29.5-5.7-2</t>
  </si>
  <si>
    <t>29.5-5.7-3</t>
  </si>
  <si>
    <t>29.5-13.1-9</t>
  </si>
  <si>
    <t>29.5-13.1-10</t>
  </si>
  <si>
    <t>29.5-13.1-11</t>
  </si>
  <si>
    <t>29.5-13.1-12</t>
  </si>
  <si>
    <t>29.5-13.2-9</t>
  </si>
  <si>
    <t>29.5-13.2-10</t>
  </si>
  <si>
    <t>29.5-13.2-11</t>
  </si>
  <si>
    <t>29.5-13.2-12</t>
  </si>
  <si>
    <t>29.5-13.3-9</t>
  </si>
  <si>
    <t>29.5-13.3-10</t>
  </si>
  <si>
    <t>29.5-13.3-11</t>
  </si>
  <si>
    <t>29.5-13.3-12</t>
  </si>
  <si>
    <t>29.5-13.4-9</t>
  </si>
  <si>
    <t>29.5-13.4-10</t>
  </si>
  <si>
    <t>29.5-13.4-11</t>
  </si>
  <si>
    <t>29.5-13.4-12</t>
  </si>
  <si>
    <t>29.5-13.5-9</t>
  </si>
  <si>
    <t>29.5-13.5-10</t>
  </si>
  <si>
    <t>29.5-13.5-11</t>
  </si>
  <si>
    <t>29.5-13.5-12</t>
  </si>
  <si>
    <t>29.5-13.6-9</t>
  </si>
  <si>
    <t>29.5-13.6-10</t>
  </si>
  <si>
    <t>29.5-13.6-11</t>
  </si>
  <si>
    <t>29.5-13.6-12</t>
  </si>
  <si>
    <t>29.5-13.7-9</t>
  </si>
  <si>
    <t>29.5-13.7-10</t>
  </si>
  <si>
    <t>29.5-13.7-11</t>
  </si>
  <si>
    <t>29.5-13.7-12</t>
  </si>
  <si>
    <t>29.5-19.1-15</t>
  </si>
  <si>
    <t>29.5-19.1-16</t>
  </si>
  <si>
    <t>29.5-19.1-17</t>
  </si>
  <si>
    <t>29.5-19.1-18</t>
  </si>
  <si>
    <t>29.5-19.2-15</t>
  </si>
  <si>
    <t>29.5-19.2-16</t>
  </si>
  <si>
    <t>29.5-19.2-17</t>
  </si>
  <si>
    <t>29.5-19.2-18</t>
  </si>
  <si>
    <t>29.5-19.3-15</t>
  </si>
  <si>
    <t>29.5-19.3-16</t>
  </si>
  <si>
    <t>29.5-19.3-17</t>
  </si>
  <si>
    <t>29.5-19.3-18</t>
  </si>
  <si>
    <t>29.5-19.4-15</t>
  </si>
  <si>
    <t>29.5-19.4-16</t>
  </si>
  <si>
    <t>29.5-19.4-17</t>
  </si>
  <si>
    <t>29.5-19.4-18</t>
  </si>
  <si>
    <t>29.5-19.5-15</t>
  </si>
  <si>
    <t>29.5-19.5-16</t>
  </si>
  <si>
    <t>29.5-19.5-17</t>
  </si>
  <si>
    <t>29.5-19.5-18</t>
  </si>
  <si>
    <t>29.5-19.6-15</t>
  </si>
  <si>
    <t>29.5-19.6-16</t>
  </si>
  <si>
    <t>29.5-19.6-17</t>
  </si>
  <si>
    <t>29.5-19.6-18</t>
  </si>
  <si>
    <t>29.5-19.7-15</t>
  </si>
  <si>
    <t>29.5-19.7-16</t>
  </si>
  <si>
    <t>29.5-19.7-17</t>
  </si>
  <si>
    <t>29.5-19.7-18</t>
  </si>
  <si>
    <t>29.5-27.1-23</t>
  </si>
  <si>
    <t>29.5-27.1-24</t>
  </si>
  <si>
    <t>29.5-27.1-25</t>
  </si>
  <si>
    <t>29.5-27.1-26</t>
  </si>
  <si>
    <t>29.5-27.2-23</t>
  </si>
  <si>
    <t>29.5-27.2-24</t>
  </si>
  <si>
    <t>29.5-27.2-25</t>
  </si>
  <si>
    <t>29.5-27.2-26</t>
  </si>
  <si>
    <t>29.5-27.3-23</t>
  </si>
  <si>
    <t>29.5-27.3-24</t>
  </si>
  <si>
    <t>29.5-27.3-25</t>
  </si>
  <si>
    <t>29.5-27.3-26</t>
  </si>
  <si>
    <t>29.5-27.4-23</t>
  </si>
  <si>
    <t>29.5-27.4-24</t>
  </si>
  <si>
    <t>29.5-27.4-25</t>
  </si>
  <si>
    <t>29.5-27.4-26</t>
  </si>
  <si>
    <t>29.5-27.5-23</t>
  </si>
  <si>
    <t>29.5-27.5-24</t>
  </si>
  <si>
    <t>29.5-27.5-25</t>
  </si>
  <si>
    <t>29.5-27.5-26</t>
  </si>
  <si>
    <t>29.5-27.6-23</t>
  </si>
  <si>
    <t>29.5-27.6-24</t>
  </si>
  <si>
    <t>29.5-27.6-25</t>
  </si>
  <si>
    <t>29.5-27.6-26</t>
  </si>
  <si>
    <t>29.5-27.7-23</t>
  </si>
  <si>
    <t>29.5-27.7-24</t>
  </si>
  <si>
    <t>29.5-27.7-25</t>
  </si>
  <si>
    <t>29.5-27.7-26</t>
  </si>
  <si>
    <t>29.6-5.1-1</t>
  </si>
  <si>
    <t>29.6-5.1-2</t>
  </si>
  <si>
    <t>29.6-5.1-3</t>
  </si>
  <si>
    <t>29.6-5.2-1</t>
  </si>
  <si>
    <t>29.6-5.2-2</t>
  </si>
  <si>
    <t>29.6-5.2-3</t>
  </si>
  <si>
    <t>29.6-5.3-1</t>
  </si>
  <si>
    <t>29.6-5.3-2</t>
  </si>
  <si>
    <t>29.6-5.3-3</t>
  </si>
  <si>
    <t>29.6-5.4-1</t>
  </si>
  <si>
    <t>29.6-5.4-2</t>
  </si>
  <si>
    <t>29.6-5.4-3</t>
  </si>
  <si>
    <t>29.6-5.5-1</t>
  </si>
  <si>
    <t>29.6-5.5-2</t>
  </si>
  <si>
    <t>29.6-5.5-3</t>
  </si>
  <si>
    <t>29.6-5.6-1</t>
  </si>
  <si>
    <t>29.6-5.6-2</t>
  </si>
  <si>
    <t>29.6-5.6-3</t>
  </si>
  <si>
    <t>29.6-5.7-1</t>
  </si>
  <si>
    <t>29.6-5.7-2</t>
  </si>
  <si>
    <t>29.6-5.7-3</t>
  </si>
  <si>
    <t>29.6-13.1-9</t>
  </si>
  <si>
    <t>29.6-13.1-10</t>
  </si>
  <si>
    <t>29.6-13.1-11</t>
  </si>
  <si>
    <t>29.6-13.1-12</t>
  </si>
  <si>
    <t>29.6-13.2-9</t>
  </si>
  <si>
    <t>29.6-13.2-10</t>
  </si>
  <si>
    <t>29.6-13.2-11</t>
  </si>
  <si>
    <t>29.6-13.2-12</t>
  </si>
  <si>
    <t>29.6-13.3-9</t>
  </si>
  <si>
    <t>29.6-13.3-10</t>
  </si>
  <si>
    <t>29.6-13.3-11</t>
  </si>
  <si>
    <t>29.6-13.3-12</t>
  </si>
  <si>
    <t>29.6-13.4-9</t>
  </si>
  <si>
    <t>29.6-13.4-10</t>
  </si>
  <si>
    <t>29.6-13.4-11</t>
  </si>
  <si>
    <t>29.6-13.4-12</t>
  </si>
  <si>
    <t>29.6-13.5-9</t>
  </si>
  <si>
    <t>29.6-13.5-10</t>
  </si>
  <si>
    <t>29.6-13.5-11</t>
  </si>
  <si>
    <t>29.6-13.5-12</t>
  </si>
  <si>
    <t>29.6-13.6-9</t>
  </si>
  <si>
    <t>29.6-13.6-10</t>
  </si>
  <si>
    <t>29.6-13.6-11</t>
  </si>
  <si>
    <t>29.6-13.6-12</t>
  </si>
  <si>
    <t>29.6-13.7-9</t>
  </si>
  <si>
    <t>29.6-13.7-10</t>
  </si>
  <si>
    <t>29.6-13.7-11</t>
  </si>
  <si>
    <t>29.6-13.7-12</t>
  </si>
  <si>
    <t>29.6-19.1-15</t>
  </si>
  <si>
    <t>29.6-19.1-16</t>
  </si>
  <si>
    <t>29.6-19.1-17</t>
  </si>
  <si>
    <t>29.6-19.1-18</t>
  </si>
  <si>
    <t>29.6-19.2-15</t>
  </si>
  <si>
    <t>29.6-19.2-16</t>
  </si>
  <si>
    <t>29.6-19.2-17</t>
  </si>
  <si>
    <t>29.6-19.2-18</t>
  </si>
  <si>
    <t>29.6-19.3-15</t>
  </si>
  <si>
    <t>29.6-19.3-16</t>
  </si>
  <si>
    <t>29.6-19.3-17</t>
  </si>
  <si>
    <t>29.6-19.3-18</t>
  </si>
  <si>
    <t>29.6-19.4-15</t>
  </si>
  <si>
    <t>29.6-19.4-16</t>
  </si>
  <si>
    <t>29.6-19.4-17</t>
  </si>
  <si>
    <t>29.6-19.4-18</t>
  </si>
  <si>
    <t>29.6-19.5-15</t>
  </si>
  <si>
    <t>29.6-19.5-16</t>
  </si>
  <si>
    <t>29.6-19.5-17</t>
  </si>
  <si>
    <t>29.6-19.5-18</t>
  </si>
  <si>
    <t>29.6-19.6-15</t>
  </si>
  <si>
    <t>29.6-19.6-16</t>
  </si>
  <si>
    <t>29.6-19.6-17</t>
  </si>
  <si>
    <t>29.6-19.6-18</t>
  </si>
  <si>
    <t>29.6-19.7-15</t>
  </si>
  <si>
    <t>29.6-19.7-16</t>
  </si>
  <si>
    <t>29.6-19.7-17</t>
  </si>
  <si>
    <t>29.6-19.7-18</t>
  </si>
  <si>
    <t>29.6-27.1-23</t>
  </si>
  <si>
    <t>29.6-27.1-24</t>
  </si>
  <si>
    <t>29.6-27.1-25</t>
  </si>
  <si>
    <t>29.6-27.1-26</t>
  </si>
  <si>
    <t>29.6-27.2-23</t>
  </si>
  <si>
    <t>29.6-27.2-24</t>
  </si>
  <si>
    <t>29.6-27.2-25</t>
  </si>
  <si>
    <t>29.6-27.2-26</t>
  </si>
  <si>
    <t>29.6-27.3-23</t>
  </si>
  <si>
    <t>29.6-27.3-24</t>
  </si>
  <si>
    <t>29.6-27.3-25</t>
  </si>
  <si>
    <t>29.6-27.3-26</t>
  </si>
  <si>
    <t>29.6-27.4-23</t>
  </si>
  <si>
    <t>29.6-27.4-24</t>
  </si>
  <si>
    <t>29.6-27.4-25</t>
  </si>
  <si>
    <t>29.6-27.4-26</t>
  </si>
  <si>
    <t>29.6-27.5-23</t>
  </si>
  <si>
    <t>29.6-27.5-24</t>
  </si>
  <si>
    <t>29.6-27.5-25</t>
  </si>
  <si>
    <t>29.6-27.5-26</t>
  </si>
  <si>
    <t>29.6-27.6-23</t>
  </si>
  <si>
    <t>29.6-27.6-24</t>
  </si>
  <si>
    <t>29.6-27.6-25</t>
  </si>
  <si>
    <t>29.6-27.6-26</t>
  </si>
  <si>
    <t>29.6-27.7-23</t>
  </si>
  <si>
    <t>29.6-27.7-24</t>
  </si>
  <si>
    <t>29.6-27.7-25</t>
  </si>
  <si>
    <t>29.6-27.7-26</t>
  </si>
  <si>
    <t>29.7-5.1-1</t>
  </si>
  <si>
    <t>29.7-5.1-2</t>
  </si>
  <si>
    <t>29.7-5.1-3</t>
  </si>
  <si>
    <t>29.7-5.2-1</t>
  </si>
  <si>
    <t>29.7-5.2-2</t>
  </si>
  <si>
    <t>29.7-5.2-3</t>
  </si>
  <si>
    <t>29.7-5.3-1</t>
  </si>
  <si>
    <t>29.7-5.3-2</t>
  </si>
  <si>
    <t>29.7-5.3-3</t>
  </si>
  <si>
    <t>29.7-5.4-1</t>
  </si>
  <si>
    <t>29.7-5.4-2</t>
  </si>
  <si>
    <t>29.7-5.4-3</t>
  </si>
  <si>
    <t>29.7-5.5-1</t>
  </si>
  <si>
    <t>29.7-5.5-2</t>
  </si>
  <si>
    <t>29.7-5.5-3</t>
  </si>
  <si>
    <t>29.7-5.6-1</t>
  </si>
  <si>
    <t>29.7-5.6-2</t>
  </si>
  <si>
    <t>29.7-5.6-3</t>
  </si>
  <si>
    <t>29.7-5.7-1</t>
  </si>
  <si>
    <t>29.7-5.7-2</t>
  </si>
  <si>
    <t>29.7-5.7-3</t>
  </si>
  <si>
    <t>29.7-13.1-9</t>
  </si>
  <si>
    <t>29.7-13.1-10</t>
  </si>
  <si>
    <t>29.7-13.1-11</t>
  </si>
  <si>
    <t>29.7-13.1-12</t>
  </si>
  <si>
    <t>29.7-13.2-9</t>
  </si>
  <si>
    <t>29.7-13.2-10</t>
  </si>
  <si>
    <t>29.7-13.2-11</t>
  </si>
  <si>
    <t>29.7-13.2-12</t>
  </si>
  <si>
    <t>29.7-13.3-9</t>
  </si>
  <si>
    <t>29.7-13.3-10</t>
  </si>
  <si>
    <t>29.7-13.3-11</t>
  </si>
  <si>
    <t>29.7-13.3-12</t>
  </si>
  <si>
    <t>29.7-13.4-9</t>
  </si>
  <si>
    <t>29.7-13.4-10</t>
  </si>
  <si>
    <t>29.7-13.4-11</t>
  </si>
  <si>
    <t>29.7-13.4-12</t>
  </si>
  <si>
    <t>29.7-13.5-9</t>
  </si>
  <si>
    <t>29.7-13.5-10</t>
  </si>
  <si>
    <t>29.7-13.5-11</t>
  </si>
  <si>
    <t>29.7-13.5-12</t>
  </si>
  <si>
    <t>29.7-13.6-9</t>
  </si>
  <si>
    <t>29.7-13.6-10</t>
  </si>
  <si>
    <t>29.7-13.6-11</t>
  </si>
  <si>
    <t>29.7-13.6-12</t>
  </si>
  <si>
    <t>29.7-13.7-9</t>
  </si>
  <si>
    <t>29.7-13.7-10</t>
  </si>
  <si>
    <t>29.7-13.7-11</t>
  </si>
  <si>
    <t>29.7-13.7-12</t>
  </si>
  <si>
    <t>29.7-19.1-15</t>
  </si>
  <si>
    <t>29.7-19.1-16</t>
  </si>
  <si>
    <t>29.7-19.1-17</t>
  </si>
  <si>
    <t>29.7-19.1-18</t>
  </si>
  <si>
    <t>29.7-19.2-15</t>
  </si>
  <si>
    <t>29.7-19.2-16</t>
  </si>
  <si>
    <t>29.7-19.2-17</t>
  </si>
  <si>
    <t>29.7-19.2-18</t>
  </si>
  <si>
    <t>29.7-19.3-15</t>
  </si>
  <si>
    <t>29.7-19.3-16</t>
  </si>
  <si>
    <t>29.7-19.3-17</t>
  </si>
  <si>
    <t>29.7-19.3-18</t>
  </si>
  <si>
    <t>29.7-19.4-15</t>
  </si>
  <si>
    <t>29.7-19.4-16</t>
  </si>
  <si>
    <t>29.7-19.4-17</t>
  </si>
  <si>
    <t>29.7-19.4-18</t>
  </si>
  <si>
    <t>29.7-19.5-15</t>
  </si>
  <si>
    <t>29.7-19.5-16</t>
  </si>
  <si>
    <t>29.7-19.5-17</t>
  </si>
  <si>
    <t>29.7-19.5-18</t>
  </si>
  <si>
    <t>29.7-19.6-15</t>
  </si>
  <si>
    <t>29.7-19.6-16</t>
  </si>
  <si>
    <t>29.7-19.6-17</t>
  </si>
  <si>
    <t>29.7-19.6-18</t>
  </si>
  <si>
    <t>29.7-19.7-15</t>
  </si>
  <si>
    <t>29.7-19.7-16</t>
  </si>
  <si>
    <t>29.7-19.7-17</t>
  </si>
  <si>
    <t>29.7-19.7-18</t>
  </si>
  <si>
    <t>29.7-27.1-23</t>
  </si>
  <si>
    <t>29.7-27.1-24</t>
  </si>
  <si>
    <t>29.7-27.1-25</t>
  </si>
  <si>
    <t>29.7-27.1-26</t>
  </si>
  <si>
    <t>29.7-27.2-23</t>
  </si>
  <si>
    <t>29.7-27.2-24</t>
  </si>
  <si>
    <t>29.7-27.2-25</t>
  </si>
  <si>
    <t>29.7-27.2-26</t>
  </si>
  <si>
    <t>29.7-27.3-23</t>
  </si>
  <si>
    <t>29.7-27.3-24</t>
  </si>
  <si>
    <t>29.7-27.3-25</t>
  </si>
  <si>
    <t>29.7-27.3-26</t>
  </si>
  <si>
    <t>29.7-27.4-23</t>
  </si>
  <si>
    <t>29.7-27.4-24</t>
  </si>
  <si>
    <t>29.7-27.4-25</t>
  </si>
  <si>
    <t>29.7-27.4-26</t>
  </si>
  <si>
    <t>29.7-27.5-23</t>
  </si>
  <si>
    <t>29.7-27.5-24</t>
  </si>
  <si>
    <t>29.7-27.5-25</t>
  </si>
  <si>
    <t>29.7-27.5-26</t>
  </si>
  <si>
    <t>29.7-27.6-23</t>
  </si>
  <si>
    <t>29.7-27.6-24</t>
  </si>
  <si>
    <t>29.7-27.6-25</t>
  </si>
  <si>
    <t>29.7-27.6-26</t>
  </si>
  <si>
    <t>29.7-27.7-23</t>
  </si>
  <si>
    <t>29.7-27.7-24</t>
  </si>
  <si>
    <t>29.7-27.7-25</t>
  </si>
  <si>
    <t>29.7-27.7-26</t>
  </si>
  <si>
    <t>29.8-5.1-1</t>
  </si>
  <si>
    <t>29.8-5.1-2</t>
  </si>
  <si>
    <t>29.8-5.1-3</t>
  </si>
  <si>
    <t>29.8-5.2-1</t>
  </si>
  <si>
    <t>29.8-5.2-2</t>
  </si>
  <si>
    <t>29.8-5.2-3</t>
  </si>
  <si>
    <t>29.8-5.3-1</t>
  </si>
  <si>
    <t>29.8-5.3-2</t>
  </si>
  <si>
    <t>29.8-5.3-3</t>
  </si>
  <si>
    <t>29.8-5.4-1</t>
  </si>
  <si>
    <t>29.8-5.4-2</t>
  </si>
  <si>
    <t>29.8-5.4-3</t>
  </si>
  <si>
    <t>29.8-5.5-1</t>
  </si>
  <si>
    <t>29.8-5.5-2</t>
  </si>
  <si>
    <t>29.8-5.5-3</t>
  </si>
  <si>
    <t>29.8-5.6-1</t>
  </si>
  <si>
    <t>29.8-5.6-2</t>
  </si>
  <si>
    <t>29.8-5.6-3</t>
  </si>
  <si>
    <t>29.8-5.7-1</t>
  </si>
  <si>
    <t>29.8-5.7-2</t>
  </si>
  <si>
    <t>29.8-5.7-3</t>
  </si>
  <si>
    <t>29.8-13.1-9</t>
  </si>
  <si>
    <t>29.8-13.1-10</t>
  </si>
  <si>
    <t>29.8-13.1-11</t>
  </si>
  <si>
    <t>29.8-13.1-12</t>
  </si>
  <si>
    <t>29.8-13.2-9</t>
  </si>
  <si>
    <t>29.8-13.2-10</t>
  </si>
  <si>
    <t>29.8-13.2-11</t>
  </si>
  <si>
    <t>29.8-13.2-12</t>
  </si>
  <si>
    <t>29.8-13.3-9</t>
  </si>
  <si>
    <t>29.8-13.3-10</t>
  </si>
  <si>
    <t>29.8-13.3-11</t>
  </si>
  <si>
    <t>29.8-13.3-12</t>
  </si>
  <si>
    <t>29.8-13.4-9</t>
  </si>
  <si>
    <t>29.8-13.4-10</t>
  </si>
  <si>
    <t>29.8-13.4-11</t>
  </si>
  <si>
    <t>29.8-13.4-12</t>
  </si>
  <si>
    <t>29.8-13.5-9</t>
  </si>
  <si>
    <t>29.8-13.5-10</t>
  </si>
  <si>
    <t>29.8-13.5-11</t>
  </si>
  <si>
    <t>29.8-13.5-12</t>
  </si>
  <si>
    <t>29.8-13.6-9</t>
  </si>
  <si>
    <t>29.8-13.6-10</t>
  </si>
  <si>
    <t>29.8-13.6-11</t>
  </si>
  <si>
    <t>29.8-13.6-12</t>
  </si>
  <si>
    <t>29.8-13.7-9</t>
  </si>
  <si>
    <t>29.8-13.7-10</t>
  </si>
  <si>
    <t>29.8-13.7-11</t>
  </si>
  <si>
    <t>29.8-13.7-12</t>
  </si>
  <si>
    <t>29.8-19.1-15</t>
  </si>
  <si>
    <t>29.8-19.1-16</t>
  </si>
  <si>
    <t>29.8-19.1-17</t>
  </si>
  <si>
    <t>29.8-19.1-18</t>
  </si>
  <si>
    <t>29.8-19.2-15</t>
  </si>
  <si>
    <t>29.8-19.2-16</t>
  </si>
  <si>
    <t>29.8-19.2-17</t>
  </si>
  <si>
    <t>29.8-19.2-18</t>
  </si>
  <si>
    <t>29.8-19.3-15</t>
  </si>
  <si>
    <t>29.8-19.3-16</t>
  </si>
  <si>
    <t>29.8-19.3-17</t>
  </si>
  <si>
    <t>29.8-19.3-18</t>
  </si>
  <si>
    <t>29.8-19.4-15</t>
  </si>
  <si>
    <t>29.8-19.4-16</t>
  </si>
  <si>
    <t>29.8-19.4-17</t>
  </si>
  <si>
    <t>29.8-19.4-18</t>
  </si>
  <si>
    <t>29.8-19.5-15</t>
  </si>
  <si>
    <t>29.8-19.5-16</t>
  </si>
  <si>
    <t>29.8-19.5-17</t>
  </si>
  <si>
    <t>29.8-19.5-18</t>
  </si>
  <si>
    <t>29.8-19.6-15</t>
  </si>
  <si>
    <t>29.8-19.6-16</t>
  </si>
  <si>
    <t>29.8-19.6-17</t>
  </si>
  <si>
    <t>29.8-19.6-18</t>
  </si>
  <si>
    <t>29.8-19.7-15</t>
  </si>
  <si>
    <t>29.8-19.7-16</t>
  </si>
  <si>
    <t>29.8-19.7-17</t>
  </si>
  <si>
    <t>29.8-19.7-18</t>
  </si>
  <si>
    <t>29.8-27.1-23</t>
  </si>
  <si>
    <t>29.8-27.1-24</t>
  </si>
  <si>
    <t>29.8-27.1-25</t>
  </si>
  <si>
    <t>29.8-27.1-26</t>
  </si>
  <si>
    <t>29.8-27.2-23</t>
  </si>
  <si>
    <t>29.8-27.2-24</t>
  </si>
  <si>
    <t>29.8-27.2-25</t>
  </si>
  <si>
    <t>29.8-27.2-26</t>
  </si>
  <si>
    <t>29.8-27.3-23</t>
  </si>
  <si>
    <t>29.8-27.3-24</t>
  </si>
  <si>
    <t>29.8-27.3-25</t>
  </si>
  <si>
    <t>29.8-27.3-26</t>
  </si>
  <si>
    <t>29.8-27.4-23</t>
  </si>
  <si>
    <t>29.8-27.4-24</t>
  </si>
  <si>
    <t>29.8-27.4-25</t>
  </si>
  <si>
    <t>29.8-27.4-26</t>
  </si>
  <si>
    <t>29.8-27.5-23</t>
  </si>
  <si>
    <t>29.8-27.5-24</t>
  </si>
  <si>
    <t>29.8-27.5-25</t>
  </si>
  <si>
    <t>29.8-27.5-26</t>
  </si>
  <si>
    <t>29.8-27.6-23</t>
  </si>
  <si>
    <t>29.8-27.6-24</t>
  </si>
  <si>
    <t>29.8-27.6-25</t>
  </si>
  <si>
    <t>29.8-27.6-26</t>
  </si>
  <si>
    <t>29.8-27.7-23</t>
  </si>
  <si>
    <t>29.8-27.7-24</t>
  </si>
  <si>
    <t>29.8-27.7-25</t>
  </si>
  <si>
    <t>29.8-27.7-26</t>
  </si>
  <si>
    <t>1-28</t>
  </si>
  <si>
    <t>G0 F40800 X15.0 Y75.0 Z0.55</t>
  </si>
  <si>
    <t>5.8-1</t>
  </si>
  <si>
    <t>G1 Y122.25 E1.509353</t>
  </si>
  <si>
    <t>5.8-2</t>
  </si>
  <si>
    <t>5.8-3</t>
  </si>
  <si>
    <t>G1 Y123.6 E0.503118</t>
  </si>
  <si>
    <t>5.8-4</t>
  </si>
  <si>
    <t>5.9-1</t>
  </si>
  <si>
    <t>G1 Y127.65 E1.509353</t>
  </si>
  <si>
    <t>5.9-2</t>
  </si>
  <si>
    <t>5.9-3</t>
  </si>
  <si>
    <t>G1 Y129.0 E0.503118</t>
  </si>
  <si>
    <t>5.9-4</t>
  </si>
  <si>
    <t>13.8-9</t>
  </si>
  <si>
    <t>13.8-10</t>
  </si>
  <si>
    <t>G1 Y120.9 E0.606166</t>
  </si>
  <si>
    <t>13.8-11</t>
  </si>
  <si>
    <t>13.8-12</t>
  </si>
  <si>
    <t>G1 Y124.95 E1.818498</t>
  </si>
  <si>
    <t>13.9-9</t>
  </si>
  <si>
    <t>13.9-10</t>
  </si>
  <si>
    <t>G1 Y126.3 E0.606166</t>
  </si>
  <si>
    <t>13.9-11</t>
  </si>
  <si>
    <t>13.9-12</t>
  </si>
  <si>
    <t>G1 Y130.35 E1.818498</t>
  </si>
  <si>
    <t>19.8-15</t>
  </si>
  <si>
    <t>19.8-16</t>
  </si>
  <si>
    <t>19.8-17</t>
  </si>
  <si>
    <t>19.8-18</t>
  </si>
  <si>
    <t>19.9-15</t>
  </si>
  <si>
    <t>19.9-16</t>
  </si>
  <si>
    <t>19.9-17</t>
  </si>
  <si>
    <t>19.9-18</t>
  </si>
  <si>
    <t>G0 F48000 X15.0 Y75.0 Z1.45</t>
  </si>
  <si>
    <t>27.8-23</t>
  </si>
  <si>
    <t>G1 Y122.25 E1.818498</t>
  </si>
  <si>
    <t>27.8-24</t>
  </si>
  <si>
    <t>27.8-25</t>
  </si>
  <si>
    <t>G1 Y123.6 E0.606166</t>
  </si>
  <si>
    <t>27.8-26</t>
  </si>
  <si>
    <t>27.9-23</t>
  </si>
  <si>
    <t>G1 Y127.65 E1.818498</t>
  </si>
  <si>
    <t>27.9-24</t>
  </si>
  <si>
    <t>27.9-25</t>
  </si>
  <si>
    <t>G1 Y129.0 E0.606166</t>
  </si>
  <si>
    <t>27.9-26</t>
  </si>
  <si>
    <t>G0 F48000 Y75.0 Z2.35</t>
  </si>
  <si>
    <t>29.1-1</t>
  </si>
  <si>
    <t>CartesianRepFeat5 of LineFeat1</t>
  </si>
  <si>
    <t>29.1-2</t>
  </si>
  <si>
    <t>CartesianRepFeat5 of LineFeat2</t>
  </si>
  <si>
    <t>29.1-3</t>
  </si>
  <si>
    <t>CartesianRepFeat5 of LineFeat3</t>
  </si>
  <si>
    <t>29.1-4</t>
  </si>
  <si>
    <t>CartesianRepFeat5 of LineFeat4</t>
  </si>
  <si>
    <t>29.1-5.8-1</t>
  </si>
  <si>
    <t>29.1-5.8-2</t>
  </si>
  <si>
    <t>29.1-5.8-3</t>
  </si>
  <si>
    <t>29.1-5.8-4</t>
  </si>
  <si>
    <t>29.1-5.9-1</t>
  </si>
  <si>
    <t>29.1-5.9-2</t>
  </si>
  <si>
    <t>29.1-5.9-3</t>
  </si>
  <si>
    <t>29.1-5.9-4</t>
  </si>
  <si>
    <t>29.1-9</t>
  </si>
  <si>
    <t>CartesianRepFeat5 of LineFeat5</t>
  </si>
  <si>
    <t>29.1-10</t>
  </si>
  <si>
    <t>CartesianRepFeat5 of LineFeat6</t>
  </si>
  <si>
    <t>29.1-11</t>
  </si>
  <si>
    <t>CartesianRepFeat5 of LineFeat7</t>
  </si>
  <si>
    <t>29.1-12</t>
  </si>
  <si>
    <t>CartesianRepFeat5 of LineFeat8</t>
  </si>
  <si>
    <t>29.1-13.8-9</t>
  </si>
  <si>
    <t>29.1-13.8-10</t>
  </si>
  <si>
    <t>29.1-13.8-11</t>
  </si>
  <si>
    <t>29.1-13.8-12</t>
  </si>
  <si>
    <t>29.1-13.9-9</t>
  </si>
  <si>
    <t>29.1-13.9-10</t>
  </si>
  <si>
    <t>29.1-13.9-11</t>
  </si>
  <si>
    <t>29.1-13.9-12</t>
  </si>
  <si>
    <t>G0 F48000 Y76.35 Z3.25</t>
  </si>
  <si>
    <t>29.1-15</t>
  </si>
  <si>
    <t>CartesianRepFeat5 of LineFeat9</t>
  </si>
  <si>
    <t>29.1-16</t>
  </si>
  <si>
    <t>CartesianRepFeat5 of LineFeat10</t>
  </si>
  <si>
    <t>29.1-17</t>
  </si>
  <si>
    <t>CartesianRepFeat5 of LineFeat11</t>
  </si>
  <si>
    <t>29.1-18</t>
  </si>
  <si>
    <t>CartesianRepFeat5 of LineFeat12</t>
  </si>
  <si>
    <t>29.1-19.8-15</t>
  </si>
  <si>
    <t>29.1-19.8-16</t>
  </si>
  <si>
    <t>29.1-19.8-17</t>
  </si>
  <si>
    <t>29.1-19.8-18</t>
  </si>
  <si>
    <t>29.1-19.9-15</t>
  </si>
  <si>
    <t>29.1-19.9-16</t>
  </si>
  <si>
    <t>29.1-19.9-17</t>
  </si>
  <si>
    <t>29.1-19.9-18</t>
  </si>
  <si>
    <t>G0 F48000 X15.0 Y75.0 Z3.25</t>
  </si>
  <si>
    <t>29.1-23</t>
  </si>
  <si>
    <t>CartesianRepFeat5 of LineFeat13</t>
  </si>
  <si>
    <t>29.1-24</t>
  </si>
  <si>
    <t>CartesianRepFeat5 of LineFeat14</t>
  </si>
  <si>
    <t>29.1-25</t>
  </si>
  <si>
    <t>CartesianRepFeat5 of LineFeat15</t>
  </si>
  <si>
    <t>29.1-26</t>
  </si>
  <si>
    <t>CartesianRepFeat5 of LineFeat16</t>
  </si>
  <si>
    <t>29.1-27.8-23</t>
  </si>
  <si>
    <t>29.1-27.8-24</t>
  </si>
  <si>
    <t>29.1-27.8-25</t>
  </si>
  <si>
    <t>29.1-27.8-26</t>
  </si>
  <si>
    <t>29.1-27.9-23</t>
  </si>
  <si>
    <t>29.1-27.9-24</t>
  </si>
  <si>
    <t>29.1-27.9-25</t>
  </si>
  <si>
    <t>29.1-27.9-26</t>
  </si>
  <si>
    <t>G0 F48000 Y75.0 Z4.15</t>
  </si>
  <si>
    <t>29.2-1</t>
  </si>
  <si>
    <t>29.2-2</t>
  </si>
  <si>
    <t>29.2-3</t>
  </si>
  <si>
    <t>29.2-4</t>
  </si>
  <si>
    <t>29.2-5.8-1</t>
  </si>
  <si>
    <t>29.2-5.8-2</t>
  </si>
  <si>
    <t>29.2-5.8-3</t>
  </si>
  <si>
    <t>29.2-5.8-4</t>
  </si>
  <si>
    <t>29.2-5.9-1</t>
  </si>
  <si>
    <t>29.2-5.9-2</t>
  </si>
  <si>
    <t>29.2-5.9-3</t>
  </si>
  <si>
    <t>29.2-5.9-4</t>
  </si>
  <si>
    <t>29.2-9</t>
  </si>
  <si>
    <t>29.2-10</t>
  </si>
  <si>
    <t>29.2-11</t>
  </si>
  <si>
    <t>29.2-12</t>
  </si>
  <si>
    <t>29.2-13.8-9</t>
  </si>
  <si>
    <t>29.2-13.8-10</t>
  </si>
  <si>
    <t>29.2-13.8-11</t>
  </si>
  <si>
    <t>29.2-13.8-12</t>
  </si>
  <si>
    <t>29.2-13.9-9</t>
  </si>
  <si>
    <t>29.2-13.9-10</t>
  </si>
  <si>
    <t>29.2-13.9-11</t>
  </si>
  <si>
    <t>29.2-13.9-12</t>
  </si>
  <si>
    <t>G0 F48000 Y76.35 Z5.05</t>
  </si>
  <si>
    <t>29.2-15</t>
  </si>
  <si>
    <t>29.2-16</t>
  </si>
  <si>
    <t>29.2-17</t>
  </si>
  <si>
    <t>29.2-18</t>
  </si>
  <si>
    <t>29.2-19.8-15</t>
  </si>
  <si>
    <t>29.2-19.8-16</t>
  </si>
  <si>
    <t>29.2-19.8-17</t>
  </si>
  <si>
    <t>29.2-19.8-18</t>
  </si>
  <si>
    <t>29.2-19.9-15</t>
  </si>
  <si>
    <t>29.2-19.9-16</t>
  </si>
  <si>
    <t>29.2-19.9-17</t>
  </si>
  <si>
    <t>29.2-19.9-18</t>
  </si>
  <si>
    <t>G0 F48000 X15.0 Y75.0 Z5.05</t>
  </si>
  <si>
    <t>29.2-23</t>
  </si>
  <si>
    <t>29.2-24</t>
  </si>
  <si>
    <t>29.2-25</t>
  </si>
  <si>
    <t>29.2-26</t>
  </si>
  <si>
    <t>29.2-27.8-23</t>
  </si>
  <si>
    <t>29.2-27.8-24</t>
  </si>
  <si>
    <t>29.2-27.8-25</t>
  </si>
  <si>
    <t>29.2-27.8-26</t>
  </si>
  <si>
    <t>29.2-27.9-23</t>
  </si>
  <si>
    <t>29.2-27.9-24</t>
  </si>
  <si>
    <t>29.2-27.9-25</t>
  </si>
  <si>
    <t>29.2-27.9-26</t>
  </si>
  <si>
    <t>G0 F48000 Y75.0 Z5.95</t>
  </si>
  <si>
    <t>29.3-1</t>
  </si>
  <si>
    <t>29.3-2</t>
  </si>
  <si>
    <t>29.3-3</t>
  </si>
  <si>
    <t>29.3-4</t>
  </si>
  <si>
    <t>29.3-5.8-1</t>
  </si>
  <si>
    <t>29.3-5.8-2</t>
  </si>
  <si>
    <t>29.3-5.8-3</t>
  </si>
  <si>
    <t>29.3-5.8-4</t>
  </si>
  <si>
    <t>29.3-5.9-1</t>
  </si>
  <si>
    <t>29.3-5.9-2</t>
  </si>
  <si>
    <t>29.3-5.9-3</t>
  </si>
  <si>
    <t>29.3-5.9-4</t>
  </si>
  <si>
    <t>29.3-9</t>
  </si>
  <si>
    <t>29.3-10</t>
  </si>
  <si>
    <t>29.3-11</t>
  </si>
  <si>
    <t>29.3-12</t>
  </si>
  <si>
    <t>29.3-13.8-9</t>
  </si>
  <si>
    <t>29.3-13.8-10</t>
  </si>
  <si>
    <t>29.3-13.8-11</t>
  </si>
  <si>
    <t>29.3-13.8-12</t>
  </si>
  <si>
    <t>29.3-13.9-9</t>
  </si>
  <si>
    <t>29.3-13.9-10</t>
  </si>
  <si>
    <t>29.3-13.9-11</t>
  </si>
  <si>
    <t>29.3-13.9-12</t>
  </si>
  <si>
    <t>G0 F48000 Y76.35 Z6.85</t>
  </si>
  <si>
    <t>29.3-15</t>
  </si>
  <si>
    <t>29.3-16</t>
  </si>
  <si>
    <t>29.3-17</t>
  </si>
  <si>
    <t>29.3-18</t>
  </si>
  <si>
    <t>29.3-19.8-15</t>
  </si>
  <si>
    <t>29.3-19.8-16</t>
  </si>
  <si>
    <t>29.3-19.8-17</t>
  </si>
  <si>
    <t>29.3-19.8-18</t>
  </si>
  <si>
    <t>29.3-19.9-15</t>
  </si>
  <si>
    <t>29.3-19.9-16</t>
  </si>
  <si>
    <t>29.3-19.9-17</t>
  </si>
  <si>
    <t>29.3-19.9-18</t>
  </si>
  <si>
    <t>G0 F48000 X15.0 Y75.0 Z6.85</t>
  </si>
  <si>
    <t>29.3-23</t>
  </si>
  <si>
    <t>29.3-24</t>
  </si>
  <si>
    <t>29.3-25</t>
  </si>
  <si>
    <t>29.3-26</t>
  </si>
  <si>
    <t>29.3-27.8-23</t>
  </si>
  <si>
    <t>29.3-27.8-24</t>
  </si>
  <si>
    <t>29.3-27.8-25</t>
  </si>
  <si>
    <t>29.3-27.8-26</t>
  </si>
  <si>
    <t>29.3-27.9-23</t>
  </si>
  <si>
    <t>29.3-27.9-24</t>
  </si>
  <si>
    <t>29.3-27.9-25</t>
  </si>
  <si>
    <t>29.3-27.9-26</t>
  </si>
  <si>
    <t>G0 F48000 Y75.0 Z7.75</t>
  </si>
  <si>
    <t>29.4-1</t>
  </si>
  <si>
    <t>29.4-2</t>
  </si>
  <si>
    <t>29.4-3</t>
  </si>
  <si>
    <t>29.4-4</t>
  </si>
  <si>
    <t>29.4-5.8-1</t>
  </si>
  <si>
    <t>29.4-5.8-2</t>
  </si>
  <si>
    <t>29.4-5.8-3</t>
  </si>
  <si>
    <t>29.4-5.8-4</t>
  </si>
  <si>
    <t>29.4-5.9-1</t>
  </si>
  <si>
    <t>29.4-5.9-2</t>
  </si>
  <si>
    <t>29.4-5.9-3</t>
  </si>
  <si>
    <t>29.4-5.9-4</t>
  </si>
  <si>
    <t>29.4-9</t>
  </si>
  <si>
    <t>29.4-10</t>
  </si>
  <si>
    <t>29.4-11</t>
  </si>
  <si>
    <t>29.4-12</t>
  </si>
  <si>
    <t>29.4-13.8-9</t>
  </si>
  <si>
    <t>29.4-13.8-10</t>
  </si>
  <si>
    <t>29.4-13.8-11</t>
  </si>
  <si>
    <t>29.4-13.8-12</t>
  </si>
  <si>
    <t>29.4-13.9-9</t>
  </si>
  <si>
    <t>29.4-13.9-10</t>
  </si>
  <si>
    <t>29.4-13.9-11</t>
  </si>
  <si>
    <t>29.4-13.9-12</t>
  </si>
  <si>
    <t>G0 F48000 Y76.35 Z8.65</t>
  </si>
  <si>
    <t>29.4-15</t>
  </si>
  <si>
    <t>29.4-16</t>
  </si>
  <si>
    <t>29.4-17</t>
  </si>
  <si>
    <t>29.4-18</t>
  </si>
  <si>
    <t>29.4-19.8-15</t>
  </si>
  <si>
    <t>29.4-19.8-16</t>
  </si>
  <si>
    <t>29.4-19.8-17</t>
  </si>
  <si>
    <t>29.4-19.8-18</t>
  </si>
  <si>
    <t>29.4-19.9-15</t>
  </si>
  <si>
    <t>29.4-19.9-16</t>
  </si>
  <si>
    <t>29.4-19.9-17</t>
  </si>
  <si>
    <t>29.4-19.9-18</t>
  </si>
  <si>
    <t>G0 F48000 X15.0 Y75.0 Z8.65</t>
  </si>
  <si>
    <t>29.4-23</t>
  </si>
  <si>
    <t>29.4-24</t>
  </si>
  <si>
    <t>29.4-25</t>
  </si>
  <si>
    <t>29.4-26</t>
  </si>
  <si>
    <t>29.4-27.8-23</t>
  </si>
  <si>
    <t>29.4-27.8-24</t>
  </si>
  <si>
    <t>29.4-27.8-25</t>
  </si>
  <si>
    <t>29.4-27.8-26</t>
  </si>
  <si>
    <t>29.4-27.9-23</t>
  </si>
  <si>
    <t>29.4-27.9-24</t>
  </si>
  <si>
    <t>29.4-27.9-25</t>
  </si>
  <si>
    <t>29.4-27.9-26</t>
  </si>
  <si>
    <t>G0 F48000 Y75.0 Z9.55</t>
  </si>
  <si>
    <t>29.5-1</t>
  </si>
  <si>
    <t>29.5-2</t>
  </si>
  <si>
    <t>29.5-3</t>
  </si>
  <si>
    <t>29.5-4</t>
  </si>
  <si>
    <t>29.5-5.8-1</t>
  </si>
  <si>
    <t>29.5-5.8-2</t>
  </si>
  <si>
    <t>29.5-5.8-3</t>
  </si>
  <si>
    <t>29.5-5.8-4</t>
  </si>
  <si>
    <t>29.5-5.9-1</t>
  </si>
  <si>
    <t>29.5-5.9-2</t>
  </si>
  <si>
    <t>29.5-5.9-3</t>
  </si>
  <si>
    <t>29.5-5.9-4</t>
  </si>
  <si>
    <t>29.5-9</t>
  </si>
  <si>
    <t>29.5-10</t>
  </si>
  <si>
    <t>29.5-11</t>
  </si>
  <si>
    <t>29.5-12</t>
  </si>
  <si>
    <t>29.5-13.8-9</t>
  </si>
  <si>
    <t>29.5-13.8-10</t>
  </si>
  <si>
    <t>29.5-13.8-11</t>
  </si>
  <si>
    <t>29.5-13.8-12</t>
  </si>
  <si>
    <t>29.5-13.9-9</t>
  </si>
  <si>
    <t>29.5-13.9-10</t>
  </si>
  <si>
    <t>29.5-13.9-11</t>
  </si>
  <si>
    <t>29.5-13.9-12</t>
  </si>
  <si>
    <t>G0 F48000 Y76.35 Z10.45</t>
  </si>
  <si>
    <t>29.5-15</t>
  </si>
  <si>
    <t>29.5-16</t>
  </si>
  <si>
    <t>29.5-17</t>
  </si>
  <si>
    <t>29.5-18</t>
  </si>
  <si>
    <t>29.5-19.8-15</t>
  </si>
  <si>
    <t>29.5-19.8-16</t>
  </si>
  <si>
    <t>29.5-19.8-17</t>
  </si>
  <si>
    <t>29.5-19.8-18</t>
  </si>
  <si>
    <t>29.5-19.9-15</t>
  </si>
  <si>
    <t>29.5-19.9-16</t>
  </si>
  <si>
    <t>29.5-19.9-17</t>
  </si>
  <si>
    <t>29.5-19.9-18</t>
  </si>
  <si>
    <t>G0 F48000 X15.0 Y75.0 Z10.45</t>
  </si>
  <si>
    <t>29.5-23</t>
  </si>
  <si>
    <t>29.5-24</t>
  </si>
  <si>
    <t>29.5-25</t>
  </si>
  <si>
    <t>29.5-26</t>
  </si>
  <si>
    <t>29.5-27.8-23</t>
  </si>
  <si>
    <t>29.5-27.8-24</t>
  </si>
  <si>
    <t>29.5-27.8-25</t>
  </si>
  <si>
    <t>29.5-27.8-26</t>
  </si>
  <si>
    <t>29.5-27.9-23</t>
  </si>
  <si>
    <t>29.5-27.9-24</t>
  </si>
  <si>
    <t>29.5-27.9-25</t>
  </si>
  <si>
    <t>29.5-27.9-26</t>
  </si>
  <si>
    <t>G0 F48000 Y75.0 Z11.35</t>
  </si>
  <si>
    <t>29.6-1</t>
  </si>
  <si>
    <t>29.6-2</t>
  </si>
  <si>
    <t>29.6-3</t>
  </si>
  <si>
    <t>29.6-4</t>
  </si>
  <si>
    <t>29.6-5.8-1</t>
  </si>
  <si>
    <t>29.6-5.8-2</t>
  </si>
  <si>
    <t>29.6-5.8-3</t>
  </si>
  <si>
    <t>29.6-5.8-4</t>
  </si>
  <si>
    <t>29.6-5.9-1</t>
  </si>
  <si>
    <t>29.6-5.9-2</t>
  </si>
  <si>
    <t>29.6-5.9-3</t>
  </si>
  <si>
    <t>29.6-5.9-4</t>
  </si>
  <si>
    <t>29.6-9</t>
  </si>
  <si>
    <t>29.6-10</t>
  </si>
  <si>
    <t>29.6-11</t>
  </si>
  <si>
    <t>29.6-12</t>
  </si>
  <si>
    <t>29.6-13.8-9</t>
  </si>
  <si>
    <t>29.6-13.8-10</t>
  </si>
  <si>
    <t>29.6-13.8-11</t>
  </si>
  <si>
    <t>29.6-13.8-12</t>
  </si>
  <si>
    <t>29.6-13.9-9</t>
  </si>
  <si>
    <t>29.6-13.9-10</t>
  </si>
  <si>
    <t>29.6-13.9-11</t>
  </si>
  <si>
    <t>29.6-13.9-12</t>
  </si>
  <si>
    <t>G0 F48000 Y76.35 Z12.25</t>
  </si>
  <si>
    <t>29.6-15</t>
  </si>
  <si>
    <t>29.6-16</t>
  </si>
  <si>
    <t>29.6-17</t>
  </si>
  <si>
    <t>29.6-18</t>
  </si>
  <si>
    <t>29.6-19.8-15</t>
  </si>
  <si>
    <t>29.6-19.8-16</t>
  </si>
  <si>
    <t>29.6-19.8-17</t>
  </si>
  <si>
    <t>29.6-19.8-18</t>
  </si>
  <si>
    <t>29.6-19.9-15</t>
  </si>
  <si>
    <t>29.6-19.9-16</t>
  </si>
  <si>
    <t>29.6-19.9-17</t>
  </si>
  <si>
    <t>29.6-19.9-18</t>
  </si>
  <si>
    <t>G0 F48000 X15.0 Y75.0 Z12.25</t>
  </si>
  <si>
    <t>29.6-23</t>
  </si>
  <si>
    <t>29.6-24</t>
  </si>
  <si>
    <t>29.6-25</t>
  </si>
  <si>
    <t>29.6-26</t>
  </si>
  <si>
    <t>29.6-27.8-23</t>
  </si>
  <si>
    <t>29.6-27.8-24</t>
  </si>
  <si>
    <t>29.6-27.8-25</t>
  </si>
  <si>
    <t>29.6-27.8-26</t>
  </si>
  <si>
    <t>29.6-27.9-23</t>
  </si>
  <si>
    <t>29.6-27.9-24</t>
  </si>
  <si>
    <t>29.6-27.9-25</t>
  </si>
  <si>
    <t>29.6-27.9-26</t>
  </si>
  <si>
    <t>G0 F48000 Y75.0 Z13.15</t>
  </si>
  <si>
    <t>29.7-1</t>
  </si>
  <si>
    <t>29.7-2</t>
  </si>
  <si>
    <t>29.7-3</t>
  </si>
  <si>
    <t>29.7-4</t>
  </si>
  <si>
    <t>29.7-5.8-1</t>
  </si>
  <si>
    <t>29.7-5.8-2</t>
  </si>
  <si>
    <t>29.7-5.8-3</t>
  </si>
  <si>
    <t>29.7-5.8-4</t>
  </si>
  <si>
    <t>29.7-5.9-1</t>
  </si>
  <si>
    <t>29.7-5.9-2</t>
  </si>
  <si>
    <t>29.7-5.9-3</t>
  </si>
  <si>
    <t>29.7-5.9-4</t>
  </si>
  <si>
    <t>29.7-9</t>
  </si>
  <si>
    <t>29.7-10</t>
  </si>
  <si>
    <t>29.7-11</t>
  </si>
  <si>
    <t>29.7-12</t>
  </si>
  <si>
    <t>29.7-13.8-9</t>
  </si>
  <si>
    <t>29.7-13.8-10</t>
  </si>
  <si>
    <t>29.7-13.8-11</t>
  </si>
  <si>
    <t>29.7-13.8-12</t>
  </si>
  <si>
    <t>29.7-13.9-9</t>
  </si>
  <si>
    <t>29.7-13.9-10</t>
  </si>
  <si>
    <t>29.7-13.9-11</t>
  </si>
  <si>
    <t>29.7-13.9-12</t>
  </si>
  <si>
    <t>G0 F48000 Y76.35 Z14.05</t>
  </si>
  <si>
    <t>29.7-15</t>
  </si>
  <si>
    <t>29.7-16</t>
  </si>
  <si>
    <t>29.7-17</t>
  </si>
  <si>
    <t>29.7-18</t>
  </si>
  <si>
    <t>29.7-19.8-15</t>
  </si>
  <si>
    <t>29.7-19.8-16</t>
  </si>
  <si>
    <t>29.7-19.8-17</t>
  </si>
  <si>
    <t>29.7-19.8-18</t>
  </si>
  <si>
    <t>29.7-19.9-15</t>
  </si>
  <si>
    <t>29.7-19.9-16</t>
  </si>
  <si>
    <t>29.7-19.9-17</t>
  </si>
  <si>
    <t>29.7-19.9-18</t>
  </si>
  <si>
    <t>G0 F48000 X15.0 Y75.0 Z14.05</t>
  </si>
  <si>
    <t>29.7-23</t>
  </si>
  <si>
    <t>29.7-24</t>
  </si>
  <si>
    <t>29.7-25</t>
  </si>
  <si>
    <t>29.7-26</t>
  </si>
  <si>
    <t>29.7-27.8-23</t>
  </si>
  <si>
    <t>29.7-27.8-24</t>
  </si>
  <si>
    <t>29.7-27.8-25</t>
  </si>
  <si>
    <t>29.7-27.8-26</t>
  </si>
  <si>
    <t>29.7-27.9-23</t>
  </si>
  <si>
    <t>29.7-27.9-24</t>
  </si>
  <si>
    <t>29.7-27.9-25</t>
  </si>
  <si>
    <t>29.7-27.9-26</t>
  </si>
  <si>
    <t>G0 F48000 Y75.0 Z14.95</t>
  </si>
  <si>
    <t>29.8-1</t>
  </si>
  <si>
    <t>29.8-2</t>
  </si>
  <si>
    <t>29.8-3</t>
  </si>
  <si>
    <t>29.8-4</t>
  </si>
  <si>
    <t>29.8-5.8-1</t>
  </si>
  <si>
    <t>29.8-5.8-2</t>
  </si>
  <si>
    <t>29.8-5.8-3</t>
  </si>
  <si>
    <t>29.8-5.8-4</t>
  </si>
  <si>
    <t>29.8-5.9-1</t>
  </si>
  <si>
    <t>29.8-5.9-2</t>
  </si>
  <si>
    <t>29.8-5.9-3</t>
  </si>
  <si>
    <t>29.8-5.9-4</t>
  </si>
  <si>
    <t>29.8-9</t>
  </si>
  <si>
    <t>29.8-10</t>
  </si>
  <si>
    <t>29.8-11</t>
  </si>
  <si>
    <t>29.8-12</t>
  </si>
  <si>
    <t>29.8-13.8-9</t>
  </si>
  <si>
    <t>29.8-13.8-10</t>
  </si>
  <si>
    <t>29.8-13.8-11</t>
  </si>
  <si>
    <t>29.8-13.8-12</t>
  </si>
  <si>
    <t>29.8-13.9-9</t>
  </si>
  <si>
    <t>29.8-13.9-10</t>
  </si>
  <si>
    <t>29.8-13.9-11</t>
  </si>
  <si>
    <t>29.8-13.9-12</t>
  </si>
  <si>
    <t>G0 F48000 Y76.35 Z15.85</t>
  </si>
  <si>
    <t>29.8-15</t>
  </si>
  <si>
    <t>29.8-16</t>
  </si>
  <si>
    <t>29.8-17</t>
  </si>
  <si>
    <t>29.8-18</t>
  </si>
  <si>
    <t>29.8-19.8-15</t>
  </si>
  <si>
    <t>29.8-19.8-16</t>
  </si>
  <si>
    <t>29.8-19.8-17</t>
  </si>
  <si>
    <t>29.8-19.8-18</t>
  </si>
  <si>
    <t>29.8-19.9-15</t>
  </si>
  <si>
    <t>29.8-19.9-16</t>
  </si>
  <si>
    <t>29.8-19.9-17</t>
  </si>
  <si>
    <t>29.8-19.9-18</t>
  </si>
  <si>
    <t>G0 F48000 X15.0 Y75.0 Z15.85</t>
  </si>
  <si>
    <t>29.8-23</t>
  </si>
  <si>
    <t>29.8-24</t>
  </si>
  <si>
    <t>29.8-25</t>
  </si>
  <si>
    <t>29.8-26</t>
  </si>
  <si>
    <t>29.8-27.8-23</t>
  </si>
  <si>
    <t>29.8-27.8-24</t>
  </si>
  <si>
    <t>29.8-27.8-25</t>
  </si>
  <si>
    <t>29.8-27.8-26</t>
  </si>
  <si>
    <t>29.8-27.9-23</t>
  </si>
  <si>
    <t>29.8-27.9-24</t>
  </si>
  <si>
    <t>29.8-27.9-25</t>
  </si>
  <si>
    <t>29.8-27.9-26</t>
  </si>
  <si>
    <t>G1 X140.0 E46.584977</t>
  </si>
  <si>
    <t>G1 X15.0 E46.584977</t>
  </si>
  <si>
    <t>G0 F48000 X141.35 Y76.35 Z0.55</t>
  </si>
  <si>
    <t>G1 F1500 X16.35 E56.126478</t>
  </si>
  <si>
    <t>G1 X141.35 E56.126478</t>
  </si>
  <si>
    <t>G1 X16.35 E56.126478</t>
  </si>
  <si>
    <t>G1 X140.0 E56.126478</t>
  </si>
  <si>
    <t>G1 X15.0 E56.126478</t>
  </si>
  <si>
    <t>G0 F48000 X141.35 Y76.35 Z2.35</t>
  </si>
  <si>
    <t>G0 F48000 X141.35 Y76.35 Z4.15</t>
  </si>
  <si>
    <t>G0 F48000 X141.35 Y76.35 Z5.95</t>
  </si>
  <si>
    <t>G0 F48000 X141.35 Y76.35 Z7.75</t>
  </si>
  <si>
    <t>G0 F48000 X141.35 Y76.35 Z9.55</t>
  </si>
  <si>
    <t>G0 F48000 X141.35 Y76.35 Z11.35</t>
  </si>
  <si>
    <t>G0 F48000 X141.35 Y76.35 Z13.15</t>
  </si>
  <si>
    <t>G0 F48000 X141.35 Y76.35 Z14.95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</si>
</sst>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6" fontId="0" fillId="2" borderId="1" xfId="0" quotePrefix="1"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2" activePane="bottomLeft" state="frozen"/>
      <selection activeCell="G268" sqref="G268"/>
      <selection pane="bottomLeft" activeCell="T40" sqref="T40"/>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6"/>
      <c r="C1" s="147"/>
      <c r="D1" s="147"/>
      <c r="E1" s="147"/>
      <c r="F1" s="147"/>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802</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15</v>
      </c>
      <c r="E8" s="2">
        <f>StartY</f>
        <v>75</v>
      </c>
      <c r="F8" s="2">
        <v>0</v>
      </c>
      <c r="G8" s="2" t="s">
        <v>100</v>
      </c>
      <c r="H8" s="2" t="str">
        <f>CONCATENATE("R", 3*ExtrusionSpacing_L1)</f>
        <v>R4.05</v>
      </c>
      <c r="I8" s="2" t="s">
        <v>100</v>
      </c>
      <c r="J8" s="2" t="s">
        <v>19</v>
      </c>
      <c r="K8" s="2">
        <f>ExtrusionWidth</f>
        <v>1.2</v>
      </c>
      <c r="L8" s="2">
        <f>ExtrusionHeight</f>
        <v>0.9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tr" cm="1">
        <f t="array" ref="G9">CONCATENATE("R", Length)</f>
        <v>R125</v>
      </c>
      <c r="H9" s="2" t="s">
        <v>100</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
        <v>100</v>
      </c>
      <c r="H10" s="2" t="str">
        <f>CONCATENATE("R", ExtrusionSpacing_L1)</f>
        <v>R1.35</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tr">
        <f>CONCATENATE("R-", Length)</f>
        <v>R-125</v>
      </c>
      <c r="H11" s="2" t="s">
        <v>100</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4*ExtrusionSpacing_L1</f>
        <v>5.4</v>
      </c>
      <c r="F12" s="2">
        <v>0</v>
      </c>
      <c r="G12" s="2">
        <f>FLOOR(Width/(4*ExtrusionSpacing_L1), 1)</f>
        <v>9</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49</v>
      </c>
      <c r="C13" s="2" t="s">
        <v>811</v>
      </c>
      <c r="D13" s="2"/>
      <c r="E13" s="2"/>
      <c r="F13" s="2"/>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49</v>
      </c>
      <c r="C14" s="2" t="s">
        <v>203</v>
      </c>
      <c r="D14" s="2">
        <v>1</v>
      </c>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634</v>
      </c>
      <c r="D15" s="2"/>
      <c r="E15" s="2"/>
      <c r="F15" s="143"/>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1</v>
      </c>
      <c r="C16" s="2" t="s">
        <v>18</v>
      </c>
      <c r="D16" s="2">
        <f>StartX+Length+ExtrusionSpacing_L1</f>
        <v>141.35</v>
      </c>
      <c r="E16" s="2">
        <f>StartY+ExtrusionSpacing_L1</f>
        <v>76.349999999999994</v>
      </c>
      <c r="F16" s="2">
        <v>1E-4</v>
      </c>
      <c r="G16" s="2" t="str">
        <f>CONCATENATE("R-", Length)</f>
        <v>R-125</v>
      </c>
      <c r="H16" s="2" t="s">
        <v>100</v>
      </c>
      <c r="I16" s="2" t="s">
        <v>100</v>
      </c>
      <c r="J16" s="2" t="s">
        <v>19</v>
      </c>
      <c r="K16" s="2">
        <f>ExtrusionWidth</f>
        <v>1.2</v>
      </c>
      <c r="L16" s="2">
        <f>ExtrusionHeight</f>
        <v>0.9</v>
      </c>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1</v>
      </c>
      <c r="C17" s="2" t="s">
        <v>18</v>
      </c>
      <c r="D17" s="2" t="s">
        <v>100</v>
      </c>
      <c r="E17" s="2" t="s">
        <v>100</v>
      </c>
      <c r="F17" s="2" t="s">
        <v>100</v>
      </c>
      <c r="G17" s="2" t="s">
        <v>100</v>
      </c>
      <c r="H17" s="2" t="str">
        <f>CONCATENATE("R", ExtrusionSpacing_L1)</f>
        <v>R1.35</v>
      </c>
      <c r="I17" s="2" t="s">
        <v>100</v>
      </c>
      <c r="J17" s="2" t="s">
        <v>19</v>
      </c>
      <c r="K17" s="2">
        <f>ExtrusionWidth</f>
        <v>1.2</v>
      </c>
      <c r="L17" s="2">
        <f>ExtrusionHeight</f>
        <v>0.9</v>
      </c>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t="s">
        <v>100</v>
      </c>
      <c r="E18" s="2" t="s">
        <v>100</v>
      </c>
      <c r="F18" s="2" t="s">
        <v>100</v>
      </c>
      <c r="G18" s="2" t="str" cm="1">
        <f t="array" ref="G18">CONCATENATE("R", Length)</f>
        <v>R125</v>
      </c>
      <c r="H18" s="2" t="s">
        <v>100</v>
      </c>
      <c r="I18" s="2" t="s">
        <v>100</v>
      </c>
      <c r="J18" s="2" t="s">
        <v>19</v>
      </c>
      <c r="K18" s="2">
        <f>ExtrusionWidth</f>
        <v>1.2</v>
      </c>
      <c r="L18" s="2">
        <f>ExtrusionHeight</f>
        <v>0.9</v>
      </c>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
        <v>100</v>
      </c>
      <c r="H19" s="2" t="str">
        <f>CONCATENATE("R", 3*ExtrusionSpacing_L1)</f>
        <v>R4.05</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55</v>
      </c>
      <c r="C20" s="98" t="s">
        <v>1001</v>
      </c>
      <c r="D20" s="2">
        <v>0</v>
      </c>
      <c r="E20" s="2">
        <f>4*ExtrusionSpacing_L1</f>
        <v>5.4</v>
      </c>
      <c r="F20" s="2">
        <v>0</v>
      </c>
      <c r="G20" s="2">
        <f>FLOOR(Width/(4*ExtrusionSpacing_L1), 1)</f>
        <v>9</v>
      </c>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39</v>
      </c>
      <c r="C21" s="2">
        <v>1.25</v>
      </c>
      <c r="D21" s="2">
        <v>2100</v>
      </c>
      <c r="E21" s="2">
        <f>LayerHeight</f>
        <v>0.9</v>
      </c>
      <c r="F21" s="2">
        <v>10000</v>
      </c>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1</v>
      </c>
      <c r="C22" s="2" t="s">
        <v>18</v>
      </c>
      <c r="D22" s="2">
        <f>StartX+Length+ExtrusionSpacing_L1</f>
        <v>141.35</v>
      </c>
      <c r="E22" s="2">
        <f>StartY+ExtrusionSpacing_L1</f>
        <v>76.349999999999994</v>
      </c>
      <c r="F22" s="2" t="s">
        <v>100</v>
      </c>
      <c r="G22" s="2" t="str">
        <f>CONCATENATE("R-", Length)</f>
        <v>R-125</v>
      </c>
      <c r="H22" s="2" t="s">
        <v>100</v>
      </c>
      <c r="I22" s="2" t="s">
        <v>100</v>
      </c>
      <c r="J22" s="2" t="s">
        <v>19</v>
      </c>
      <c r="K22" s="2">
        <f>ExtrusionWidth</f>
        <v>1.2</v>
      </c>
      <c r="L22" s="2">
        <f>ExtrusionHeight</f>
        <v>0.9</v>
      </c>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1</v>
      </c>
      <c r="C23" s="2" t="s">
        <v>18</v>
      </c>
      <c r="D23" s="2" t="s">
        <v>100</v>
      </c>
      <c r="E23" s="2" t="s">
        <v>100</v>
      </c>
      <c r="F23" s="2" t="s">
        <v>100</v>
      </c>
      <c r="G23" s="2" t="s">
        <v>100</v>
      </c>
      <c r="H23" s="2" t="str">
        <f>CONCATENATE("R", ExtrusionSpacing_L1)</f>
        <v>R1.35</v>
      </c>
      <c r="I23" s="2" t="s">
        <v>100</v>
      </c>
      <c r="J23" s="2" t="s">
        <v>19</v>
      </c>
      <c r="K23" s="2">
        <f>ExtrusionWidth</f>
        <v>1.2</v>
      </c>
      <c r="L23" s="2">
        <f>ExtrusionHeight</f>
        <v>0.9</v>
      </c>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t="s">
        <v>1</v>
      </c>
      <c r="C24" s="2" t="s">
        <v>18</v>
      </c>
      <c r="D24" s="2" t="s">
        <v>100</v>
      </c>
      <c r="E24" s="2" t="s">
        <v>100</v>
      </c>
      <c r="F24" s="2" t="s">
        <v>100</v>
      </c>
      <c r="G24" s="2" t="str" cm="1">
        <f t="array" ref="G24">CONCATENATE("R", Length)</f>
        <v>R125</v>
      </c>
      <c r="H24" s="2" t="s">
        <v>100</v>
      </c>
      <c r="I24" s="2" t="s">
        <v>100</v>
      </c>
      <c r="J24" s="2" t="s">
        <v>19</v>
      </c>
      <c r="K24" s="2">
        <f>ExtrusionWidth</f>
        <v>1.2</v>
      </c>
      <c r="L24" s="2">
        <f>ExtrusionHeight</f>
        <v>0.9</v>
      </c>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t="s">
        <v>1</v>
      </c>
      <c r="C25" s="2" t="s">
        <v>18</v>
      </c>
      <c r="D25" s="2" t="s">
        <v>100</v>
      </c>
      <c r="E25" s="2" t="s">
        <v>100</v>
      </c>
      <c r="F25" s="2" t="s">
        <v>100</v>
      </c>
      <c r="G25" s="2" t="s">
        <v>100</v>
      </c>
      <c r="H25" s="2" t="str">
        <f>CONCATENATE("R", 3*ExtrusionSpacing_L1)</f>
        <v>R4.05</v>
      </c>
      <c r="I25" s="2" t="s">
        <v>100</v>
      </c>
      <c r="J25" s="2" t="s">
        <v>19</v>
      </c>
      <c r="K25" s="2">
        <f>ExtrusionWidth</f>
        <v>1.2</v>
      </c>
      <c r="L25" s="2">
        <f>ExtrusionHeight</f>
        <v>0.9</v>
      </c>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t="s">
        <v>55</v>
      </c>
      <c r="C26" s="98" t="s">
        <v>1002</v>
      </c>
      <c r="D26" s="2">
        <v>0</v>
      </c>
      <c r="E26" s="2">
        <f>4*ExtrusionSpacing_L1</f>
        <v>5.4</v>
      </c>
      <c r="F26" s="2">
        <v>0</v>
      </c>
      <c r="G26" s="2">
        <f>FLOOR(Width/(4*ExtrusionSpacing_L1), 1)</f>
        <v>9</v>
      </c>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49</v>
      </c>
      <c r="C27" s="2" t="s">
        <v>811</v>
      </c>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49</v>
      </c>
      <c r="C28" s="2" t="s">
        <v>203</v>
      </c>
      <c r="D28" s="2">
        <v>0</v>
      </c>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49</v>
      </c>
      <c r="C29" s="2" t="s">
        <v>634</v>
      </c>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f>StartX</f>
        <v>15</v>
      </c>
      <c r="E30" s="2">
        <f>StartY</f>
        <v>75</v>
      </c>
      <c r="F30" s="2">
        <f>LayerHeight</f>
        <v>0.9</v>
      </c>
      <c r="G30" s="2" t="s">
        <v>100</v>
      </c>
      <c r="H30" s="2" t="str">
        <f>CONCATENATE("R", 3*ExtrusionSpacing_L1)</f>
        <v>R4.05</v>
      </c>
      <c r="I30" s="2" t="s">
        <v>100</v>
      </c>
      <c r="J30" s="2" t="s">
        <v>19</v>
      </c>
      <c r="K30" s="2">
        <f>ExtrusionWidth</f>
        <v>1.2</v>
      </c>
      <c r="L30" s="2">
        <f>ExtrusionHeight</f>
        <v>0.9</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1</v>
      </c>
      <c r="C31" s="2" t="s">
        <v>18</v>
      </c>
      <c r="D31" s="2" t="s">
        <v>100</v>
      </c>
      <c r="E31" s="2" t="s">
        <v>100</v>
      </c>
      <c r="F31" s="2" t="s">
        <v>100</v>
      </c>
      <c r="G31" s="2" t="str" cm="1">
        <f t="array" ref="G31">CONCATENATE("R", Length)</f>
        <v>R125</v>
      </c>
      <c r="H31" s="2" t="s">
        <v>100</v>
      </c>
      <c r="I31" s="2" t="s">
        <v>100</v>
      </c>
      <c r="J31" s="2" t="s">
        <v>19</v>
      </c>
      <c r="K31" s="2">
        <f>ExtrusionWidth</f>
        <v>1.2</v>
      </c>
      <c r="L31" s="2">
        <f>ExtrusionHeight</f>
        <v>0.9</v>
      </c>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t="s">
        <v>100</v>
      </c>
      <c r="E32" s="2" t="s">
        <v>100</v>
      </c>
      <c r="F32" s="2" t="s">
        <v>100</v>
      </c>
      <c r="G32" s="2" t="s">
        <v>100</v>
      </c>
      <c r="H32" s="2" t="str">
        <f>CONCATENATE("R", ExtrusionSpacing_L1)</f>
        <v>R1.35</v>
      </c>
      <c r="I32" s="2" t="s">
        <v>100</v>
      </c>
      <c r="J32" s="2" t="s">
        <v>19</v>
      </c>
      <c r="K32" s="2">
        <f>ExtrusionWidth</f>
        <v>1.2</v>
      </c>
      <c r="L32" s="2">
        <f>ExtrusionHeight</f>
        <v>0.9</v>
      </c>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1</v>
      </c>
      <c r="C33" s="2" t="s">
        <v>18</v>
      </c>
      <c r="D33" s="2" t="s">
        <v>100</v>
      </c>
      <c r="E33" s="2" t="s">
        <v>100</v>
      </c>
      <c r="F33" s="2" t="s">
        <v>100</v>
      </c>
      <c r="G33" s="2" t="str">
        <f>CONCATENATE("R-", Length)</f>
        <v>R-125</v>
      </c>
      <c r="H33" s="2" t="s">
        <v>100</v>
      </c>
      <c r="I33" s="2" t="s">
        <v>100</v>
      </c>
      <c r="J33" s="2" t="s">
        <v>19</v>
      </c>
      <c r="K33" s="2">
        <f>ExtrusionWidth</f>
        <v>1.2</v>
      </c>
      <c r="L33" s="2">
        <f>ExtrusionHeight</f>
        <v>0.9</v>
      </c>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55</v>
      </c>
      <c r="C34" s="98" t="s">
        <v>767</v>
      </c>
      <c r="D34" s="2">
        <v>0</v>
      </c>
      <c r="E34" s="2">
        <f>4*ExtrusionSpacing_L1</f>
        <v>5.4</v>
      </c>
      <c r="F34" s="2">
        <v>0</v>
      </c>
      <c r="G34" s="2">
        <f>FLOOR(Width/(4*ExtrusionSpacing_L1), 1)</f>
        <v>9</v>
      </c>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39</v>
      </c>
      <c r="C35" s="2">
        <v>1.25</v>
      </c>
      <c r="D35" s="2">
        <v>2100</v>
      </c>
      <c r="E35" s="2">
        <f>LayerHeight</f>
        <v>0.9</v>
      </c>
      <c r="F35" s="2">
        <v>10000</v>
      </c>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55</v>
      </c>
      <c r="C36" s="145" t="s">
        <v>1919</v>
      </c>
      <c r="D36" s="2">
        <v>0</v>
      </c>
      <c r="E36" s="2">
        <v>0</v>
      </c>
      <c r="F36" s="2">
        <f>2*LayerHeight</f>
        <v>1.8</v>
      </c>
      <c r="G36" s="2">
        <f>FLOOR(Height/(2*LayerHeight),1)</f>
        <v>8</v>
      </c>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670</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669</v>
      </c>
      <c r="T38" s="75">
        <v>1.1000000000000001</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808</v>
      </c>
      <c r="T39" s="75">
        <v>1.2</v>
      </c>
      <c r="U39" s="92" t="s">
        <v>109</v>
      </c>
    </row>
    <row r="40" spans="1:40" x14ac:dyDescent="0.25">
      <c r="A40" s="2">
        <v>33</v>
      </c>
      <c r="B40" s="2"/>
      <c r="C40" s="98"/>
      <c r="D40" s="2"/>
      <c r="E40" s="2"/>
      <c r="F40" s="2"/>
      <c r="G40" s="2"/>
      <c r="H40" s="2"/>
      <c r="I40" s="2"/>
      <c r="J40" s="2"/>
      <c r="K40" s="2"/>
      <c r="L40" s="2"/>
      <c r="M40" s="2"/>
      <c r="N40" s="2"/>
      <c r="O40" s="2"/>
      <c r="P40" s="2"/>
      <c r="Q40" s="2"/>
      <c r="S40" s="75" t="s">
        <v>809</v>
      </c>
      <c r="T40" s="75">
        <v>0.9</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467</v>
      </c>
      <c r="U41" s="92" t="s">
        <v>109</v>
      </c>
    </row>
    <row r="42" spans="1:40" x14ac:dyDescent="0.25">
      <c r="A42" s="2">
        <v>35</v>
      </c>
      <c r="B42" s="143"/>
      <c r="C42" s="2"/>
      <c r="D42" s="2"/>
      <c r="E42" s="2"/>
      <c r="F42" s="2"/>
      <c r="G42" s="2"/>
      <c r="H42" s="2"/>
      <c r="I42" s="2"/>
      <c r="J42" s="2"/>
      <c r="K42" s="2"/>
      <c r="L42" s="2"/>
      <c r="M42" s="2"/>
      <c r="N42" s="2"/>
      <c r="O42" s="2"/>
      <c r="P42" s="2"/>
      <c r="Q42" s="2"/>
      <c r="S42" s="75" t="s">
        <v>309</v>
      </c>
      <c r="T42" s="75">
        <v>0.9</v>
      </c>
      <c r="U42" s="92" t="s">
        <v>109</v>
      </c>
    </row>
    <row r="43" spans="1:40" x14ac:dyDescent="0.25">
      <c r="A43" s="2">
        <v>36</v>
      </c>
      <c r="B43" s="143"/>
      <c r="C43" s="2"/>
      <c r="D43" s="2"/>
      <c r="E43" s="2"/>
      <c r="F43" s="2"/>
      <c r="G43" s="2"/>
      <c r="H43" s="2"/>
      <c r="I43" s="2"/>
      <c r="J43" s="2"/>
      <c r="K43" s="2"/>
      <c r="L43" s="2"/>
      <c r="M43" s="2"/>
      <c r="N43" s="2"/>
      <c r="O43" s="2"/>
      <c r="P43" s="2"/>
      <c r="Q43" s="2"/>
      <c r="S43" s="75" t="s">
        <v>846</v>
      </c>
      <c r="T43" s="75">
        <v>125</v>
      </c>
      <c r="U43" s="92" t="s">
        <v>109</v>
      </c>
    </row>
    <row r="44" spans="1:40" x14ac:dyDescent="0.25">
      <c r="A44" s="2">
        <v>37</v>
      </c>
      <c r="B44" s="143"/>
      <c r="C44" s="2"/>
      <c r="D44" s="2"/>
      <c r="E44" s="2"/>
      <c r="F44" s="2"/>
      <c r="G44" s="2"/>
      <c r="H44" s="2"/>
      <c r="I44" s="2"/>
      <c r="J44" s="2"/>
      <c r="K44" s="2"/>
      <c r="L44" s="2"/>
      <c r="M44" s="2"/>
      <c r="N44" s="2"/>
      <c r="O44" s="2"/>
      <c r="P44" s="2"/>
      <c r="Q44" s="2"/>
      <c r="S44" s="75" t="s">
        <v>179</v>
      </c>
      <c r="T44" s="75">
        <v>50</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271</v>
      </c>
      <c r="T46" s="75">
        <v>15</v>
      </c>
      <c r="U46" s="92" t="s">
        <v>109</v>
      </c>
    </row>
    <row r="47" spans="1:40" x14ac:dyDescent="0.25">
      <c r="A47" s="2">
        <v>40</v>
      </c>
      <c r="B47" s="143"/>
      <c r="C47" s="2"/>
      <c r="D47" s="2"/>
      <c r="E47" s="2"/>
      <c r="F47" s="2"/>
      <c r="G47" s="2"/>
      <c r="H47" s="2"/>
      <c r="I47" s="2"/>
      <c r="J47" s="2"/>
      <c r="K47" s="2"/>
      <c r="L47" s="2"/>
      <c r="M47" s="2"/>
      <c r="N47" s="2"/>
      <c r="O47" s="2"/>
      <c r="P47" s="2"/>
      <c r="Q47" s="2"/>
      <c r="S47" s="75" t="s">
        <v>272</v>
      </c>
      <c r="T47" s="75">
        <v>75</v>
      </c>
      <c r="U47"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847</v>
      </c>
      <c r="C37" s="58" t="s">
        <v>128</v>
      </c>
      <c r="D37" s="2" t="s">
        <v>617</v>
      </c>
      <c r="U37" s="89"/>
      <c r="AO37" t="s">
        <v>130</v>
      </c>
      <c r="AP37" t="s">
        <v>848</v>
      </c>
      <c r="AQ37" t="s">
        <v>129</v>
      </c>
      <c r="AR37" t="s">
        <v>847</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762</v>
      </c>
      <c r="C40" s="2" t="s">
        <v>203</v>
      </c>
      <c r="D40" s="2">
        <v>0</v>
      </c>
      <c r="E40" s="2"/>
      <c r="F40" s="2"/>
      <c r="G40" s="2"/>
      <c r="H40" s="2"/>
      <c r="I40" s="2"/>
      <c r="J40" s="2"/>
      <c r="K40" s="2"/>
      <c r="L40" s="2"/>
      <c r="M40" s="2"/>
      <c r="N40" s="2"/>
      <c r="O40" s="2"/>
      <c r="P40" s="2"/>
      <c r="Q40" s="2" t="s">
        <v>668</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15</v>
      </c>
      <c r="E42" s="2">
        <f>StartY</f>
        <v>75</v>
      </c>
      <c r="F42" s="2">
        <v>0</v>
      </c>
      <c r="G42" s="2" t="str">
        <f>CONCATENATE("R", 3*ExtrusionSpacing_L1)</f>
        <v>R4.05</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R125</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R1.35</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R-125</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766</v>
      </c>
      <c r="D46" s="2">
        <f>4*ExtrusionSpacing_L1</f>
        <v>5.4</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811</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51.35</v>
      </c>
      <c r="H50" s="2">
        <f>50+Length+ExtrusionSpacing_L1</f>
        <v>176.35</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16.350000000000001</v>
      </c>
      <c r="E51" s="2">
        <f>StartY+Length+ExtrusionSpacing_L1</f>
        <v>201.35</v>
      </c>
      <c r="F51" s="2">
        <v>1E-4</v>
      </c>
      <c r="G51" s="2" t="s">
        <v>100</v>
      </c>
      <c r="H51" s="2" t="str">
        <f>CONCATENATE("R-", Length)</f>
        <v>R-125</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R1.35</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R125</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R4.05</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765</v>
      </c>
      <c r="D55" s="2">
        <f>4*ExtrusionSpacing_L1</f>
        <v>5.4</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51.35</v>
      </c>
      <c r="H57" s="2">
        <f>50+Length+ExtrusionSpacing_L1</f>
        <v>176.35</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16.350000000000001</v>
      </c>
      <c r="E58" s="2">
        <f>StartY+Length+ExtrusionSpacing_L1</f>
        <v>201.35</v>
      </c>
      <c r="F58" s="2" t="s">
        <v>100</v>
      </c>
      <c r="G58" s="2" t="s">
        <v>100</v>
      </c>
      <c r="H58" s="2" t="str">
        <f>CONCATENATE("R-", Length)</f>
        <v>R-125</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R1.35</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R125</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R4.05</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810</v>
      </c>
      <c r="D62" s="2">
        <f>4*ExtrusionSpacing_L1</f>
        <v>5.4</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811</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15</v>
      </c>
      <c r="E67" s="2">
        <f>StartY</f>
        <v>75</v>
      </c>
      <c r="F67" s="2">
        <f>LayerHeight</f>
        <v>0.9</v>
      </c>
      <c r="G67" s="2" t="str">
        <f>CONCATENATE("R", 3*ExtrusionSpacing_L1)</f>
        <v>R4.05</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R125</v>
      </c>
      <c r="I68" s="2" t="s">
        <v>100</v>
      </c>
      <c r="J68" s="2" t="s">
        <v>19</v>
      </c>
      <c r="K68" s="2">
        <f>ExtrusionWidth</f>
        <v>1.2</v>
      </c>
      <c r="L68" s="2">
        <f>ExtrusionHeight</f>
        <v>0.9</v>
      </c>
      <c r="M68" s="2"/>
      <c r="N68" s="2"/>
      <c r="O68" s="2"/>
      <c r="P68" s="2"/>
      <c r="Q68" s="2"/>
      <c r="R68" s="29"/>
      <c r="S68" s="75" t="s">
        <v>670</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R1.35</v>
      </c>
      <c r="H69" s="2" t="s">
        <v>100</v>
      </c>
      <c r="I69" s="2" t="s">
        <v>100</v>
      </c>
      <c r="J69" s="2" t="s">
        <v>19</v>
      </c>
      <c r="K69" s="2">
        <f>ExtrusionWidth</f>
        <v>1.2</v>
      </c>
      <c r="L69" s="2">
        <f>ExtrusionHeight</f>
        <v>0.9</v>
      </c>
      <c r="M69" s="2"/>
      <c r="N69" s="2"/>
      <c r="O69" s="2"/>
      <c r="P69" s="2"/>
      <c r="Q69" s="2"/>
      <c r="R69" s="29"/>
      <c r="S69" s="75" t="s">
        <v>669</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R-125</v>
      </c>
      <c r="I70" s="2" t="s">
        <v>100</v>
      </c>
      <c r="J70" s="2" t="s">
        <v>19</v>
      </c>
      <c r="K70" s="2">
        <f>ExtrusionWidth</f>
        <v>1.2</v>
      </c>
      <c r="L70" s="2">
        <f>ExtrusionHeight</f>
        <v>0.9</v>
      </c>
      <c r="M70" s="2"/>
      <c r="N70" s="2"/>
      <c r="O70" s="2"/>
      <c r="P70" s="2"/>
      <c r="Q70" s="2"/>
      <c r="S70" s="75" t="s">
        <v>808</v>
      </c>
      <c r="T70" s="75">
        <v>1.2</v>
      </c>
      <c r="U70" s="92" t="s">
        <v>109</v>
      </c>
    </row>
    <row r="71" spans="1:46" x14ac:dyDescent="0.25">
      <c r="A71" s="2">
        <v>33</v>
      </c>
      <c r="B71" s="2" t="s">
        <v>55</v>
      </c>
      <c r="C71" s="98" t="s">
        <v>817</v>
      </c>
      <c r="D71" s="2">
        <f>4*ExtrusionSpacing_L1</f>
        <v>5.4</v>
      </c>
      <c r="E71" s="2">
        <v>0</v>
      </c>
      <c r="F71" s="2">
        <v>0</v>
      </c>
      <c r="G71" s="2">
        <v>20</v>
      </c>
      <c r="H71" s="2"/>
      <c r="I71" s="2"/>
      <c r="J71" s="2"/>
      <c r="K71" s="2"/>
      <c r="L71" s="2"/>
      <c r="M71" s="2"/>
      <c r="N71" s="2"/>
      <c r="O71" s="2"/>
      <c r="P71" s="2"/>
      <c r="Q71" s="2"/>
      <c r="S71" s="75" t="s">
        <v>809</v>
      </c>
      <c r="T71" s="75">
        <v>0.9</v>
      </c>
      <c r="U71" s="92" t="s">
        <v>109</v>
      </c>
      <c r="AO71" t="s">
        <v>130</v>
      </c>
      <c r="AP71" t="s">
        <v>801</v>
      </c>
      <c r="AQ71" t="s">
        <v>129</v>
      </c>
      <c r="AR71" t="s">
        <v>800</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830</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846</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849</v>
      </c>
      <c r="C80" s="58" t="s">
        <v>128</v>
      </c>
      <c r="D80" s="2" t="s">
        <v>617</v>
      </c>
      <c r="U80" s="89"/>
      <c r="AO80" t="s">
        <v>130</v>
      </c>
      <c r="AP80" t="s">
        <v>850</v>
      </c>
      <c r="AQ80" t="s">
        <v>129</v>
      </c>
      <c r="AR80" t="s">
        <v>849</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762</v>
      </c>
      <c r="C83" s="2" t="s">
        <v>203</v>
      </c>
      <c r="D83" s="2">
        <v>0</v>
      </c>
      <c r="E83" s="2"/>
      <c r="F83" s="2"/>
      <c r="G83" s="2"/>
      <c r="H83" s="2"/>
      <c r="I83" s="2"/>
      <c r="J83" s="2"/>
      <c r="K83" s="2"/>
      <c r="L83" s="2"/>
      <c r="M83" s="2"/>
      <c r="N83" s="2"/>
      <c r="O83" s="2"/>
      <c r="P83" s="2"/>
      <c r="Q83" s="2" t="s">
        <v>668</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15</v>
      </c>
      <c r="E85" s="2">
        <f>StartY</f>
        <v>75</v>
      </c>
      <c r="F85" s="2">
        <v>0</v>
      </c>
      <c r="G85" s="2" t="str">
        <f>CONCATENATE("R", 3*ExtrusionSpacing_L1)</f>
        <v>R4.05</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R125</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R1.35</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R-125</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766</v>
      </c>
      <c r="D89" s="2">
        <f>4*ExtrusionSpacing_L1</f>
        <v>5.4</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811</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51.35</v>
      </c>
      <c r="H93" s="2">
        <f>50+Length+ExtrusionSpacing_L1</f>
        <v>176.35</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16.350000000000001</v>
      </c>
      <c r="E94" s="2">
        <f>StartY+Length+ExtrusionSpacing_L1</f>
        <v>201.35</v>
      </c>
      <c r="F94" s="2">
        <v>1E-4</v>
      </c>
      <c r="G94" s="2" t="s">
        <v>100</v>
      </c>
      <c r="H94" s="2" t="str">
        <f>CONCATENATE("R-", Length)</f>
        <v>R-125</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R1.35</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R125</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R4.05</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765</v>
      </c>
      <c r="D98" s="2">
        <f>4*ExtrusionSpacing_L1</f>
        <v>5.4</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51.35</v>
      </c>
      <c r="H100" s="2">
        <f>50+Length+ExtrusionSpacing_L1</f>
        <v>176.35</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15</v>
      </c>
      <c r="E101" s="2">
        <f>StartY</f>
        <v>75</v>
      </c>
      <c r="F101" s="2" t="s">
        <v>100</v>
      </c>
      <c r="G101" s="2" t="str">
        <f>CONCATENATE("R", 3*ExtrusionSpacing_L1)</f>
        <v>R4.05</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R125</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R1.35</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R-125</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810</v>
      </c>
      <c r="D105" s="2">
        <f>4*ExtrusionSpacing_L1</f>
        <v>5.4</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811</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16.350000000000001</v>
      </c>
      <c r="E110" s="2">
        <f>StartY+Length+ExtrusionSpacing_L1</f>
        <v>201.35</v>
      </c>
      <c r="F110" s="2">
        <v>0.9</v>
      </c>
      <c r="G110" s="2" t="s">
        <v>100</v>
      </c>
      <c r="H110" s="2" t="str">
        <f>CONCATENATE("R-", Length)</f>
        <v>R-125</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R1.35</v>
      </c>
      <c r="H111" s="2" t="s">
        <v>100</v>
      </c>
      <c r="I111" s="2" t="s">
        <v>100</v>
      </c>
      <c r="J111" s="2" t="s">
        <v>19</v>
      </c>
      <c r="K111" s="2">
        <f>ExtrusionWidth</f>
        <v>1.2</v>
      </c>
      <c r="L111" s="2">
        <f>ExtrusionHeight</f>
        <v>0.9</v>
      </c>
      <c r="M111" s="2"/>
      <c r="N111" s="2"/>
      <c r="O111" s="2"/>
      <c r="P111" s="2"/>
      <c r="Q111" s="2"/>
      <c r="R111" s="29"/>
      <c r="S111" s="75" t="s">
        <v>670</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R125</v>
      </c>
      <c r="I112" s="2" t="s">
        <v>100</v>
      </c>
      <c r="J112" s="2" t="s">
        <v>19</v>
      </c>
      <c r="K112" s="2">
        <f>ExtrusionWidth</f>
        <v>1.2</v>
      </c>
      <c r="L112" s="2">
        <f>ExtrusionHeight</f>
        <v>0.9</v>
      </c>
      <c r="M112" s="2"/>
      <c r="N112" s="2"/>
      <c r="O112" s="2"/>
      <c r="P112" s="2"/>
      <c r="Q112" s="2"/>
      <c r="R112" s="29"/>
      <c r="S112" s="75" t="s">
        <v>669</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R4.05</v>
      </c>
      <c r="H113" s="2" t="s">
        <v>100</v>
      </c>
      <c r="I113" s="2" t="s">
        <v>100</v>
      </c>
      <c r="J113" s="2" t="s">
        <v>19</v>
      </c>
      <c r="K113" s="2">
        <f>ExtrusionWidth</f>
        <v>1.2</v>
      </c>
      <c r="L113" s="2">
        <f>ExtrusionHeight</f>
        <v>0.9</v>
      </c>
      <c r="M113" s="2"/>
      <c r="N113" s="2"/>
      <c r="O113" s="2"/>
      <c r="P113" s="2"/>
      <c r="Q113" s="2"/>
      <c r="S113" s="75" t="s">
        <v>808</v>
      </c>
      <c r="T113" s="75">
        <v>1.2</v>
      </c>
      <c r="U113" s="92" t="s">
        <v>109</v>
      </c>
    </row>
    <row r="114" spans="1:46" x14ac:dyDescent="0.25">
      <c r="A114" s="2">
        <v>33</v>
      </c>
      <c r="B114" s="2" t="s">
        <v>55</v>
      </c>
      <c r="C114" s="98" t="s">
        <v>817</v>
      </c>
      <c r="D114" s="2">
        <f>4*ExtrusionSpacing_L1</f>
        <v>5.4</v>
      </c>
      <c r="E114" s="2">
        <v>0</v>
      </c>
      <c r="F114" s="2">
        <v>0</v>
      </c>
      <c r="G114" s="2">
        <v>20</v>
      </c>
      <c r="H114" s="2"/>
      <c r="I114" s="2"/>
      <c r="J114" s="2"/>
      <c r="K114" s="2"/>
      <c r="L114" s="2"/>
      <c r="M114" s="2"/>
      <c r="N114" s="2"/>
      <c r="O114" s="2"/>
      <c r="P114" s="2"/>
      <c r="Q114" s="2"/>
      <c r="S114" s="75" t="s">
        <v>809</v>
      </c>
      <c r="T114" s="75">
        <v>0.9</v>
      </c>
      <c r="U114" s="92" t="s">
        <v>109</v>
      </c>
      <c r="AO114" t="s">
        <v>130</v>
      </c>
      <c r="AP114" t="s">
        <v>807</v>
      </c>
      <c r="AQ114" t="s">
        <v>129</v>
      </c>
      <c r="AR114" t="s">
        <v>802</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830</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846</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50</v>
      </c>
      <c r="L5" s="10">
        <f>_xlfn.SINGLE(Height)</f>
        <v>15.3</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50</v>
      </c>
      <c r="L6" s="12">
        <f>_xlfn.SINGLE(Height)</f>
        <v>15.3</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8" t="s">
        <v>342</v>
      </c>
      <c r="D13" s="148"/>
      <c r="E13" s="148"/>
      <c r="F13" s="148"/>
      <c r="G13" s="148"/>
      <c r="H13" s="148"/>
      <c r="I13" s="148"/>
      <c r="J13" s="148"/>
      <c r="K13" s="148"/>
      <c r="L13" s="148"/>
      <c r="M13" s="148"/>
      <c r="N13" s="148"/>
      <c r="O13" s="29"/>
      <c r="P13" s="29"/>
      <c r="Q13" s="29"/>
      <c r="S13" s="5" t="s">
        <v>85</v>
      </c>
      <c r="T13" s="5">
        <v>1000</v>
      </c>
      <c r="U13" s="5" t="s">
        <v>45</v>
      </c>
    </row>
    <row r="14" spans="1:46" x14ac:dyDescent="0.25">
      <c r="A14" s="2">
        <v>10</v>
      </c>
      <c r="B14" s="29"/>
      <c r="C14" s="148" t="s">
        <v>336</v>
      </c>
      <c r="D14" s="148"/>
      <c r="E14" s="148"/>
      <c r="F14" s="148"/>
      <c r="G14" s="148"/>
      <c r="H14" s="148"/>
      <c r="I14" s="148"/>
      <c r="J14" s="148"/>
      <c r="K14" s="148"/>
      <c r="L14" s="148"/>
      <c r="M14" s="148"/>
      <c r="N14" s="148"/>
      <c r="O14" s="29"/>
      <c r="P14" s="29"/>
      <c r="Q14" s="29"/>
      <c r="S14" s="5" t="s">
        <v>86</v>
      </c>
      <c r="T14" s="5">
        <v>9000</v>
      </c>
      <c r="U14" s="5" t="s">
        <v>45</v>
      </c>
    </row>
    <row r="15" spans="1:46" x14ac:dyDescent="0.25">
      <c r="A15" s="2">
        <v>11</v>
      </c>
      <c r="B15" s="29"/>
      <c r="C15" s="149" t="s">
        <v>337</v>
      </c>
      <c r="D15" s="149"/>
      <c r="E15" s="149"/>
      <c r="F15" s="149"/>
      <c r="G15" s="149"/>
      <c r="H15" s="149"/>
      <c r="I15" s="149"/>
      <c r="J15" s="149"/>
      <c r="K15" s="149"/>
      <c r="L15" s="149"/>
      <c r="M15" s="149"/>
      <c r="N15" s="149"/>
      <c r="O15" s="29"/>
      <c r="P15" s="29"/>
      <c r="Q15" s="29"/>
      <c r="S15" s="5" t="s">
        <v>41</v>
      </c>
      <c r="T15" s="5">
        <v>210</v>
      </c>
      <c r="U15" s="5" t="s">
        <v>43</v>
      </c>
      <c r="V15" s="1"/>
    </row>
    <row r="16" spans="1:46" x14ac:dyDescent="0.25">
      <c r="A16" s="2">
        <v>12</v>
      </c>
      <c r="B16" s="29"/>
      <c r="C16" s="149" t="s">
        <v>550</v>
      </c>
      <c r="D16" s="149"/>
      <c r="E16" s="149"/>
      <c r="F16" s="149"/>
      <c r="G16" s="149"/>
      <c r="H16" s="149"/>
      <c r="I16" s="149"/>
      <c r="J16" s="149"/>
      <c r="K16" s="149"/>
      <c r="L16" s="149"/>
      <c r="M16" s="149"/>
      <c r="N16" s="149"/>
      <c r="O16" s="29"/>
      <c r="P16" s="29"/>
      <c r="Q16" s="29"/>
      <c r="S16" s="5" t="s">
        <v>42</v>
      </c>
      <c r="T16" s="5">
        <v>2.85</v>
      </c>
      <c r="U16" s="5" t="s">
        <v>44</v>
      </c>
    </row>
    <row r="17" spans="1:32" x14ac:dyDescent="0.25">
      <c r="A17" s="2">
        <v>13</v>
      </c>
      <c r="B17" s="29"/>
      <c r="C17" s="149" t="s">
        <v>551</v>
      </c>
      <c r="D17" s="149"/>
      <c r="E17" s="149"/>
      <c r="F17" s="149"/>
      <c r="G17" s="149"/>
      <c r="H17" s="149"/>
      <c r="I17" s="149"/>
      <c r="J17" s="149"/>
      <c r="K17" s="149"/>
      <c r="L17" s="149"/>
      <c r="M17" s="149"/>
      <c r="N17" s="149"/>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7.65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15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851</v>
      </c>
      <c r="C139" s="58" t="s">
        <v>128</v>
      </c>
      <c r="D139" s="2" t="s">
        <v>646</v>
      </c>
      <c r="G139" s="58" t="s">
        <v>129</v>
      </c>
      <c r="H139" s="2" t="s">
        <v>849</v>
      </c>
      <c r="I139" s="58" t="s">
        <v>128</v>
      </c>
      <c r="J139" s="2" t="s">
        <v>617</v>
      </c>
      <c r="U139" s="89"/>
      <c r="AO139" t="s">
        <v>130</v>
      </c>
      <c r="AP139" t="s">
        <v>852</v>
      </c>
      <c r="AQ139" t="s">
        <v>129</v>
      </c>
      <c r="AR139" t="s">
        <v>851</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762</v>
      </c>
      <c r="C142" s="2" t="s">
        <v>203</v>
      </c>
      <c r="D142" s="2">
        <v>0</v>
      </c>
      <c r="E142" s="2"/>
      <c r="F142" s="2"/>
      <c r="G142" s="2"/>
      <c r="H142" s="2"/>
      <c r="I142" s="2"/>
      <c r="J142" s="2"/>
      <c r="K142" s="2"/>
      <c r="L142" s="2"/>
      <c r="M142" s="2"/>
      <c r="N142" s="2"/>
      <c r="O142" s="2"/>
      <c r="P142" s="2"/>
      <c r="Q142" s="2" t="s">
        <v>668</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15</v>
      </c>
      <c r="E144" s="2">
        <f>StartY</f>
        <v>75</v>
      </c>
      <c r="F144" s="2">
        <v>0</v>
      </c>
      <c r="G144" s="2" t="str">
        <f>CONCATENATE("R", 3*ExtrusionSpacing_L1)</f>
        <v>R4.05</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R125</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R1.35</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R-125</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766</v>
      </c>
      <c r="D148" s="2">
        <f>4*ExtrusionSpacing_L1</f>
        <v>5.4</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811</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51.35</v>
      </c>
      <c r="H152" s="2">
        <f>50+Length+ExtrusionSpacing_L1</f>
        <v>176.35</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16.350000000000001</v>
      </c>
      <c r="E153" s="2">
        <f>StartY+Length+ExtrusionSpacing_L1</f>
        <v>201.35</v>
      </c>
      <c r="F153" s="2">
        <v>1E-4</v>
      </c>
      <c r="G153" s="2" t="s">
        <v>100</v>
      </c>
      <c r="H153" s="2" t="str">
        <f>CONCATENATE("R-", Length)</f>
        <v>R-125</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R1.35</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R125</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R4.05</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765</v>
      </c>
      <c r="D157" s="2">
        <f>4*ExtrusionSpacing_L1</f>
        <v>5.4</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51.35</v>
      </c>
      <c r="H159" s="2">
        <f>50+Length+ExtrusionSpacing_L1</f>
        <v>176.35</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15</v>
      </c>
      <c r="E160" s="2">
        <f>StartY</f>
        <v>75</v>
      </c>
      <c r="F160" s="2" t="s">
        <v>100</v>
      </c>
      <c r="G160" s="2" t="str">
        <f>CONCATENATE("R", 3*ExtrusionSpacing_L1)</f>
        <v>R4.05</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R125</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R1.35</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R-125</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810</v>
      </c>
      <c r="D164" s="2">
        <f>4*ExtrusionSpacing_L1</f>
        <v>5.4</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811</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16.350000000000001</v>
      </c>
      <c r="E169" s="2">
        <f>StartY+Length+ExtrusionSpacing_L1</f>
        <v>201.35</v>
      </c>
      <c r="F169" s="2">
        <v>0.9</v>
      </c>
      <c r="G169" s="2" t="s">
        <v>100</v>
      </c>
      <c r="H169" s="2" t="str">
        <f>CONCATENATE("R-", Length)</f>
        <v>R-125</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R1.35</v>
      </c>
      <c r="H170" s="2" t="s">
        <v>100</v>
      </c>
      <c r="I170" s="2" t="s">
        <v>100</v>
      </c>
      <c r="J170" s="2" t="s">
        <v>19</v>
      </c>
      <c r="K170" s="2">
        <f>ExtrusionWidth</f>
        <v>1.2</v>
      </c>
      <c r="L170" s="2">
        <f>ExtrusionHeight</f>
        <v>0.9</v>
      </c>
      <c r="M170" s="2"/>
      <c r="N170" s="2"/>
      <c r="O170" s="2"/>
      <c r="P170" s="2"/>
      <c r="Q170" s="2"/>
      <c r="R170" s="29"/>
      <c r="S170" s="75" t="s">
        <v>670</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R125</v>
      </c>
      <c r="I171" s="2" t="s">
        <v>100</v>
      </c>
      <c r="J171" s="2" t="s">
        <v>19</v>
      </c>
      <c r="K171" s="2">
        <f>ExtrusionWidth</f>
        <v>1.2</v>
      </c>
      <c r="L171" s="2">
        <f>ExtrusionHeight</f>
        <v>0.9</v>
      </c>
      <c r="M171" s="2"/>
      <c r="N171" s="2"/>
      <c r="O171" s="2"/>
      <c r="P171" s="2"/>
      <c r="Q171" s="2"/>
      <c r="R171" s="29"/>
      <c r="S171" s="75" t="s">
        <v>669</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R4.05</v>
      </c>
      <c r="H172" s="2" t="s">
        <v>100</v>
      </c>
      <c r="I172" s="2" t="s">
        <v>100</v>
      </c>
      <c r="J172" s="2" t="s">
        <v>19</v>
      </c>
      <c r="K172" s="2">
        <f>ExtrusionWidth</f>
        <v>1.2</v>
      </c>
      <c r="L172" s="2">
        <f>ExtrusionHeight</f>
        <v>0.9</v>
      </c>
      <c r="M172" s="2"/>
      <c r="N172" s="2"/>
      <c r="O172" s="2"/>
      <c r="P172" s="2"/>
      <c r="Q172" s="2"/>
      <c r="S172" s="75" t="s">
        <v>808</v>
      </c>
      <c r="T172" s="75">
        <v>1.2</v>
      </c>
      <c r="U172" s="92" t="s">
        <v>109</v>
      </c>
    </row>
    <row r="173" spans="1:40" x14ac:dyDescent="0.25">
      <c r="A173" s="2">
        <v>33</v>
      </c>
      <c r="B173" s="2" t="s">
        <v>55</v>
      </c>
      <c r="C173" s="98" t="s">
        <v>817</v>
      </c>
      <c r="D173" s="2">
        <f>4*ExtrusionSpacing_L1</f>
        <v>5.4</v>
      </c>
      <c r="E173" s="2">
        <v>0</v>
      </c>
      <c r="F173" s="2">
        <v>0</v>
      </c>
      <c r="G173" s="2">
        <v>20</v>
      </c>
      <c r="H173" s="2"/>
      <c r="I173" s="2"/>
      <c r="J173" s="2"/>
      <c r="K173" s="2"/>
      <c r="L173" s="2"/>
      <c r="M173" s="2"/>
      <c r="N173" s="2"/>
      <c r="O173" s="2"/>
      <c r="P173" s="2"/>
      <c r="Q173" s="2"/>
      <c r="S173" s="75" t="s">
        <v>809</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830</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846</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0" t="s">
        <v>141</v>
      </c>
      <c r="H21" s="150"/>
      <c r="I21" s="150"/>
      <c r="J21" s="150"/>
      <c r="K21" s="150"/>
      <c r="L21" s="150"/>
      <c r="M21" s="150"/>
      <c r="N21" s="150"/>
      <c r="O21" s="150"/>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1" t="s">
        <v>247</v>
      </c>
      <c r="E42" s="151"/>
      <c r="F42" s="151"/>
      <c r="G42" s="151"/>
      <c r="H42" s="151"/>
      <c r="I42" s="151"/>
      <c r="J42" s="151"/>
      <c r="K42" s="151"/>
      <c r="L42" s="151"/>
      <c r="M42" s="151"/>
      <c r="N42" s="151"/>
      <c r="O42" s="151"/>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567"/>
  <sheetViews>
    <sheetView zoomScale="75" zoomScaleNormal="85" workbookViewId="0">
      <selection activeCell="O1" sqref="O1:O1567"/>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15</v>
      </c>
      <c r="F2">
        <v>75</v>
      </c>
      <c r="G2">
        <v>0</v>
      </c>
      <c r="H2">
        <v>0</v>
      </c>
      <c r="I2">
        <v>0</v>
      </c>
      <c r="K2">
        <v>48000</v>
      </c>
      <c r="N2">
        <v>0</v>
      </c>
      <c r="O2" s="60">
        <v>0</v>
      </c>
      <c r="P2" t="s">
        <v>661</v>
      </c>
      <c r="Q2" t="s">
        <v>1920</v>
      </c>
    </row>
    <row r="3" spans="1:17" x14ac:dyDescent="0.25">
      <c r="A3" t="s">
        <v>19</v>
      </c>
      <c r="B3">
        <v>15</v>
      </c>
      <c r="C3">
        <v>75</v>
      </c>
      <c r="D3">
        <v>0</v>
      </c>
      <c r="E3">
        <v>15</v>
      </c>
      <c r="F3">
        <v>79.05</v>
      </c>
      <c r="G3">
        <v>0</v>
      </c>
      <c r="H3">
        <v>1.2</v>
      </c>
      <c r="I3">
        <v>0.9</v>
      </c>
      <c r="J3">
        <v>1.8184978836478705</v>
      </c>
      <c r="K3">
        <v>1500</v>
      </c>
      <c r="L3">
        <v>0</v>
      </c>
      <c r="N3">
        <v>1</v>
      </c>
      <c r="O3" s="60" t="s">
        <v>290</v>
      </c>
      <c r="P3" t="s">
        <v>663</v>
      </c>
      <c r="Q3" t="s">
        <v>853</v>
      </c>
    </row>
    <row r="4" spans="1:17" x14ac:dyDescent="0.25">
      <c r="A4" t="s">
        <v>19</v>
      </c>
      <c r="B4">
        <v>15</v>
      </c>
      <c r="C4">
        <v>79.05</v>
      </c>
      <c r="D4">
        <v>0</v>
      </c>
      <c r="E4">
        <v>140</v>
      </c>
      <c r="F4">
        <v>79.05</v>
      </c>
      <c r="G4">
        <v>0</v>
      </c>
      <c r="H4">
        <v>1.2</v>
      </c>
      <c r="I4">
        <v>0.9</v>
      </c>
      <c r="J4">
        <v>56.126477890366417</v>
      </c>
      <c r="K4">
        <v>1500</v>
      </c>
      <c r="L4">
        <v>0</v>
      </c>
      <c r="N4">
        <v>2</v>
      </c>
      <c r="O4" s="60" t="s">
        <v>662</v>
      </c>
      <c r="P4" t="s">
        <v>672</v>
      </c>
      <c r="Q4" t="s">
        <v>2390</v>
      </c>
    </row>
    <row r="5" spans="1:17" x14ac:dyDescent="0.25">
      <c r="A5" t="s">
        <v>19</v>
      </c>
      <c r="B5">
        <v>140</v>
      </c>
      <c r="C5">
        <v>79.05</v>
      </c>
      <c r="D5">
        <v>0</v>
      </c>
      <c r="E5">
        <v>140</v>
      </c>
      <c r="F5">
        <v>80.399999999999991</v>
      </c>
      <c r="G5">
        <v>0</v>
      </c>
      <c r="H5">
        <v>1.2</v>
      </c>
      <c r="I5">
        <v>0.9</v>
      </c>
      <c r="J5">
        <v>0.60616596121595478</v>
      </c>
      <c r="K5">
        <v>1500</v>
      </c>
      <c r="L5">
        <v>0</v>
      </c>
      <c r="N5">
        <v>3</v>
      </c>
      <c r="O5" s="60" t="s">
        <v>671</v>
      </c>
      <c r="P5" t="s">
        <v>674</v>
      </c>
      <c r="Q5" t="s">
        <v>854</v>
      </c>
    </row>
    <row r="6" spans="1:17" x14ac:dyDescent="0.25">
      <c r="A6" t="s">
        <v>19</v>
      </c>
      <c r="B6">
        <v>140</v>
      </c>
      <c r="C6">
        <v>80.399999999999991</v>
      </c>
      <c r="D6">
        <v>0</v>
      </c>
      <c r="E6">
        <v>15</v>
      </c>
      <c r="F6">
        <v>80.399999999999991</v>
      </c>
      <c r="G6">
        <v>0</v>
      </c>
      <c r="H6">
        <v>1.2</v>
      </c>
      <c r="I6">
        <v>0.9</v>
      </c>
      <c r="J6">
        <v>56.126477890366417</v>
      </c>
      <c r="K6">
        <v>1500</v>
      </c>
      <c r="L6">
        <v>0</v>
      </c>
      <c r="N6">
        <v>4</v>
      </c>
      <c r="O6" s="60" t="s">
        <v>673</v>
      </c>
      <c r="P6" t="s">
        <v>675</v>
      </c>
      <c r="Q6" t="s">
        <v>2391</v>
      </c>
    </row>
    <row r="7" spans="1:17" x14ac:dyDescent="0.25">
      <c r="A7" t="s">
        <v>19</v>
      </c>
      <c r="B7">
        <v>15</v>
      </c>
      <c r="C7">
        <v>80.400000000000006</v>
      </c>
      <c r="D7">
        <v>0</v>
      </c>
      <c r="E7">
        <v>15</v>
      </c>
      <c r="F7">
        <v>84.45</v>
      </c>
      <c r="G7">
        <v>0</v>
      </c>
      <c r="H7">
        <v>1.2</v>
      </c>
      <c r="I7">
        <v>0.9</v>
      </c>
      <c r="J7">
        <v>1.8184978836478705</v>
      </c>
      <c r="K7">
        <v>1500</v>
      </c>
      <c r="L7">
        <v>0</v>
      </c>
      <c r="N7">
        <v>5</v>
      </c>
      <c r="O7" s="60" t="s">
        <v>1003</v>
      </c>
      <c r="P7" t="s">
        <v>726</v>
      </c>
      <c r="Q7" t="s">
        <v>855</v>
      </c>
    </row>
    <row r="8" spans="1:17" x14ac:dyDescent="0.25">
      <c r="A8" t="s">
        <v>19</v>
      </c>
      <c r="B8">
        <v>15</v>
      </c>
      <c r="C8">
        <v>84.45</v>
      </c>
      <c r="D8">
        <v>0</v>
      </c>
      <c r="E8">
        <v>140</v>
      </c>
      <c r="F8">
        <v>84.45</v>
      </c>
      <c r="G8">
        <v>0</v>
      </c>
      <c r="H8">
        <v>1.2</v>
      </c>
      <c r="I8">
        <v>0.9</v>
      </c>
      <c r="J8">
        <v>56.126477890366417</v>
      </c>
      <c r="K8">
        <v>1500</v>
      </c>
      <c r="L8">
        <v>0</v>
      </c>
      <c r="N8">
        <v>5</v>
      </c>
      <c r="O8" s="60" t="s">
        <v>1004</v>
      </c>
      <c r="P8" t="s">
        <v>684</v>
      </c>
      <c r="Q8" t="s">
        <v>2390</v>
      </c>
    </row>
    <row r="9" spans="1:17" x14ac:dyDescent="0.25">
      <c r="A9" t="s">
        <v>19</v>
      </c>
      <c r="B9">
        <v>140</v>
      </c>
      <c r="C9">
        <v>84.45</v>
      </c>
      <c r="D9">
        <v>0</v>
      </c>
      <c r="E9">
        <v>140</v>
      </c>
      <c r="F9">
        <v>85.8</v>
      </c>
      <c r="G9">
        <v>0</v>
      </c>
      <c r="H9">
        <v>1.2</v>
      </c>
      <c r="I9">
        <v>0.9</v>
      </c>
      <c r="J9">
        <v>0.60616596121595478</v>
      </c>
      <c r="K9">
        <v>1500</v>
      </c>
      <c r="L9">
        <v>0</v>
      </c>
      <c r="N9">
        <v>5</v>
      </c>
      <c r="O9" s="60" t="s">
        <v>1005</v>
      </c>
      <c r="P9" t="s">
        <v>685</v>
      </c>
      <c r="Q9" t="s">
        <v>856</v>
      </c>
    </row>
    <row r="10" spans="1:17" x14ac:dyDescent="0.25">
      <c r="A10" t="s">
        <v>19</v>
      </c>
      <c r="B10">
        <v>140</v>
      </c>
      <c r="C10">
        <v>85.8</v>
      </c>
      <c r="D10">
        <v>0</v>
      </c>
      <c r="E10">
        <v>15</v>
      </c>
      <c r="F10">
        <v>85.8</v>
      </c>
      <c r="G10">
        <v>0</v>
      </c>
      <c r="H10">
        <v>1.2</v>
      </c>
      <c r="I10">
        <v>0.9</v>
      </c>
      <c r="J10">
        <v>56.126477890366417</v>
      </c>
      <c r="K10">
        <v>1500</v>
      </c>
      <c r="L10">
        <v>0</v>
      </c>
      <c r="N10">
        <v>5</v>
      </c>
      <c r="O10" s="60" t="s">
        <v>869</v>
      </c>
      <c r="P10" t="s">
        <v>686</v>
      </c>
      <c r="Q10" t="s">
        <v>2391</v>
      </c>
    </row>
    <row r="11" spans="1:17" x14ac:dyDescent="0.25">
      <c r="A11" t="s">
        <v>19</v>
      </c>
      <c r="B11">
        <v>15</v>
      </c>
      <c r="C11">
        <v>85.8</v>
      </c>
      <c r="D11">
        <v>0</v>
      </c>
      <c r="E11">
        <v>15</v>
      </c>
      <c r="F11">
        <v>89.85</v>
      </c>
      <c r="G11">
        <v>0</v>
      </c>
      <c r="H11">
        <v>1.2</v>
      </c>
      <c r="I11">
        <v>0.9</v>
      </c>
      <c r="J11">
        <v>1.8184978836478705</v>
      </c>
      <c r="K11">
        <v>1500</v>
      </c>
      <c r="L11">
        <v>0</v>
      </c>
      <c r="N11">
        <v>5</v>
      </c>
      <c r="O11" s="60" t="s">
        <v>1006</v>
      </c>
      <c r="P11" t="s">
        <v>726</v>
      </c>
      <c r="Q11" t="s">
        <v>857</v>
      </c>
    </row>
    <row r="12" spans="1:17" x14ac:dyDescent="0.25">
      <c r="A12" t="s">
        <v>19</v>
      </c>
      <c r="B12">
        <v>15</v>
      </c>
      <c r="C12">
        <v>89.85</v>
      </c>
      <c r="D12">
        <v>0</v>
      </c>
      <c r="E12">
        <v>140</v>
      </c>
      <c r="F12">
        <v>89.85</v>
      </c>
      <c r="G12">
        <v>0</v>
      </c>
      <c r="H12">
        <v>1.2</v>
      </c>
      <c r="I12">
        <v>0.9</v>
      </c>
      <c r="J12">
        <v>56.126477890366417</v>
      </c>
      <c r="K12">
        <v>1500</v>
      </c>
      <c r="L12">
        <v>0</v>
      </c>
      <c r="N12">
        <v>5</v>
      </c>
      <c r="O12" s="60" t="s">
        <v>1007</v>
      </c>
      <c r="P12" t="s">
        <v>684</v>
      </c>
      <c r="Q12" t="s">
        <v>2390</v>
      </c>
    </row>
    <row r="13" spans="1:17" x14ac:dyDescent="0.25">
      <c r="A13" t="s">
        <v>19</v>
      </c>
      <c r="B13">
        <v>140</v>
      </c>
      <c r="C13">
        <v>89.85</v>
      </c>
      <c r="D13">
        <v>0</v>
      </c>
      <c r="E13">
        <v>140</v>
      </c>
      <c r="F13">
        <v>91.199999999999989</v>
      </c>
      <c r="G13">
        <v>0</v>
      </c>
      <c r="H13">
        <v>1.2</v>
      </c>
      <c r="I13">
        <v>0.9</v>
      </c>
      <c r="J13">
        <v>0.60616596121595478</v>
      </c>
      <c r="K13">
        <v>1500</v>
      </c>
      <c r="L13">
        <v>0</v>
      </c>
      <c r="N13">
        <v>5</v>
      </c>
      <c r="O13" s="60" t="s">
        <v>1008</v>
      </c>
      <c r="P13" t="s">
        <v>685</v>
      </c>
      <c r="Q13" t="s">
        <v>858</v>
      </c>
    </row>
    <row r="14" spans="1:17" x14ac:dyDescent="0.25">
      <c r="A14" t="s">
        <v>19</v>
      </c>
      <c r="B14">
        <v>140</v>
      </c>
      <c r="C14">
        <v>91.199999999999989</v>
      </c>
      <c r="D14">
        <v>0</v>
      </c>
      <c r="E14">
        <v>15</v>
      </c>
      <c r="F14">
        <v>91.199999999999989</v>
      </c>
      <c r="G14">
        <v>0</v>
      </c>
      <c r="H14">
        <v>1.2</v>
      </c>
      <c r="I14">
        <v>0.9</v>
      </c>
      <c r="J14">
        <v>56.126477890366417</v>
      </c>
      <c r="K14">
        <v>1500</v>
      </c>
      <c r="L14">
        <v>0</v>
      </c>
      <c r="N14">
        <v>5</v>
      </c>
      <c r="O14" s="60" t="s">
        <v>870</v>
      </c>
      <c r="P14" t="s">
        <v>686</v>
      </c>
      <c r="Q14" t="s">
        <v>2391</v>
      </c>
    </row>
    <row r="15" spans="1:17" x14ac:dyDescent="0.25">
      <c r="A15" t="s">
        <v>19</v>
      </c>
      <c r="B15">
        <v>15</v>
      </c>
      <c r="C15">
        <v>91.2</v>
      </c>
      <c r="D15">
        <v>0</v>
      </c>
      <c r="E15">
        <v>15</v>
      </c>
      <c r="F15">
        <v>95.25</v>
      </c>
      <c r="G15">
        <v>0</v>
      </c>
      <c r="H15">
        <v>1.2</v>
      </c>
      <c r="I15">
        <v>0.9</v>
      </c>
      <c r="J15">
        <v>1.8184978836478705</v>
      </c>
      <c r="K15">
        <v>1500</v>
      </c>
      <c r="L15">
        <v>0</v>
      </c>
      <c r="N15">
        <v>5</v>
      </c>
      <c r="O15" s="60" t="s">
        <v>1009</v>
      </c>
      <c r="P15" t="s">
        <v>726</v>
      </c>
      <c r="Q15" t="s">
        <v>859</v>
      </c>
    </row>
    <row r="16" spans="1:17" x14ac:dyDescent="0.25">
      <c r="A16" t="s">
        <v>19</v>
      </c>
      <c r="B16">
        <v>15</v>
      </c>
      <c r="C16">
        <v>95.25</v>
      </c>
      <c r="D16">
        <v>0</v>
      </c>
      <c r="E16">
        <v>140</v>
      </c>
      <c r="F16">
        <v>95.25</v>
      </c>
      <c r="G16">
        <v>0</v>
      </c>
      <c r="H16">
        <v>1.2</v>
      </c>
      <c r="I16">
        <v>0.9</v>
      </c>
      <c r="J16">
        <v>56.126477890366417</v>
      </c>
      <c r="K16">
        <v>1500</v>
      </c>
      <c r="L16">
        <v>0</v>
      </c>
      <c r="N16">
        <v>5</v>
      </c>
      <c r="O16" s="60" t="s">
        <v>1010</v>
      </c>
      <c r="P16" t="s">
        <v>684</v>
      </c>
      <c r="Q16" t="s">
        <v>2390</v>
      </c>
    </row>
    <row r="17" spans="1:17" x14ac:dyDescent="0.25">
      <c r="A17" t="s">
        <v>19</v>
      </c>
      <c r="B17">
        <v>140</v>
      </c>
      <c r="C17">
        <v>95.25</v>
      </c>
      <c r="D17">
        <v>0</v>
      </c>
      <c r="E17">
        <v>140</v>
      </c>
      <c r="F17">
        <v>96.6</v>
      </c>
      <c r="G17">
        <v>0</v>
      </c>
      <c r="H17">
        <v>1.2</v>
      </c>
      <c r="I17">
        <v>0.9</v>
      </c>
      <c r="J17">
        <v>0.60616596121595478</v>
      </c>
      <c r="K17">
        <v>1500</v>
      </c>
      <c r="L17">
        <v>0</v>
      </c>
      <c r="N17">
        <v>5</v>
      </c>
      <c r="O17" s="60" t="s">
        <v>1011</v>
      </c>
      <c r="P17" t="s">
        <v>685</v>
      </c>
      <c r="Q17" t="s">
        <v>860</v>
      </c>
    </row>
    <row r="18" spans="1:17" x14ac:dyDescent="0.25">
      <c r="A18" t="s">
        <v>19</v>
      </c>
      <c r="B18">
        <v>140</v>
      </c>
      <c r="C18">
        <v>96.6</v>
      </c>
      <c r="D18">
        <v>0</v>
      </c>
      <c r="E18">
        <v>15</v>
      </c>
      <c r="F18">
        <v>96.6</v>
      </c>
      <c r="G18">
        <v>0</v>
      </c>
      <c r="H18">
        <v>1.2</v>
      </c>
      <c r="I18">
        <v>0.9</v>
      </c>
      <c r="J18">
        <v>56.126477890366417</v>
      </c>
      <c r="K18">
        <v>1500</v>
      </c>
      <c r="L18">
        <v>0</v>
      </c>
      <c r="N18">
        <v>5</v>
      </c>
      <c r="O18" s="60" t="s">
        <v>871</v>
      </c>
      <c r="P18" t="s">
        <v>686</v>
      </c>
      <c r="Q18" t="s">
        <v>2391</v>
      </c>
    </row>
    <row r="19" spans="1:17" x14ac:dyDescent="0.25">
      <c r="A19" t="s">
        <v>19</v>
      </c>
      <c r="B19">
        <v>15</v>
      </c>
      <c r="C19">
        <v>96.6</v>
      </c>
      <c r="D19">
        <v>0</v>
      </c>
      <c r="E19">
        <v>15</v>
      </c>
      <c r="F19">
        <v>100.65</v>
      </c>
      <c r="G19">
        <v>0</v>
      </c>
      <c r="H19">
        <v>1.2</v>
      </c>
      <c r="I19">
        <v>0.9</v>
      </c>
      <c r="J19">
        <v>1.8184978836478705</v>
      </c>
      <c r="K19">
        <v>1500</v>
      </c>
      <c r="L19">
        <v>0</v>
      </c>
      <c r="N19">
        <v>5</v>
      </c>
      <c r="O19" s="60" t="s">
        <v>1012</v>
      </c>
      <c r="P19" t="s">
        <v>726</v>
      </c>
      <c r="Q19" t="s">
        <v>861</v>
      </c>
    </row>
    <row r="20" spans="1:17" x14ac:dyDescent="0.25">
      <c r="A20" t="s">
        <v>19</v>
      </c>
      <c r="B20">
        <v>15</v>
      </c>
      <c r="C20">
        <v>100.65</v>
      </c>
      <c r="D20">
        <v>0</v>
      </c>
      <c r="E20">
        <v>140</v>
      </c>
      <c r="F20">
        <v>100.65</v>
      </c>
      <c r="G20">
        <v>0</v>
      </c>
      <c r="H20">
        <v>1.2</v>
      </c>
      <c r="I20">
        <v>0.9</v>
      </c>
      <c r="J20">
        <v>56.126477890366417</v>
      </c>
      <c r="K20">
        <v>1500</v>
      </c>
      <c r="L20">
        <v>0</v>
      </c>
      <c r="N20">
        <v>5</v>
      </c>
      <c r="O20" s="60" t="s">
        <v>1013</v>
      </c>
      <c r="P20" t="s">
        <v>684</v>
      </c>
      <c r="Q20" t="s">
        <v>2390</v>
      </c>
    </row>
    <row r="21" spans="1:17" x14ac:dyDescent="0.25">
      <c r="A21" t="s">
        <v>19</v>
      </c>
      <c r="B21">
        <v>140</v>
      </c>
      <c r="C21">
        <v>100.65</v>
      </c>
      <c r="D21">
        <v>0</v>
      </c>
      <c r="E21">
        <v>140</v>
      </c>
      <c r="F21">
        <v>102</v>
      </c>
      <c r="G21">
        <v>0</v>
      </c>
      <c r="H21">
        <v>1.2</v>
      </c>
      <c r="I21">
        <v>0.9</v>
      </c>
      <c r="J21">
        <v>0.60616596121595478</v>
      </c>
      <c r="K21">
        <v>1500</v>
      </c>
      <c r="L21">
        <v>0</v>
      </c>
      <c r="N21">
        <v>5</v>
      </c>
      <c r="O21" s="60" t="s">
        <v>1014</v>
      </c>
      <c r="P21" t="s">
        <v>685</v>
      </c>
      <c r="Q21" t="s">
        <v>862</v>
      </c>
    </row>
    <row r="22" spans="1:17" x14ac:dyDescent="0.25">
      <c r="A22" t="s">
        <v>19</v>
      </c>
      <c r="B22">
        <v>140</v>
      </c>
      <c r="C22">
        <v>102</v>
      </c>
      <c r="D22">
        <v>0</v>
      </c>
      <c r="E22">
        <v>15</v>
      </c>
      <c r="F22">
        <v>102</v>
      </c>
      <c r="G22">
        <v>0</v>
      </c>
      <c r="H22">
        <v>1.2</v>
      </c>
      <c r="I22">
        <v>0.9</v>
      </c>
      <c r="J22">
        <v>56.126477890366417</v>
      </c>
      <c r="K22">
        <v>1500</v>
      </c>
      <c r="L22">
        <v>0</v>
      </c>
      <c r="N22">
        <v>5</v>
      </c>
      <c r="O22" s="60" t="s">
        <v>872</v>
      </c>
      <c r="P22" t="s">
        <v>686</v>
      </c>
      <c r="Q22" t="s">
        <v>2391</v>
      </c>
    </row>
    <row r="23" spans="1:17" x14ac:dyDescent="0.25">
      <c r="A23" t="s">
        <v>19</v>
      </c>
      <c r="B23">
        <v>15</v>
      </c>
      <c r="C23">
        <v>102</v>
      </c>
      <c r="D23">
        <v>0</v>
      </c>
      <c r="E23">
        <v>15</v>
      </c>
      <c r="F23">
        <v>106.05</v>
      </c>
      <c r="G23">
        <v>0</v>
      </c>
      <c r="H23">
        <v>1.2</v>
      </c>
      <c r="I23">
        <v>0.9</v>
      </c>
      <c r="J23">
        <v>1.8184978836478705</v>
      </c>
      <c r="K23">
        <v>1500</v>
      </c>
      <c r="L23">
        <v>0</v>
      </c>
      <c r="N23">
        <v>5</v>
      </c>
      <c r="O23" s="60" t="s">
        <v>1015</v>
      </c>
      <c r="P23" t="s">
        <v>726</v>
      </c>
      <c r="Q23" t="s">
        <v>863</v>
      </c>
    </row>
    <row r="24" spans="1:17" x14ac:dyDescent="0.25">
      <c r="A24" t="s">
        <v>19</v>
      </c>
      <c r="B24">
        <v>15</v>
      </c>
      <c r="C24">
        <v>106.05</v>
      </c>
      <c r="D24">
        <v>0</v>
      </c>
      <c r="E24">
        <v>140</v>
      </c>
      <c r="F24">
        <v>106.05</v>
      </c>
      <c r="G24">
        <v>0</v>
      </c>
      <c r="H24">
        <v>1.2</v>
      </c>
      <c r="I24">
        <v>0.9</v>
      </c>
      <c r="J24">
        <v>56.126477890366417</v>
      </c>
      <c r="K24">
        <v>1500</v>
      </c>
      <c r="L24">
        <v>0</v>
      </c>
      <c r="N24">
        <v>5</v>
      </c>
      <c r="O24" s="60" t="s">
        <v>1016</v>
      </c>
      <c r="P24" t="s">
        <v>684</v>
      </c>
      <c r="Q24" t="s">
        <v>2390</v>
      </c>
    </row>
    <row r="25" spans="1:17" x14ac:dyDescent="0.25">
      <c r="A25" t="s">
        <v>19</v>
      </c>
      <c r="B25">
        <v>140</v>
      </c>
      <c r="C25">
        <v>106.05</v>
      </c>
      <c r="D25">
        <v>0</v>
      </c>
      <c r="E25">
        <v>140</v>
      </c>
      <c r="F25">
        <v>107.39999999999999</v>
      </c>
      <c r="G25">
        <v>0</v>
      </c>
      <c r="H25">
        <v>1.2</v>
      </c>
      <c r="I25">
        <v>0.9</v>
      </c>
      <c r="J25">
        <v>0.60616596121595478</v>
      </c>
      <c r="K25">
        <v>1500</v>
      </c>
      <c r="L25">
        <v>0</v>
      </c>
      <c r="N25">
        <v>5</v>
      </c>
      <c r="O25" s="60" t="s">
        <v>1017</v>
      </c>
      <c r="P25" t="s">
        <v>685</v>
      </c>
      <c r="Q25" t="s">
        <v>864</v>
      </c>
    </row>
    <row r="26" spans="1:17" x14ac:dyDescent="0.25">
      <c r="A26" t="s">
        <v>19</v>
      </c>
      <c r="B26">
        <v>140</v>
      </c>
      <c r="C26">
        <v>107.39999999999999</v>
      </c>
      <c r="D26">
        <v>0</v>
      </c>
      <c r="E26">
        <v>15</v>
      </c>
      <c r="F26">
        <v>107.39999999999999</v>
      </c>
      <c r="G26">
        <v>0</v>
      </c>
      <c r="H26">
        <v>1.2</v>
      </c>
      <c r="I26">
        <v>0.9</v>
      </c>
      <c r="J26">
        <v>56.126477890366417</v>
      </c>
      <c r="K26">
        <v>1500</v>
      </c>
      <c r="L26">
        <v>0</v>
      </c>
      <c r="N26">
        <v>5</v>
      </c>
      <c r="O26" s="60" t="s">
        <v>873</v>
      </c>
      <c r="P26" t="s">
        <v>686</v>
      </c>
      <c r="Q26" t="s">
        <v>2391</v>
      </c>
    </row>
    <row r="27" spans="1:17" x14ac:dyDescent="0.25">
      <c r="A27" t="s">
        <v>19</v>
      </c>
      <c r="B27">
        <v>15</v>
      </c>
      <c r="C27">
        <v>107.4</v>
      </c>
      <c r="D27">
        <v>0</v>
      </c>
      <c r="E27">
        <v>15</v>
      </c>
      <c r="F27">
        <v>111.45</v>
      </c>
      <c r="G27">
        <v>0</v>
      </c>
      <c r="H27">
        <v>1.2</v>
      </c>
      <c r="I27">
        <v>0.9</v>
      </c>
      <c r="J27">
        <v>1.8184978836478705</v>
      </c>
      <c r="K27">
        <v>1500</v>
      </c>
      <c r="L27">
        <v>0</v>
      </c>
      <c r="N27">
        <v>5</v>
      </c>
      <c r="O27" s="60" t="s">
        <v>1018</v>
      </c>
      <c r="P27" t="s">
        <v>726</v>
      </c>
      <c r="Q27" t="s">
        <v>865</v>
      </c>
    </row>
    <row r="28" spans="1:17" x14ac:dyDescent="0.25">
      <c r="A28" t="s">
        <v>19</v>
      </c>
      <c r="B28">
        <v>15</v>
      </c>
      <c r="C28">
        <v>111.45</v>
      </c>
      <c r="D28">
        <v>0</v>
      </c>
      <c r="E28">
        <v>140</v>
      </c>
      <c r="F28">
        <v>111.45</v>
      </c>
      <c r="G28">
        <v>0</v>
      </c>
      <c r="H28">
        <v>1.2</v>
      </c>
      <c r="I28">
        <v>0.9</v>
      </c>
      <c r="J28">
        <v>56.126477890366417</v>
      </c>
      <c r="K28">
        <v>1500</v>
      </c>
      <c r="L28">
        <v>0</v>
      </c>
      <c r="N28">
        <v>5</v>
      </c>
      <c r="O28" s="60" t="s">
        <v>1019</v>
      </c>
      <c r="P28" t="s">
        <v>684</v>
      </c>
      <c r="Q28" t="s">
        <v>2390</v>
      </c>
    </row>
    <row r="29" spans="1:17" x14ac:dyDescent="0.25">
      <c r="A29" t="s">
        <v>19</v>
      </c>
      <c r="B29">
        <v>140</v>
      </c>
      <c r="C29">
        <v>111.45</v>
      </c>
      <c r="D29">
        <v>0</v>
      </c>
      <c r="E29">
        <v>140</v>
      </c>
      <c r="F29">
        <v>112.8</v>
      </c>
      <c r="G29">
        <v>0</v>
      </c>
      <c r="H29">
        <v>1.2</v>
      </c>
      <c r="I29">
        <v>0.9</v>
      </c>
      <c r="J29">
        <v>0.60616596121595478</v>
      </c>
      <c r="K29">
        <v>1500</v>
      </c>
      <c r="L29">
        <v>0</v>
      </c>
      <c r="N29">
        <v>5</v>
      </c>
      <c r="O29" s="60" t="s">
        <v>1020</v>
      </c>
      <c r="P29" t="s">
        <v>685</v>
      </c>
      <c r="Q29" t="s">
        <v>866</v>
      </c>
    </row>
    <row r="30" spans="1:17" x14ac:dyDescent="0.25">
      <c r="A30" t="s">
        <v>19</v>
      </c>
      <c r="B30">
        <v>140</v>
      </c>
      <c r="C30">
        <v>112.8</v>
      </c>
      <c r="D30">
        <v>0</v>
      </c>
      <c r="E30">
        <v>15</v>
      </c>
      <c r="F30">
        <v>112.8</v>
      </c>
      <c r="G30">
        <v>0</v>
      </c>
      <c r="H30">
        <v>1.2</v>
      </c>
      <c r="I30">
        <v>0.9</v>
      </c>
      <c r="J30">
        <v>56.126477890366417</v>
      </c>
      <c r="K30">
        <v>1500</v>
      </c>
      <c r="L30">
        <v>0</v>
      </c>
      <c r="N30">
        <v>5</v>
      </c>
      <c r="O30" s="60" t="s">
        <v>874</v>
      </c>
      <c r="P30" t="s">
        <v>686</v>
      </c>
      <c r="Q30" t="s">
        <v>2391</v>
      </c>
    </row>
    <row r="31" spans="1:17" x14ac:dyDescent="0.25">
      <c r="A31" t="s">
        <v>19</v>
      </c>
      <c r="B31">
        <v>15</v>
      </c>
      <c r="C31">
        <v>112.8</v>
      </c>
      <c r="D31">
        <v>0</v>
      </c>
      <c r="E31">
        <v>15</v>
      </c>
      <c r="F31">
        <v>116.85</v>
      </c>
      <c r="G31">
        <v>0</v>
      </c>
      <c r="H31">
        <v>1.2</v>
      </c>
      <c r="I31">
        <v>0.9</v>
      </c>
      <c r="J31">
        <v>1.8184978836478705</v>
      </c>
      <c r="K31">
        <v>1500</v>
      </c>
      <c r="L31">
        <v>0</v>
      </c>
      <c r="N31">
        <v>5</v>
      </c>
      <c r="O31" s="60" t="s">
        <v>1021</v>
      </c>
      <c r="P31" t="s">
        <v>726</v>
      </c>
      <c r="Q31" t="s">
        <v>867</v>
      </c>
    </row>
    <row r="32" spans="1:17" x14ac:dyDescent="0.25">
      <c r="A32" t="s">
        <v>19</v>
      </c>
      <c r="B32">
        <v>15</v>
      </c>
      <c r="C32">
        <v>116.85</v>
      </c>
      <c r="D32">
        <v>0</v>
      </c>
      <c r="E32">
        <v>140</v>
      </c>
      <c r="F32">
        <v>116.85</v>
      </c>
      <c r="G32">
        <v>0</v>
      </c>
      <c r="H32">
        <v>1.2</v>
      </c>
      <c r="I32">
        <v>0.9</v>
      </c>
      <c r="J32">
        <v>56.126477890366417</v>
      </c>
      <c r="K32">
        <v>1500</v>
      </c>
      <c r="L32">
        <v>0</v>
      </c>
      <c r="N32">
        <v>5</v>
      </c>
      <c r="O32" s="60" t="s">
        <v>1022</v>
      </c>
      <c r="P32" t="s">
        <v>684</v>
      </c>
      <c r="Q32" t="s">
        <v>2390</v>
      </c>
    </row>
    <row r="33" spans="1:17" x14ac:dyDescent="0.25">
      <c r="A33" t="s">
        <v>19</v>
      </c>
      <c r="B33">
        <v>140</v>
      </c>
      <c r="C33">
        <v>116.85</v>
      </c>
      <c r="D33">
        <v>0</v>
      </c>
      <c r="E33">
        <v>140</v>
      </c>
      <c r="F33">
        <v>118.19999999999999</v>
      </c>
      <c r="G33">
        <v>0</v>
      </c>
      <c r="H33">
        <v>1.2</v>
      </c>
      <c r="I33">
        <v>0.9</v>
      </c>
      <c r="J33">
        <v>0.60616596121595478</v>
      </c>
      <c r="K33">
        <v>1500</v>
      </c>
      <c r="L33">
        <v>0</v>
      </c>
      <c r="N33">
        <v>5</v>
      </c>
      <c r="O33" s="60" t="s">
        <v>1023</v>
      </c>
      <c r="P33" t="s">
        <v>685</v>
      </c>
      <c r="Q33" t="s">
        <v>868</v>
      </c>
    </row>
    <row r="34" spans="1:17" x14ac:dyDescent="0.25">
      <c r="A34" t="s">
        <v>19</v>
      </c>
      <c r="B34">
        <v>140</v>
      </c>
      <c r="C34">
        <v>118.19999999999999</v>
      </c>
      <c r="D34">
        <v>0</v>
      </c>
      <c r="E34">
        <v>15</v>
      </c>
      <c r="F34">
        <v>118.19999999999999</v>
      </c>
      <c r="G34">
        <v>0</v>
      </c>
      <c r="H34">
        <v>1.2</v>
      </c>
      <c r="I34">
        <v>0.9</v>
      </c>
      <c r="J34">
        <v>56.126477890366417</v>
      </c>
      <c r="K34">
        <v>1500</v>
      </c>
      <c r="L34">
        <v>0</v>
      </c>
      <c r="N34">
        <v>5</v>
      </c>
      <c r="O34" s="60" t="s">
        <v>875</v>
      </c>
      <c r="P34" t="s">
        <v>686</v>
      </c>
      <c r="Q34" t="s">
        <v>2391</v>
      </c>
    </row>
    <row r="35" spans="1:17" x14ac:dyDescent="0.25">
      <c r="A35" t="s">
        <v>19</v>
      </c>
      <c r="B35">
        <v>15</v>
      </c>
      <c r="C35">
        <v>118.2</v>
      </c>
      <c r="D35">
        <v>0</v>
      </c>
      <c r="E35">
        <v>15</v>
      </c>
      <c r="F35">
        <v>122.25</v>
      </c>
      <c r="G35">
        <v>0</v>
      </c>
      <c r="H35">
        <v>1.2</v>
      </c>
      <c r="I35">
        <v>0.9</v>
      </c>
      <c r="J35">
        <v>1.8184978836478705</v>
      </c>
      <c r="K35">
        <v>1500</v>
      </c>
      <c r="L35">
        <v>0</v>
      </c>
      <c r="N35">
        <v>5</v>
      </c>
      <c r="O35" s="60" t="s">
        <v>1921</v>
      </c>
      <c r="P35" t="s">
        <v>726</v>
      </c>
      <c r="Q35" t="s">
        <v>1922</v>
      </c>
    </row>
    <row r="36" spans="1:17" x14ac:dyDescent="0.25">
      <c r="A36" t="s">
        <v>19</v>
      </c>
      <c r="B36">
        <v>15</v>
      </c>
      <c r="C36">
        <v>122.25</v>
      </c>
      <c r="D36">
        <v>0</v>
      </c>
      <c r="E36">
        <v>140</v>
      </c>
      <c r="F36">
        <v>122.25</v>
      </c>
      <c r="G36">
        <v>0</v>
      </c>
      <c r="H36">
        <v>1.2</v>
      </c>
      <c r="I36">
        <v>0.9</v>
      </c>
      <c r="J36">
        <v>56.126477890366417</v>
      </c>
      <c r="K36">
        <v>1500</v>
      </c>
      <c r="L36">
        <v>0</v>
      </c>
      <c r="N36">
        <v>5</v>
      </c>
      <c r="O36" s="60" t="s">
        <v>1923</v>
      </c>
      <c r="P36" t="s">
        <v>684</v>
      </c>
      <c r="Q36" t="s">
        <v>2390</v>
      </c>
    </row>
    <row r="37" spans="1:17" x14ac:dyDescent="0.25">
      <c r="A37" t="s">
        <v>19</v>
      </c>
      <c r="B37">
        <v>140</v>
      </c>
      <c r="C37">
        <v>122.25</v>
      </c>
      <c r="D37">
        <v>0</v>
      </c>
      <c r="E37">
        <v>140</v>
      </c>
      <c r="F37">
        <v>123.6</v>
      </c>
      <c r="G37">
        <v>0</v>
      </c>
      <c r="H37">
        <v>1.2</v>
      </c>
      <c r="I37">
        <v>0.9</v>
      </c>
      <c r="J37">
        <v>0.60616596121595478</v>
      </c>
      <c r="K37">
        <v>1500</v>
      </c>
      <c r="L37">
        <v>0</v>
      </c>
      <c r="N37">
        <v>5</v>
      </c>
      <c r="O37" s="60" t="s">
        <v>1924</v>
      </c>
      <c r="P37" t="s">
        <v>685</v>
      </c>
      <c r="Q37" t="s">
        <v>1925</v>
      </c>
    </row>
    <row r="38" spans="1:17" x14ac:dyDescent="0.25">
      <c r="A38" t="s">
        <v>19</v>
      </c>
      <c r="B38">
        <v>140</v>
      </c>
      <c r="C38">
        <v>123.6</v>
      </c>
      <c r="D38">
        <v>0</v>
      </c>
      <c r="E38">
        <v>15</v>
      </c>
      <c r="F38">
        <v>123.6</v>
      </c>
      <c r="G38">
        <v>0</v>
      </c>
      <c r="H38">
        <v>1.2</v>
      </c>
      <c r="I38">
        <v>0.9</v>
      </c>
      <c r="J38">
        <v>56.126477890366417</v>
      </c>
      <c r="K38">
        <v>1500</v>
      </c>
      <c r="L38">
        <v>0</v>
      </c>
      <c r="N38">
        <v>5</v>
      </c>
      <c r="O38" s="60" t="s">
        <v>1926</v>
      </c>
      <c r="P38" t="s">
        <v>686</v>
      </c>
      <c r="Q38" t="s">
        <v>2391</v>
      </c>
    </row>
    <row r="39" spans="1:17" x14ac:dyDescent="0.25">
      <c r="A39" t="s">
        <v>19</v>
      </c>
      <c r="B39">
        <v>15</v>
      </c>
      <c r="C39">
        <v>123.60000000000001</v>
      </c>
      <c r="D39">
        <v>0</v>
      </c>
      <c r="E39">
        <v>15</v>
      </c>
      <c r="F39">
        <v>127.65</v>
      </c>
      <c r="G39">
        <v>0</v>
      </c>
      <c r="H39">
        <v>1.2</v>
      </c>
      <c r="I39">
        <v>0.9</v>
      </c>
      <c r="J39">
        <v>1.8184978836478705</v>
      </c>
      <c r="K39">
        <v>1500</v>
      </c>
      <c r="L39">
        <v>0</v>
      </c>
      <c r="N39">
        <v>5</v>
      </c>
      <c r="O39" s="60" t="s">
        <v>1927</v>
      </c>
      <c r="P39" t="s">
        <v>726</v>
      </c>
      <c r="Q39" t="s">
        <v>1928</v>
      </c>
    </row>
    <row r="40" spans="1:17" x14ac:dyDescent="0.25">
      <c r="A40" t="s">
        <v>19</v>
      </c>
      <c r="B40">
        <v>15</v>
      </c>
      <c r="C40">
        <v>127.65</v>
      </c>
      <c r="D40">
        <v>0</v>
      </c>
      <c r="E40">
        <v>140</v>
      </c>
      <c r="F40">
        <v>127.65</v>
      </c>
      <c r="G40">
        <v>0</v>
      </c>
      <c r="H40">
        <v>1.2</v>
      </c>
      <c r="I40">
        <v>0.9</v>
      </c>
      <c r="J40">
        <v>56.126477890366417</v>
      </c>
      <c r="K40">
        <v>1500</v>
      </c>
      <c r="L40">
        <v>0</v>
      </c>
      <c r="N40">
        <v>5</v>
      </c>
      <c r="O40" s="60" t="s">
        <v>1929</v>
      </c>
      <c r="P40" t="s">
        <v>684</v>
      </c>
      <c r="Q40" t="s">
        <v>2390</v>
      </c>
    </row>
    <row r="41" spans="1:17" x14ac:dyDescent="0.25">
      <c r="A41" t="s">
        <v>19</v>
      </c>
      <c r="B41">
        <v>140</v>
      </c>
      <c r="C41">
        <v>127.65</v>
      </c>
      <c r="D41">
        <v>0</v>
      </c>
      <c r="E41">
        <v>140</v>
      </c>
      <c r="F41">
        <v>129</v>
      </c>
      <c r="G41">
        <v>0</v>
      </c>
      <c r="H41">
        <v>1.2</v>
      </c>
      <c r="I41">
        <v>0.9</v>
      </c>
      <c r="J41">
        <v>0.60616596121595478</v>
      </c>
      <c r="K41">
        <v>1500</v>
      </c>
      <c r="L41">
        <v>0</v>
      </c>
      <c r="N41">
        <v>5</v>
      </c>
      <c r="O41" s="60" t="s">
        <v>1930</v>
      </c>
      <c r="P41" t="s">
        <v>685</v>
      </c>
      <c r="Q41" t="s">
        <v>1931</v>
      </c>
    </row>
    <row r="42" spans="1:17" x14ac:dyDescent="0.25">
      <c r="A42" t="s">
        <v>19</v>
      </c>
      <c r="B42">
        <v>140</v>
      </c>
      <c r="C42">
        <v>129</v>
      </c>
      <c r="D42">
        <v>0</v>
      </c>
      <c r="E42">
        <v>15</v>
      </c>
      <c r="F42">
        <v>129</v>
      </c>
      <c r="G42">
        <v>0</v>
      </c>
      <c r="H42">
        <v>1.2</v>
      </c>
      <c r="I42">
        <v>0.9</v>
      </c>
      <c r="J42">
        <v>56.126477890366417</v>
      </c>
      <c r="K42">
        <v>1500</v>
      </c>
      <c r="L42">
        <v>0</v>
      </c>
      <c r="N42">
        <v>5</v>
      </c>
      <c r="O42" s="60" t="s">
        <v>1932</v>
      </c>
      <c r="P42" t="s">
        <v>686</v>
      </c>
      <c r="Q42" t="s">
        <v>2391</v>
      </c>
    </row>
    <row r="43" spans="1:17" x14ac:dyDescent="0.25">
      <c r="A43" t="s">
        <v>49</v>
      </c>
      <c r="B43" t="s">
        <v>811</v>
      </c>
      <c r="N43">
        <v>6</v>
      </c>
      <c r="O43" s="60" t="s">
        <v>676</v>
      </c>
      <c r="P43" t="s">
        <v>723</v>
      </c>
      <c r="Q43" t="s">
        <v>811</v>
      </c>
    </row>
    <row r="44" spans="1:17" x14ac:dyDescent="0.25">
      <c r="A44" t="s">
        <v>49</v>
      </c>
      <c r="B44" t="s">
        <v>203</v>
      </c>
      <c r="C44">
        <v>1</v>
      </c>
      <c r="N44">
        <v>7</v>
      </c>
      <c r="O44" s="60" t="s">
        <v>678</v>
      </c>
      <c r="P44" t="s">
        <v>727</v>
      </c>
      <c r="Q44" t="s">
        <v>468</v>
      </c>
    </row>
    <row r="45" spans="1:17" x14ac:dyDescent="0.25">
      <c r="A45" t="s">
        <v>49</v>
      </c>
      <c r="B45" t="s">
        <v>634</v>
      </c>
      <c r="N45">
        <v>8</v>
      </c>
      <c r="O45" s="60" t="s">
        <v>680</v>
      </c>
      <c r="P45" t="s">
        <v>734</v>
      </c>
      <c r="Q45" t="s">
        <v>634</v>
      </c>
    </row>
    <row r="46" spans="1:17" x14ac:dyDescent="0.25">
      <c r="A46" t="s">
        <v>23</v>
      </c>
      <c r="B46">
        <v>15</v>
      </c>
      <c r="C46">
        <v>129</v>
      </c>
      <c r="D46">
        <v>0</v>
      </c>
      <c r="E46">
        <v>141.35</v>
      </c>
      <c r="F46">
        <v>76.349999999999994</v>
      </c>
      <c r="G46">
        <v>1E-4</v>
      </c>
      <c r="H46">
        <v>0</v>
      </c>
      <c r="I46">
        <v>0</v>
      </c>
      <c r="K46">
        <v>48000</v>
      </c>
      <c r="N46">
        <v>0</v>
      </c>
      <c r="O46" s="60">
        <v>0</v>
      </c>
      <c r="P46" t="s">
        <v>661</v>
      </c>
      <c r="Q46" t="s">
        <v>2392</v>
      </c>
    </row>
    <row r="47" spans="1:17" x14ac:dyDescent="0.25">
      <c r="A47" t="s">
        <v>19</v>
      </c>
      <c r="B47">
        <v>141.35</v>
      </c>
      <c r="C47">
        <v>76.349999999999994</v>
      </c>
      <c r="D47">
        <v>1E-4</v>
      </c>
      <c r="E47">
        <v>16.349999999999994</v>
      </c>
      <c r="F47">
        <v>76.349999999999994</v>
      </c>
      <c r="G47">
        <v>1E-4</v>
      </c>
      <c r="H47">
        <v>1.2</v>
      </c>
      <c r="I47">
        <v>0.9</v>
      </c>
      <c r="J47">
        <v>56.126477890366417</v>
      </c>
      <c r="K47">
        <v>1500</v>
      </c>
      <c r="L47">
        <v>0</v>
      </c>
      <c r="N47">
        <v>9</v>
      </c>
      <c r="O47" s="60" t="s">
        <v>682</v>
      </c>
      <c r="P47" t="s">
        <v>677</v>
      </c>
      <c r="Q47" t="s">
        <v>2393</v>
      </c>
    </row>
    <row r="48" spans="1:17" x14ac:dyDescent="0.25">
      <c r="A48" t="s">
        <v>19</v>
      </c>
      <c r="B48">
        <v>16.349999999999994</v>
      </c>
      <c r="C48">
        <v>76.349999999999994</v>
      </c>
      <c r="D48">
        <v>1E-4</v>
      </c>
      <c r="E48">
        <v>16.349999999999994</v>
      </c>
      <c r="F48">
        <v>77.699999999999989</v>
      </c>
      <c r="G48">
        <v>1E-4</v>
      </c>
      <c r="H48">
        <v>1.2</v>
      </c>
      <c r="I48">
        <v>0.9</v>
      </c>
      <c r="J48">
        <v>0.60616596121595478</v>
      </c>
      <c r="K48">
        <v>1500</v>
      </c>
      <c r="L48">
        <v>0</v>
      </c>
      <c r="N48">
        <v>10</v>
      </c>
      <c r="O48" s="60" t="s">
        <v>687</v>
      </c>
      <c r="P48" t="s">
        <v>679</v>
      </c>
      <c r="Q48" t="s">
        <v>876</v>
      </c>
    </row>
    <row r="49" spans="1:17" x14ac:dyDescent="0.25">
      <c r="A49" t="s">
        <v>19</v>
      </c>
      <c r="B49">
        <v>16.349999999999994</v>
      </c>
      <c r="C49">
        <v>77.699999999999989</v>
      </c>
      <c r="D49">
        <v>1E-4</v>
      </c>
      <c r="E49">
        <v>141.35</v>
      </c>
      <c r="F49">
        <v>77.699999999999989</v>
      </c>
      <c r="G49">
        <v>1E-4</v>
      </c>
      <c r="H49">
        <v>1.2</v>
      </c>
      <c r="I49">
        <v>0.9</v>
      </c>
      <c r="J49">
        <v>56.126477890366417</v>
      </c>
      <c r="K49">
        <v>1500</v>
      </c>
      <c r="L49">
        <v>0</v>
      </c>
      <c r="N49">
        <v>11</v>
      </c>
      <c r="O49" s="60" t="s">
        <v>688</v>
      </c>
      <c r="P49" t="s">
        <v>681</v>
      </c>
      <c r="Q49" t="s">
        <v>2394</v>
      </c>
    </row>
    <row r="50" spans="1:17" x14ac:dyDescent="0.25">
      <c r="A50" t="s">
        <v>19</v>
      </c>
      <c r="B50">
        <v>141.35</v>
      </c>
      <c r="C50">
        <v>77.699999999999989</v>
      </c>
      <c r="D50">
        <v>1E-4</v>
      </c>
      <c r="E50">
        <v>141.35</v>
      </c>
      <c r="F50">
        <v>81.749999999999986</v>
      </c>
      <c r="G50">
        <v>1E-4</v>
      </c>
      <c r="H50">
        <v>1.2</v>
      </c>
      <c r="I50">
        <v>0.9</v>
      </c>
      <c r="J50">
        <v>1.8184978836478705</v>
      </c>
      <c r="K50">
        <v>1500</v>
      </c>
      <c r="L50">
        <v>0</v>
      </c>
      <c r="N50">
        <v>12</v>
      </c>
      <c r="O50" s="60" t="s">
        <v>690</v>
      </c>
      <c r="P50" t="s">
        <v>683</v>
      </c>
      <c r="Q50" t="s">
        <v>877</v>
      </c>
    </row>
    <row r="51" spans="1:17" x14ac:dyDescent="0.25">
      <c r="A51" t="s">
        <v>19</v>
      </c>
      <c r="B51">
        <v>141.35</v>
      </c>
      <c r="C51">
        <v>81.75</v>
      </c>
      <c r="D51">
        <v>1E-4</v>
      </c>
      <c r="E51">
        <v>16.349999999999994</v>
      </c>
      <c r="F51">
        <v>81.75</v>
      </c>
      <c r="G51">
        <v>1E-4</v>
      </c>
      <c r="H51">
        <v>1.2</v>
      </c>
      <c r="I51">
        <v>0.9</v>
      </c>
      <c r="J51">
        <v>56.126477890366417</v>
      </c>
      <c r="K51">
        <v>1500</v>
      </c>
      <c r="L51">
        <v>0</v>
      </c>
      <c r="N51">
        <v>13</v>
      </c>
      <c r="O51" s="60" t="s">
        <v>692</v>
      </c>
      <c r="P51" t="s">
        <v>818</v>
      </c>
      <c r="Q51" t="s">
        <v>2395</v>
      </c>
    </row>
    <row r="52" spans="1:17" x14ac:dyDescent="0.25">
      <c r="A52" t="s">
        <v>19</v>
      </c>
      <c r="B52">
        <v>16.349999999999994</v>
      </c>
      <c r="C52">
        <v>81.75</v>
      </c>
      <c r="D52">
        <v>1E-4</v>
      </c>
      <c r="E52">
        <v>16.349999999999994</v>
      </c>
      <c r="F52">
        <v>83.1</v>
      </c>
      <c r="G52">
        <v>1E-4</v>
      </c>
      <c r="H52">
        <v>1.2</v>
      </c>
      <c r="I52">
        <v>0.9</v>
      </c>
      <c r="J52">
        <v>0.60616596121595478</v>
      </c>
      <c r="K52">
        <v>1500</v>
      </c>
      <c r="L52">
        <v>0</v>
      </c>
      <c r="N52">
        <v>13</v>
      </c>
      <c r="O52" s="60" t="s">
        <v>694</v>
      </c>
      <c r="P52" t="s">
        <v>729</v>
      </c>
      <c r="Q52" t="s">
        <v>1024</v>
      </c>
    </row>
    <row r="53" spans="1:17" x14ac:dyDescent="0.25">
      <c r="A53" t="s">
        <v>19</v>
      </c>
      <c r="B53">
        <v>16.349999999999994</v>
      </c>
      <c r="C53">
        <v>83.1</v>
      </c>
      <c r="D53">
        <v>1E-4</v>
      </c>
      <c r="E53">
        <v>141.35</v>
      </c>
      <c r="F53">
        <v>83.1</v>
      </c>
      <c r="G53">
        <v>1E-4</v>
      </c>
      <c r="H53">
        <v>1.2</v>
      </c>
      <c r="I53">
        <v>0.9</v>
      </c>
      <c r="J53">
        <v>56.126477890366417</v>
      </c>
      <c r="K53">
        <v>1500</v>
      </c>
      <c r="L53">
        <v>0</v>
      </c>
      <c r="N53">
        <v>13</v>
      </c>
      <c r="O53" s="60" t="s">
        <v>696</v>
      </c>
      <c r="P53" t="s">
        <v>693</v>
      </c>
      <c r="Q53" t="s">
        <v>2394</v>
      </c>
    </row>
    <row r="54" spans="1:17" x14ac:dyDescent="0.25">
      <c r="A54" t="s">
        <v>19</v>
      </c>
      <c r="B54">
        <v>141.35</v>
      </c>
      <c r="C54">
        <v>83.1</v>
      </c>
      <c r="D54">
        <v>1E-4</v>
      </c>
      <c r="E54">
        <v>141.35</v>
      </c>
      <c r="F54">
        <v>87.149999999999991</v>
      </c>
      <c r="G54">
        <v>1E-4</v>
      </c>
      <c r="H54">
        <v>1.2</v>
      </c>
      <c r="I54">
        <v>0.9</v>
      </c>
      <c r="J54">
        <v>1.8184978836478705</v>
      </c>
      <c r="K54">
        <v>1500</v>
      </c>
      <c r="L54">
        <v>0</v>
      </c>
      <c r="N54">
        <v>13</v>
      </c>
      <c r="O54" s="60" t="s">
        <v>697</v>
      </c>
      <c r="P54" t="s">
        <v>695</v>
      </c>
      <c r="Q54" t="s">
        <v>1025</v>
      </c>
    </row>
    <row r="55" spans="1:17" x14ac:dyDescent="0.25">
      <c r="A55" t="s">
        <v>19</v>
      </c>
      <c r="B55">
        <v>141.35</v>
      </c>
      <c r="C55">
        <v>87.149999999999991</v>
      </c>
      <c r="D55">
        <v>1E-4</v>
      </c>
      <c r="E55">
        <v>16.349999999999994</v>
      </c>
      <c r="F55">
        <v>87.149999999999991</v>
      </c>
      <c r="G55">
        <v>1E-4</v>
      </c>
      <c r="H55">
        <v>1.2</v>
      </c>
      <c r="I55">
        <v>0.9</v>
      </c>
      <c r="J55">
        <v>56.126477890366417</v>
      </c>
      <c r="K55">
        <v>1500</v>
      </c>
      <c r="L55">
        <v>0</v>
      </c>
      <c r="N55">
        <v>13</v>
      </c>
      <c r="O55" s="60" t="s">
        <v>698</v>
      </c>
      <c r="P55" t="s">
        <v>818</v>
      </c>
      <c r="Q55" t="s">
        <v>2395</v>
      </c>
    </row>
    <row r="56" spans="1:17" x14ac:dyDescent="0.25">
      <c r="A56" t="s">
        <v>19</v>
      </c>
      <c r="B56">
        <v>16.349999999999994</v>
      </c>
      <c r="C56">
        <v>87.149999999999991</v>
      </c>
      <c r="D56">
        <v>1E-4</v>
      </c>
      <c r="E56">
        <v>16.349999999999994</v>
      </c>
      <c r="F56">
        <v>88.499999999999986</v>
      </c>
      <c r="G56">
        <v>1E-4</v>
      </c>
      <c r="H56">
        <v>1.2</v>
      </c>
      <c r="I56">
        <v>0.9</v>
      </c>
      <c r="J56">
        <v>0.60616596121595478</v>
      </c>
      <c r="K56">
        <v>1500</v>
      </c>
      <c r="L56">
        <v>0</v>
      </c>
      <c r="N56">
        <v>13</v>
      </c>
      <c r="O56" s="60" t="s">
        <v>699</v>
      </c>
      <c r="P56" t="s">
        <v>729</v>
      </c>
      <c r="Q56" t="s">
        <v>1026</v>
      </c>
    </row>
    <row r="57" spans="1:17" x14ac:dyDescent="0.25">
      <c r="A57" t="s">
        <v>19</v>
      </c>
      <c r="B57">
        <v>16.349999999999994</v>
      </c>
      <c r="C57">
        <v>88.499999999999986</v>
      </c>
      <c r="D57">
        <v>1E-4</v>
      </c>
      <c r="E57">
        <v>141.35</v>
      </c>
      <c r="F57">
        <v>88.499999999999986</v>
      </c>
      <c r="G57">
        <v>1E-4</v>
      </c>
      <c r="H57">
        <v>1.2</v>
      </c>
      <c r="I57">
        <v>0.9</v>
      </c>
      <c r="J57">
        <v>56.126477890366417</v>
      </c>
      <c r="K57">
        <v>1500</v>
      </c>
      <c r="L57">
        <v>0</v>
      </c>
      <c r="N57">
        <v>13</v>
      </c>
      <c r="O57" s="60" t="s">
        <v>700</v>
      </c>
      <c r="P57" t="s">
        <v>693</v>
      </c>
      <c r="Q57" t="s">
        <v>2394</v>
      </c>
    </row>
    <row r="58" spans="1:17" x14ac:dyDescent="0.25">
      <c r="A58" t="s">
        <v>19</v>
      </c>
      <c r="B58">
        <v>141.35</v>
      </c>
      <c r="C58">
        <v>88.499999999999986</v>
      </c>
      <c r="D58">
        <v>1E-4</v>
      </c>
      <c r="E58">
        <v>141.35</v>
      </c>
      <c r="F58">
        <v>92.549999999999983</v>
      </c>
      <c r="G58">
        <v>1E-4</v>
      </c>
      <c r="H58">
        <v>1.2</v>
      </c>
      <c r="I58">
        <v>0.9</v>
      </c>
      <c r="J58">
        <v>1.8184978836478705</v>
      </c>
      <c r="K58">
        <v>1500</v>
      </c>
      <c r="L58">
        <v>0</v>
      </c>
      <c r="N58">
        <v>13</v>
      </c>
      <c r="O58" s="60" t="s">
        <v>701</v>
      </c>
      <c r="P58" t="s">
        <v>695</v>
      </c>
      <c r="Q58" t="s">
        <v>1027</v>
      </c>
    </row>
    <row r="59" spans="1:17" x14ac:dyDescent="0.25">
      <c r="A59" t="s">
        <v>19</v>
      </c>
      <c r="B59">
        <v>141.35</v>
      </c>
      <c r="C59">
        <v>92.55</v>
      </c>
      <c r="D59">
        <v>1E-4</v>
      </c>
      <c r="E59">
        <v>16.349999999999994</v>
      </c>
      <c r="F59">
        <v>92.55</v>
      </c>
      <c r="G59">
        <v>1E-4</v>
      </c>
      <c r="H59">
        <v>1.2</v>
      </c>
      <c r="I59">
        <v>0.9</v>
      </c>
      <c r="J59">
        <v>56.126477890366417</v>
      </c>
      <c r="K59">
        <v>1500</v>
      </c>
      <c r="L59">
        <v>0</v>
      </c>
      <c r="N59">
        <v>13</v>
      </c>
      <c r="O59" s="60" t="s">
        <v>702</v>
      </c>
      <c r="P59" t="s">
        <v>818</v>
      </c>
      <c r="Q59" t="s">
        <v>2395</v>
      </c>
    </row>
    <row r="60" spans="1:17" x14ac:dyDescent="0.25">
      <c r="A60" t="s">
        <v>19</v>
      </c>
      <c r="B60">
        <v>16.349999999999994</v>
      </c>
      <c r="C60">
        <v>92.55</v>
      </c>
      <c r="D60">
        <v>1E-4</v>
      </c>
      <c r="E60">
        <v>16.349999999999994</v>
      </c>
      <c r="F60">
        <v>93.899999999999991</v>
      </c>
      <c r="G60">
        <v>1E-4</v>
      </c>
      <c r="H60">
        <v>1.2</v>
      </c>
      <c r="I60">
        <v>0.9</v>
      </c>
      <c r="J60">
        <v>0.60616596121595478</v>
      </c>
      <c r="K60">
        <v>1500</v>
      </c>
      <c r="L60">
        <v>0</v>
      </c>
      <c r="N60">
        <v>13</v>
      </c>
      <c r="O60" s="60" t="s">
        <v>703</v>
      </c>
      <c r="P60" t="s">
        <v>729</v>
      </c>
      <c r="Q60" t="s">
        <v>1028</v>
      </c>
    </row>
    <row r="61" spans="1:17" x14ac:dyDescent="0.25">
      <c r="A61" t="s">
        <v>19</v>
      </c>
      <c r="B61">
        <v>16.349999999999994</v>
      </c>
      <c r="C61">
        <v>93.899999999999991</v>
      </c>
      <c r="D61">
        <v>1E-4</v>
      </c>
      <c r="E61">
        <v>141.35</v>
      </c>
      <c r="F61">
        <v>93.899999999999991</v>
      </c>
      <c r="G61">
        <v>1E-4</v>
      </c>
      <c r="H61">
        <v>1.2</v>
      </c>
      <c r="I61">
        <v>0.9</v>
      </c>
      <c r="J61">
        <v>56.126477890366417</v>
      </c>
      <c r="K61">
        <v>1500</v>
      </c>
      <c r="L61">
        <v>0</v>
      </c>
      <c r="N61">
        <v>13</v>
      </c>
      <c r="O61" s="60" t="s">
        <v>704</v>
      </c>
      <c r="P61" t="s">
        <v>693</v>
      </c>
      <c r="Q61" t="s">
        <v>2394</v>
      </c>
    </row>
    <row r="62" spans="1:17" x14ac:dyDescent="0.25">
      <c r="A62" t="s">
        <v>19</v>
      </c>
      <c r="B62">
        <v>141.35</v>
      </c>
      <c r="C62">
        <v>93.899999999999991</v>
      </c>
      <c r="D62">
        <v>1E-4</v>
      </c>
      <c r="E62">
        <v>141.35</v>
      </c>
      <c r="F62">
        <v>97.949999999999989</v>
      </c>
      <c r="G62">
        <v>1E-4</v>
      </c>
      <c r="H62">
        <v>1.2</v>
      </c>
      <c r="I62">
        <v>0.9</v>
      </c>
      <c r="J62">
        <v>1.8184978836478705</v>
      </c>
      <c r="K62">
        <v>1500</v>
      </c>
      <c r="L62">
        <v>0</v>
      </c>
      <c r="N62">
        <v>13</v>
      </c>
      <c r="O62" s="60" t="s">
        <v>705</v>
      </c>
      <c r="P62" t="s">
        <v>695</v>
      </c>
      <c r="Q62" t="s">
        <v>1029</v>
      </c>
    </row>
    <row r="63" spans="1:17" x14ac:dyDescent="0.25">
      <c r="A63" t="s">
        <v>19</v>
      </c>
      <c r="B63">
        <v>141.35</v>
      </c>
      <c r="C63">
        <v>97.949999999999989</v>
      </c>
      <c r="D63">
        <v>1E-4</v>
      </c>
      <c r="E63">
        <v>16.349999999999994</v>
      </c>
      <c r="F63">
        <v>97.949999999999989</v>
      </c>
      <c r="G63">
        <v>1E-4</v>
      </c>
      <c r="H63">
        <v>1.2</v>
      </c>
      <c r="I63">
        <v>0.9</v>
      </c>
      <c r="J63">
        <v>56.126477890366417</v>
      </c>
      <c r="K63">
        <v>1500</v>
      </c>
      <c r="L63">
        <v>0</v>
      </c>
      <c r="N63">
        <v>13</v>
      </c>
      <c r="O63" s="60" t="s">
        <v>706</v>
      </c>
      <c r="P63" t="s">
        <v>818</v>
      </c>
      <c r="Q63" t="s">
        <v>2395</v>
      </c>
    </row>
    <row r="64" spans="1:17" x14ac:dyDescent="0.25">
      <c r="A64" t="s">
        <v>19</v>
      </c>
      <c r="B64">
        <v>16.349999999999994</v>
      </c>
      <c r="C64">
        <v>97.949999999999989</v>
      </c>
      <c r="D64">
        <v>1E-4</v>
      </c>
      <c r="E64">
        <v>16.349999999999994</v>
      </c>
      <c r="F64">
        <v>99.299999999999983</v>
      </c>
      <c r="G64">
        <v>1E-4</v>
      </c>
      <c r="H64">
        <v>1.2</v>
      </c>
      <c r="I64">
        <v>0.9</v>
      </c>
      <c r="J64">
        <v>0.60616596121595478</v>
      </c>
      <c r="K64">
        <v>1500</v>
      </c>
      <c r="L64">
        <v>0</v>
      </c>
      <c r="N64">
        <v>13</v>
      </c>
      <c r="O64" s="60" t="s">
        <v>707</v>
      </c>
      <c r="P64" t="s">
        <v>729</v>
      </c>
      <c r="Q64" t="s">
        <v>1030</v>
      </c>
    </row>
    <row r="65" spans="1:17" x14ac:dyDescent="0.25">
      <c r="A65" t="s">
        <v>19</v>
      </c>
      <c r="B65">
        <v>16.349999999999994</v>
      </c>
      <c r="C65">
        <v>99.299999999999983</v>
      </c>
      <c r="D65">
        <v>1E-4</v>
      </c>
      <c r="E65">
        <v>141.35</v>
      </c>
      <c r="F65">
        <v>99.299999999999983</v>
      </c>
      <c r="G65">
        <v>1E-4</v>
      </c>
      <c r="H65">
        <v>1.2</v>
      </c>
      <c r="I65">
        <v>0.9</v>
      </c>
      <c r="J65">
        <v>56.126477890366417</v>
      </c>
      <c r="K65">
        <v>1500</v>
      </c>
      <c r="L65">
        <v>0</v>
      </c>
      <c r="N65">
        <v>13</v>
      </c>
      <c r="O65" s="60" t="s">
        <v>708</v>
      </c>
      <c r="P65" t="s">
        <v>693</v>
      </c>
      <c r="Q65" t="s">
        <v>2394</v>
      </c>
    </row>
    <row r="66" spans="1:17" x14ac:dyDescent="0.25">
      <c r="A66" t="s">
        <v>19</v>
      </c>
      <c r="B66">
        <v>141.35</v>
      </c>
      <c r="C66">
        <v>99.299999999999983</v>
      </c>
      <c r="D66">
        <v>1E-4</v>
      </c>
      <c r="E66">
        <v>141.35</v>
      </c>
      <c r="F66">
        <v>103.35</v>
      </c>
      <c r="G66">
        <v>1E-4</v>
      </c>
      <c r="H66">
        <v>1.2</v>
      </c>
      <c r="I66">
        <v>0.9</v>
      </c>
      <c r="J66">
        <v>1.8184978836478705</v>
      </c>
      <c r="K66">
        <v>1500</v>
      </c>
      <c r="L66">
        <v>0</v>
      </c>
      <c r="N66">
        <v>13</v>
      </c>
      <c r="O66" s="60" t="s">
        <v>709</v>
      </c>
      <c r="P66" t="s">
        <v>695</v>
      </c>
      <c r="Q66" t="s">
        <v>1031</v>
      </c>
    </row>
    <row r="67" spans="1:17" x14ac:dyDescent="0.25">
      <c r="A67" t="s">
        <v>19</v>
      </c>
      <c r="B67">
        <v>141.35</v>
      </c>
      <c r="C67">
        <v>103.35</v>
      </c>
      <c r="D67">
        <v>1E-4</v>
      </c>
      <c r="E67">
        <v>16.349999999999994</v>
      </c>
      <c r="F67">
        <v>103.35</v>
      </c>
      <c r="G67">
        <v>1E-4</v>
      </c>
      <c r="H67">
        <v>1.2</v>
      </c>
      <c r="I67">
        <v>0.9</v>
      </c>
      <c r="J67">
        <v>56.126477890366417</v>
      </c>
      <c r="K67">
        <v>1500</v>
      </c>
      <c r="L67">
        <v>0</v>
      </c>
      <c r="N67">
        <v>13</v>
      </c>
      <c r="O67" s="60" t="s">
        <v>710</v>
      </c>
      <c r="P67" t="s">
        <v>818</v>
      </c>
      <c r="Q67" t="s">
        <v>2395</v>
      </c>
    </row>
    <row r="68" spans="1:17" x14ac:dyDescent="0.25">
      <c r="A68" t="s">
        <v>19</v>
      </c>
      <c r="B68">
        <v>16.349999999999994</v>
      </c>
      <c r="C68">
        <v>103.35</v>
      </c>
      <c r="D68">
        <v>1E-4</v>
      </c>
      <c r="E68">
        <v>16.349999999999994</v>
      </c>
      <c r="F68">
        <v>104.69999999999999</v>
      </c>
      <c r="G68">
        <v>1E-4</v>
      </c>
      <c r="H68">
        <v>1.2</v>
      </c>
      <c r="I68">
        <v>0.9</v>
      </c>
      <c r="J68">
        <v>0.60616596121595478</v>
      </c>
      <c r="K68">
        <v>1500</v>
      </c>
      <c r="L68">
        <v>0</v>
      </c>
      <c r="N68">
        <v>13</v>
      </c>
      <c r="O68" s="60" t="s">
        <v>711</v>
      </c>
      <c r="P68" t="s">
        <v>729</v>
      </c>
      <c r="Q68" t="s">
        <v>1032</v>
      </c>
    </row>
    <row r="69" spans="1:17" x14ac:dyDescent="0.25">
      <c r="A69" t="s">
        <v>19</v>
      </c>
      <c r="B69">
        <v>16.349999999999994</v>
      </c>
      <c r="C69">
        <v>104.69999999999999</v>
      </c>
      <c r="D69">
        <v>1E-4</v>
      </c>
      <c r="E69">
        <v>141.35</v>
      </c>
      <c r="F69">
        <v>104.69999999999999</v>
      </c>
      <c r="G69">
        <v>1E-4</v>
      </c>
      <c r="H69">
        <v>1.2</v>
      </c>
      <c r="I69">
        <v>0.9</v>
      </c>
      <c r="J69">
        <v>56.126477890366417</v>
      </c>
      <c r="K69">
        <v>1500</v>
      </c>
      <c r="L69">
        <v>0</v>
      </c>
      <c r="N69">
        <v>13</v>
      </c>
      <c r="O69" s="60" t="s">
        <v>712</v>
      </c>
      <c r="P69" t="s">
        <v>693</v>
      </c>
      <c r="Q69" t="s">
        <v>2394</v>
      </c>
    </row>
    <row r="70" spans="1:17" x14ac:dyDescent="0.25">
      <c r="A70" t="s">
        <v>19</v>
      </c>
      <c r="B70">
        <v>141.35</v>
      </c>
      <c r="C70">
        <v>104.69999999999999</v>
      </c>
      <c r="D70">
        <v>1E-4</v>
      </c>
      <c r="E70">
        <v>141.35</v>
      </c>
      <c r="F70">
        <v>108.74999999999999</v>
      </c>
      <c r="G70">
        <v>1E-4</v>
      </c>
      <c r="H70">
        <v>1.2</v>
      </c>
      <c r="I70">
        <v>0.9</v>
      </c>
      <c r="J70">
        <v>1.8184978836478705</v>
      </c>
      <c r="K70">
        <v>1500</v>
      </c>
      <c r="L70">
        <v>0</v>
      </c>
      <c r="N70">
        <v>13</v>
      </c>
      <c r="O70" s="60" t="s">
        <v>713</v>
      </c>
      <c r="P70" t="s">
        <v>695</v>
      </c>
      <c r="Q70" t="s">
        <v>1033</v>
      </c>
    </row>
    <row r="71" spans="1:17" x14ac:dyDescent="0.25">
      <c r="A71" t="s">
        <v>19</v>
      </c>
      <c r="B71">
        <v>141.35</v>
      </c>
      <c r="C71">
        <v>108.75</v>
      </c>
      <c r="D71">
        <v>1E-4</v>
      </c>
      <c r="E71">
        <v>16.349999999999994</v>
      </c>
      <c r="F71">
        <v>108.75</v>
      </c>
      <c r="G71">
        <v>1E-4</v>
      </c>
      <c r="H71">
        <v>1.2</v>
      </c>
      <c r="I71">
        <v>0.9</v>
      </c>
      <c r="J71">
        <v>56.126477890366417</v>
      </c>
      <c r="K71">
        <v>1500</v>
      </c>
      <c r="L71">
        <v>0</v>
      </c>
      <c r="N71">
        <v>13</v>
      </c>
      <c r="O71" s="60" t="s">
        <v>714</v>
      </c>
      <c r="P71" t="s">
        <v>818</v>
      </c>
      <c r="Q71" t="s">
        <v>2395</v>
      </c>
    </row>
    <row r="72" spans="1:17" x14ac:dyDescent="0.25">
      <c r="A72" t="s">
        <v>19</v>
      </c>
      <c r="B72">
        <v>16.349999999999994</v>
      </c>
      <c r="C72">
        <v>108.75</v>
      </c>
      <c r="D72">
        <v>1E-4</v>
      </c>
      <c r="E72">
        <v>16.349999999999994</v>
      </c>
      <c r="F72">
        <v>110.1</v>
      </c>
      <c r="G72">
        <v>1E-4</v>
      </c>
      <c r="H72">
        <v>1.2</v>
      </c>
      <c r="I72">
        <v>0.9</v>
      </c>
      <c r="J72">
        <v>0.60616596121595478</v>
      </c>
      <c r="K72">
        <v>1500</v>
      </c>
      <c r="L72">
        <v>0</v>
      </c>
      <c r="N72">
        <v>13</v>
      </c>
      <c r="O72" s="60" t="s">
        <v>715</v>
      </c>
      <c r="P72" t="s">
        <v>729</v>
      </c>
      <c r="Q72" t="s">
        <v>1034</v>
      </c>
    </row>
    <row r="73" spans="1:17" x14ac:dyDescent="0.25">
      <c r="A73" t="s">
        <v>19</v>
      </c>
      <c r="B73">
        <v>16.349999999999994</v>
      </c>
      <c r="C73">
        <v>110.1</v>
      </c>
      <c r="D73">
        <v>1E-4</v>
      </c>
      <c r="E73">
        <v>141.35</v>
      </c>
      <c r="F73">
        <v>110.1</v>
      </c>
      <c r="G73">
        <v>1E-4</v>
      </c>
      <c r="H73">
        <v>1.2</v>
      </c>
      <c r="I73">
        <v>0.9</v>
      </c>
      <c r="J73">
        <v>56.126477890366417</v>
      </c>
      <c r="K73">
        <v>1500</v>
      </c>
      <c r="L73">
        <v>0</v>
      </c>
      <c r="N73">
        <v>13</v>
      </c>
      <c r="O73" s="60" t="s">
        <v>716</v>
      </c>
      <c r="P73" t="s">
        <v>693</v>
      </c>
      <c r="Q73" t="s">
        <v>2394</v>
      </c>
    </row>
    <row r="74" spans="1:17" x14ac:dyDescent="0.25">
      <c r="A74" t="s">
        <v>19</v>
      </c>
      <c r="B74">
        <v>141.35</v>
      </c>
      <c r="C74">
        <v>110.1</v>
      </c>
      <c r="D74">
        <v>1E-4</v>
      </c>
      <c r="E74">
        <v>141.35</v>
      </c>
      <c r="F74">
        <v>114.14999999999999</v>
      </c>
      <c r="G74">
        <v>1E-4</v>
      </c>
      <c r="H74">
        <v>1.2</v>
      </c>
      <c r="I74">
        <v>0.9</v>
      </c>
      <c r="J74">
        <v>1.8184978836478705</v>
      </c>
      <c r="K74">
        <v>1500</v>
      </c>
      <c r="L74">
        <v>0</v>
      </c>
      <c r="N74">
        <v>13</v>
      </c>
      <c r="O74" s="60" t="s">
        <v>717</v>
      </c>
      <c r="P74" t="s">
        <v>695</v>
      </c>
      <c r="Q74" t="s">
        <v>1035</v>
      </c>
    </row>
    <row r="75" spans="1:17" x14ac:dyDescent="0.25">
      <c r="A75" t="s">
        <v>19</v>
      </c>
      <c r="B75">
        <v>141.35</v>
      </c>
      <c r="C75">
        <v>114.14999999999999</v>
      </c>
      <c r="D75">
        <v>1E-4</v>
      </c>
      <c r="E75">
        <v>16.349999999999994</v>
      </c>
      <c r="F75">
        <v>114.14999999999999</v>
      </c>
      <c r="G75">
        <v>1E-4</v>
      </c>
      <c r="H75">
        <v>1.2</v>
      </c>
      <c r="I75">
        <v>0.9</v>
      </c>
      <c r="J75">
        <v>56.126477890366417</v>
      </c>
      <c r="K75">
        <v>1500</v>
      </c>
      <c r="L75">
        <v>0</v>
      </c>
      <c r="N75">
        <v>13</v>
      </c>
      <c r="O75" s="60" t="s">
        <v>718</v>
      </c>
      <c r="P75" t="s">
        <v>818</v>
      </c>
      <c r="Q75" t="s">
        <v>2395</v>
      </c>
    </row>
    <row r="76" spans="1:17" x14ac:dyDescent="0.25">
      <c r="A76" t="s">
        <v>19</v>
      </c>
      <c r="B76">
        <v>16.349999999999994</v>
      </c>
      <c r="C76">
        <v>114.14999999999999</v>
      </c>
      <c r="D76">
        <v>1E-4</v>
      </c>
      <c r="E76">
        <v>16.349999999999994</v>
      </c>
      <c r="F76">
        <v>115.49999999999999</v>
      </c>
      <c r="G76">
        <v>1E-4</v>
      </c>
      <c r="H76">
        <v>1.2</v>
      </c>
      <c r="I76">
        <v>0.9</v>
      </c>
      <c r="J76">
        <v>0.60616596121595478</v>
      </c>
      <c r="K76">
        <v>1500</v>
      </c>
      <c r="L76">
        <v>0</v>
      </c>
      <c r="N76">
        <v>13</v>
      </c>
      <c r="O76" s="60" t="s">
        <v>719</v>
      </c>
      <c r="P76" t="s">
        <v>729</v>
      </c>
      <c r="Q76" t="s">
        <v>1036</v>
      </c>
    </row>
    <row r="77" spans="1:17" x14ac:dyDescent="0.25">
      <c r="A77" t="s">
        <v>19</v>
      </c>
      <c r="B77">
        <v>16.349999999999994</v>
      </c>
      <c r="C77">
        <v>115.49999999999999</v>
      </c>
      <c r="D77">
        <v>1E-4</v>
      </c>
      <c r="E77">
        <v>141.35</v>
      </c>
      <c r="F77">
        <v>115.49999999999999</v>
      </c>
      <c r="G77">
        <v>1E-4</v>
      </c>
      <c r="H77">
        <v>1.2</v>
      </c>
      <c r="I77">
        <v>0.9</v>
      </c>
      <c r="J77">
        <v>56.126477890366417</v>
      </c>
      <c r="K77">
        <v>1500</v>
      </c>
      <c r="L77">
        <v>0</v>
      </c>
      <c r="N77">
        <v>13</v>
      </c>
      <c r="O77" s="60" t="s">
        <v>720</v>
      </c>
      <c r="P77" t="s">
        <v>693</v>
      </c>
      <c r="Q77" t="s">
        <v>2394</v>
      </c>
    </row>
    <row r="78" spans="1:17" x14ac:dyDescent="0.25">
      <c r="A78" t="s">
        <v>19</v>
      </c>
      <c r="B78">
        <v>141.35</v>
      </c>
      <c r="C78">
        <v>115.49999999999999</v>
      </c>
      <c r="D78">
        <v>1E-4</v>
      </c>
      <c r="E78">
        <v>141.35</v>
      </c>
      <c r="F78">
        <v>119.54999999999998</v>
      </c>
      <c r="G78">
        <v>1E-4</v>
      </c>
      <c r="H78">
        <v>1.2</v>
      </c>
      <c r="I78">
        <v>0.9</v>
      </c>
      <c r="J78">
        <v>1.8184978836478705</v>
      </c>
      <c r="K78">
        <v>1500</v>
      </c>
      <c r="L78">
        <v>0</v>
      </c>
      <c r="N78">
        <v>13</v>
      </c>
      <c r="O78" s="60" t="s">
        <v>721</v>
      </c>
      <c r="P78" t="s">
        <v>695</v>
      </c>
      <c r="Q78" t="s">
        <v>1037</v>
      </c>
    </row>
    <row r="79" spans="1:17" x14ac:dyDescent="0.25">
      <c r="A79" t="s">
        <v>19</v>
      </c>
      <c r="B79">
        <v>141.35</v>
      </c>
      <c r="C79">
        <v>119.55</v>
      </c>
      <c r="D79">
        <v>1E-4</v>
      </c>
      <c r="E79">
        <v>16.349999999999994</v>
      </c>
      <c r="F79">
        <v>119.55</v>
      </c>
      <c r="G79">
        <v>1E-4</v>
      </c>
      <c r="H79">
        <v>1.2</v>
      </c>
      <c r="I79">
        <v>0.9</v>
      </c>
      <c r="J79">
        <v>56.126477890366417</v>
      </c>
      <c r="K79">
        <v>1500</v>
      </c>
      <c r="L79">
        <v>0</v>
      </c>
      <c r="N79">
        <v>13</v>
      </c>
      <c r="O79" s="60" t="s">
        <v>1933</v>
      </c>
      <c r="P79" t="s">
        <v>818</v>
      </c>
      <c r="Q79" t="s">
        <v>2395</v>
      </c>
    </row>
    <row r="80" spans="1:17" x14ac:dyDescent="0.25">
      <c r="A80" t="s">
        <v>19</v>
      </c>
      <c r="B80">
        <v>16.349999999999994</v>
      </c>
      <c r="C80">
        <v>119.55</v>
      </c>
      <c r="D80">
        <v>1E-4</v>
      </c>
      <c r="E80">
        <v>16.349999999999994</v>
      </c>
      <c r="F80">
        <v>120.89999999999999</v>
      </c>
      <c r="G80">
        <v>1E-4</v>
      </c>
      <c r="H80">
        <v>1.2</v>
      </c>
      <c r="I80">
        <v>0.9</v>
      </c>
      <c r="J80">
        <v>0.60616596121595478</v>
      </c>
      <c r="K80">
        <v>1500</v>
      </c>
      <c r="L80">
        <v>0</v>
      </c>
      <c r="N80">
        <v>13</v>
      </c>
      <c r="O80" s="60" t="s">
        <v>1934</v>
      </c>
      <c r="P80" t="s">
        <v>729</v>
      </c>
      <c r="Q80" t="s">
        <v>1935</v>
      </c>
    </row>
    <row r="81" spans="1:17" x14ac:dyDescent="0.25">
      <c r="A81" t="s">
        <v>19</v>
      </c>
      <c r="B81">
        <v>16.349999999999994</v>
      </c>
      <c r="C81">
        <v>120.89999999999999</v>
      </c>
      <c r="D81">
        <v>1E-4</v>
      </c>
      <c r="E81">
        <v>141.35</v>
      </c>
      <c r="F81">
        <v>120.89999999999999</v>
      </c>
      <c r="G81">
        <v>1E-4</v>
      </c>
      <c r="H81">
        <v>1.2</v>
      </c>
      <c r="I81">
        <v>0.9</v>
      </c>
      <c r="J81">
        <v>56.126477890366417</v>
      </c>
      <c r="K81">
        <v>1500</v>
      </c>
      <c r="L81">
        <v>0</v>
      </c>
      <c r="N81">
        <v>13</v>
      </c>
      <c r="O81" s="60" t="s">
        <v>1936</v>
      </c>
      <c r="P81" t="s">
        <v>693</v>
      </c>
      <c r="Q81" t="s">
        <v>2394</v>
      </c>
    </row>
    <row r="82" spans="1:17" x14ac:dyDescent="0.25">
      <c r="A82" t="s">
        <v>19</v>
      </c>
      <c r="B82">
        <v>141.35</v>
      </c>
      <c r="C82">
        <v>120.89999999999999</v>
      </c>
      <c r="D82">
        <v>1E-4</v>
      </c>
      <c r="E82">
        <v>141.35</v>
      </c>
      <c r="F82">
        <v>124.94999999999999</v>
      </c>
      <c r="G82">
        <v>1E-4</v>
      </c>
      <c r="H82">
        <v>1.2</v>
      </c>
      <c r="I82">
        <v>0.9</v>
      </c>
      <c r="J82">
        <v>1.8184978836478705</v>
      </c>
      <c r="K82">
        <v>1500</v>
      </c>
      <c r="L82">
        <v>0</v>
      </c>
      <c r="N82">
        <v>13</v>
      </c>
      <c r="O82" s="60" t="s">
        <v>1937</v>
      </c>
      <c r="P82" t="s">
        <v>695</v>
      </c>
      <c r="Q82" t="s">
        <v>1938</v>
      </c>
    </row>
    <row r="83" spans="1:17" x14ac:dyDescent="0.25">
      <c r="A83" t="s">
        <v>19</v>
      </c>
      <c r="B83">
        <v>141.35</v>
      </c>
      <c r="C83">
        <v>124.95</v>
      </c>
      <c r="D83">
        <v>1E-4</v>
      </c>
      <c r="E83">
        <v>16.349999999999994</v>
      </c>
      <c r="F83">
        <v>124.95</v>
      </c>
      <c r="G83">
        <v>1E-4</v>
      </c>
      <c r="H83">
        <v>1.2</v>
      </c>
      <c r="I83">
        <v>0.9</v>
      </c>
      <c r="J83">
        <v>56.126477890366417</v>
      </c>
      <c r="K83">
        <v>1500</v>
      </c>
      <c r="L83">
        <v>0</v>
      </c>
      <c r="N83">
        <v>13</v>
      </c>
      <c r="O83" s="60" t="s">
        <v>1939</v>
      </c>
      <c r="P83" t="s">
        <v>818</v>
      </c>
      <c r="Q83" t="s">
        <v>2395</v>
      </c>
    </row>
    <row r="84" spans="1:17" x14ac:dyDescent="0.25">
      <c r="A84" t="s">
        <v>19</v>
      </c>
      <c r="B84">
        <v>16.349999999999994</v>
      </c>
      <c r="C84">
        <v>124.95</v>
      </c>
      <c r="D84">
        <v>1E-4</v>
      </c>
      <c r="E84">
        <v>16.349999999999994</v>
      </c>
      <c r="F84">
        <v>126.3</v>
      </c>
      <c r="G84">
        <v>1E-4</v>
      </c>
      <c r="H84">
        <v>1.2</v>
      </c>
      <c r="I84">
        <v>0.9</v>
      </c>
      <c r="J84">
        <v>0.60616596121595478</v>
      </c>
      <c r="K84">
        <v>1500</v>
      </c>
      <c r="L84">
        <v>0</v>
      </c>
      <c r="N84">
        <v>13</v>
      </c>
      <c r="O84" s="60" t="s">
        <v>1940</v>
      </c>
      <c r="P84" t="s">
        <v>729</v>
      </c>
      <c r="Q84" t="s">
        <v>1941</v>
      </c>
    </row>
    <row r="85" spans="1:17" x14ac:dyDescent="0.25">
      <c r="A85" t="s">
        <v>19</v>
      </c>
      <c r="B85">
        <v>16.349999999999994</v>
      </c>
      <c r="C85">
        <v>126.3</v>
      </c>
      <c r="D85">
        <v>1E-4</v>
      </c>
      <c r="E85">
        <v>141.35</v>
      </c>
      <c r="F85">
        <v>126.3</v>
      </c>
      <c r="G85">
        <v>1E-4</v>
      </c>
      <c r="H85">
        <v>1.2</v>
      </c>
      <c r="I85">
        <v>0.9</v>
      </c>
      <c r="J85">
        <v>56.126477890366417</v>
      </c>
      <c r="K85">
        <v>1500</v>
      </c>
      <c r="L85">
        <v>0</v>
      </c>
      <c r="N85">
        <v>13</v>
      </c>
      <c r="O85" s="60" t="s">
        <v>1942</v>
      </c>
      <c r="P85" t="s">
        <v>693</v>
      </c>
      <c r="Q85" t="s">
        <v>2394</v>
      </c>
    </row>
    <row r="86" spans="1:17" x14ac:dyDescent="0.25">
      <c r="A86" t="s">
        <v>19</v>
      </c>
      <c r="B86">
        <v>141.35</v>
      </c>
      <c r="C86">
        <v>126.3</v>
      </c>
      <c r="D86">
        <v>1E-4</v>
      </c>
      <c r="E86">
        <v>141.35</v>
      </c>
      <c r="F86">
        <v>130.35</v>
      </c>
      <c r="G86">
        <v>1E-4</v>
      </c>
      <c r="H86">
        <v>1.2</v>
      </c>
      <c r="I86">
        <v>0.9</v>
      </c>
      <c r="J86">
        <v>1.8184978836478705</v>
      </c>
      <c r="K86">
        <v>1500</v>
      </c>
      <c r="L86">
        <v>0</v>
      </c>
      <c r="N86">
        <v>13</v>
      </c>
      <c r="O86" s="60" t="s">
        <v>1943</v>
      </c>
      <c r="P86" t="s">
        <v>695</v>
      </c>
      <c r="Q86" t="s">
        <v>1944</v>
      </c>
    </row>
    <row r="87" spans="1:17" x14ac:dyDescent="0.25">
      <c r="A87" t="s">
        <v>39</v>
      </c>
      <c r="B87">
        <v>-1.25</v>
      </c>
      <c r="C87">
        <v>2100</v>
      </c>
      <c r="N87">
        <v>14</v>
      </c>
      <c r="O87" s="60" t="s">
        <v>724</v>
      </c>
      <c r="P87" t="s">
        <v>722</v>
      </c>
      <c r="Q87" t="s">
        <v>845</v>
      </c>
    </row>
    <row r="88" spans="1:17" x14ac:dyDescent="0.25">
      <c r="A88" t="s">
        <v>660</v>
      </c>
      <c r="B88">
        <v>0.9</v>
      </c>
      <c r="C88">
        <v>10000</v>
      </c>
      <c r="N88">
        <v>14</v>
      </c>
      <c r="O88" s="60" t="s">
        <v>724</v>
      </c>
      <c r="P88" t="s">
        <v>722</v>
      </c>
      <c r="Q88" t="s">
        <v>831</v>
      </c>
    </row>
    <row r="89" spans="1:17" x14ac:dyDescent="0.25">
      <c r="A89" t="s">
        <v>23</v>
      </c>
      <c r="B89">
        <v>141.35</v>
      </c>
      <c r="C89">
        <v>130.35</v>
      </c>
      <c r="D89">
        <v>1E-4</v>
      </c>
      <c r="E89">
        <v>141.35</v>
      </c>
      <c r="F89">
        <v>76.349999999999994</v>
      </c>
      <c r="G89">
        <v>0.90010000000000001</v>
      </c>
      <c r="H89">
        <v>0</v>
      </c>
      <c r="I89">
        <v>0</v>
      </c>
      <c r="K89">
        <v>48000</v>
      </c>
      <c r="N89">
        <v>0</v>
      </c>
      <c r="O89" s="60">
        <v>0</v>
      </c>
      <c r="P89" t="s">
        <v>661</v>
      </c>
      <c r="Q89" t="s">
        <v>878</v>
      </c>
    </row>
    <row r="90" spans="1:17" x14ac:dyDescent="0.25">
      <c r="A90" t="s">
        <v>19</v>
      </c>
      <c r="B90">
        <v>141.35</v>
      </c>
      <c r="C90">
        <v>76.349999999999994</v>
      </c>
      <c r="D90">
        <v>0.90010000000000001</v>
      </c>
      <c r="E90">
        <v>16.349999999999994</v>
      </c>
      <c r="F90">
        <v>76.349999999999994</v>
      </c>
      <c r="G90">
        <v>0.90010000000000001</v>
      </c>
      <c r="H90">
        <v>1.2</v>
      </c>
      <c r="I90">
        <v>0.9</v>
      </c>
      <c r="J90">
        <v>56.126477890366417</v>
      </c>
      <c r="K90">
        <v>1500</v>
      </c>
      <c r="L90">
        <v>0</v>
      </c>
      <c r="N90">
        <v>15</v>
      </c>
      <c r="O90" s="60" t="s">
        <v>728</v>
      </c>
      <c r="P90" t="s">
        <v>689</v>
      </c>
      <c r="Q90" t="s">
        <v>2393</v>
      </c>
    </row>
    <row r="91" spans="1:17" x14ac:dyDescent="0.25">
      <c r="A91" t="s">
        <v>19</v>
      </c>
      <c r="B91">
        <v>16.349999999999994</v>
      </c>
      <c r="C91">
        <v>76.349999999999994</v>
      </c>
      <c r="D91">
        <v>0.90010000000000001</v>
      </c>
      <c r="E91">
        <v>16.349999999999994</v>
      </c>
      <c r="F91">
        <v>77.699999999999989</v>
      </c>
      <c r="G91">
        <v>0.90010000000000001</v>
      </c>
      <c r="H91">
        <v>1.2</v>
      </c>
      <c r="I91">
        <v>0.9</v>
      </c>
      <c r="J91">
        <v>0.60616596121595478</v>
      </c>
      <c r="K91">
        <v>1500</v>
      </c>
      <c r="L91">
        <v>0</v>
      </c>
      <c r="N91">
        <v>16</v>
      </c>
      <c r="O91" s="60" t="s">
        <v>768</v>
      </c>
      <c r="P91" t="s">
        <v>691</v>
      </c>
      <c r="Q91" t="s">
        <v>876</v>
      </c>
    </row>
    <row r="92" spans="1:17" x14ac:dyDescent="0.25">
      <c r="A92" t="s">
        <v>19</v>
      </c>
      <c r="B92">
        <v>16.349999999999994</v>
      </c>
      <c r="C92">
        <v>77.699999999999989</v>
      </c>
      <c r="D92">
        <v>0.90010000000000001</v>
      </c>
      <c r="E92">
        <v>141.35</v>
      </c>
      <c r="F92">
        <v>77.699999999999989</v>
      </c>
      <c r="G92">
        <v>0.90010000000000001</v>
      </c>
      <c r="H92">
        <v>1.2</v>
      </c>
      <c r="I92">
        <v>0.9</v>
      </c>
      <c r="J92">
        <v>56.126477890366417</v>
      </c>
      <c r="K92">
        <v>1500</v>
      </c>
      <c r="L92">
        <v>0</v>
      </c>
      <c r="N92">
        <v>17</v>
      </c>
      <c r="O92" s="60" t="s">
        <v>730</v>
      </c>
      <c r="P92" t="s">
        <v>736</v>
      </c>
      <c r="Q92" t="s">
        <v>2394</v>
      </c>
    </row>
    <row r="93" spans="1:17" x14ac:dyDescent="0.25">
      <c r="A93" t="s">
        <v>19</v>
      </c>
      <c r="B93">
        <v>141.35</v>
      </c>
      <c r="C93">
        <v>77.699999999999989</v>
      </c>
      <c r="D93">
        <v>0.90010000000000001</v>
      </c>
      <c r="E93">
        <v>141.35</v>
      </c>
      <c r="F93">
        <v>81.749999999999986</v>
      </c>
      <c r="G93">
        <v>0.90010000000000001</v>
      </c>
      <c r="H93">
        <v>1.2</v>
      </c>
      <c r="I93">
        <v>0.9</v>
      </c>
      <c r="J93">
        <v>1.8184978836478705</v>
      </c>
      <c r="K93">
        <v>1500</v>
      </c>
      <c r="L93">
        <v>0</v>
      </c>
      <c r="N93">
        <v>18</v>
      </c>
      <c r="O93" s="60" t="s">
        <v>769</v>
      </c>
      <c r="P93" t="s">
        <v>738</v>
      </c>
      <c r="Q93" t="s">
        <v>877</v>
      </c>
    </row>
    <row r="94" spans="1:17" x14ac:dyDescent="0.25">
      <c r="A94" t="s">
        <v>19</v>
      </c>
      <c r="B94">
        <v>141.35</v>
      </c>
      <c r="C94">
        <v>81.75</v>
      </c>
      <c r="D94">
        <v>0.90010000000000001</v>
      </c>
      <c r="E94">
        <v>16.349999999999994</v>
      </c>
      <c r="F94">
        <v>81.75</v>
      </c>
      <c r="G94">
        <v>0.90010000000000001</v>
      </c>
      <c r="H94">
        <v>1.2</v>
      </c>
      <c r="I94">
        <v>0.9</v>
      </c>
      <c r="J94">
        <v>56.126477890366417</v>
      </c>
      <c r="K94">
        <v>1500</v>
      </c>
      <c r="L94">
        <v>0</v>
      </c>
      <c r="N94">
        <v>19</v>
      </c>
      <c r="O94" s="60" t="s">
        <v>1038</v>
      </c>
      <c r="P94" t="s">
        <v>803</v>
      </c>
      <c r="Q94" t="s">
        <v>2395</v>
      </c>
    </row>
    <row r="95" spans="1:17" x14ac:dyDescent="0.25">
      <c r="A95" t="s">
        <v>19</v>
      </c>
      <c r="B95">
        <v>16.349999999999994</v>
      </c>
      <c r="C95">
        <v>81.75</v>
      </c>
      <c r="D95">
        <v>0.90010000000000001</v>
      </c>
      <c r="E95">
        <v>16.349999999999994</v>
      </c>
      <c r="F95">
        <v>83.1</v>
      </c>
      <c r="G95">
        <v>0.90010000000000001</v>
      </c>
      <c r="H95">
        <v>1.2</v>
      </c>
      <c r="I95">
        <v>0.9</v>
      </c>
      <c r="J95">
        <v>0.60616596121595478</v>
      </c>
      <c r="K95">
        <v>1500</v>
      </c>
      <c r="L95">
        <v>0</v>
      </c>
      <c r="N95">
        <v>19</v>
      </c>
      <c r="O95" s="60" t="s">
        <v>1039</v>
      </c>
      <c r="P95" t="s">
        <v>804</v>
      </c>
      <c r="Q95" t="s">
        <v>1024</v>
      </c>
    </row>
    <row r="96" spans="1:17" x14ac:dyDescent="0.25">
      <c r="A96" t="s">
        <v>19</v>
      </c>
      <c r="B96">
        <v>16.349999999999994</v>
      </c>
      <c r="C96">
        <v>83.1</v>
      </c>
      <c r="D96">
        <v>0.90010000000000001</v>
      </c>
      <c r="E96">
        <v>141.35</v>
      </c>
      <c r="F96">
        <v>83.1</v>
      </c>
      <c r="G96">
        <v>0.90010000000000001</v>
      </c>
      <c r="H96">
        <v>1.2</v>
      </c>
      <c r="I96">
        <v>0.9</v>
      </c>
      <c r="J96">
        <v>56.126477890366417</v>
      </c>
      <c r="K96">
        <v>1500</v>
      </c>
      <c r="L96">
        <v>0</v>
      </c>
      <c r="N96">
        <v>19</v>
      </c>
      <c r="O96" s="60" t="s">
        <v>732</v>
      </c>
      <c r="P96" t="s">
        <v>819</v>
      </c>
      <c r="Q96" t="s">
        <v>2394</v>
      </c>
    </row>
    <row r="97" spans="1:17" x14ac:dyDescent="0.25">
      <c r="A97" t="s">
        <v>19</v>
      </c>
      <c r="B97">
        <v>141.35</v>
      </c>
      <c r="C97">
        <v>83.1</v>
      </c>
      <c r="D97">
        <v>0.90010000000000001</v>
      </c>
      <c r="E97">
        <v>141.35</v>
      </c>
      <c r="F97">
        <v>87.149999999999991</v>
      </c>
      <c r="G97">
        <v>0.90010000000000001</v>
      </c>
      <c r="H97">
        <v>1.2</v>
      </c>
      <c r="I97">
        <v>0.9</v>
      </c>
      <c r="J97">
        <v>1.8184978836478705</v>
      </c>
      <c r="K97">
        <v>1500</v>
      </c>
      <c r="L97">
        <v>0</v>
      </c>
      <c r="N97">
        <v>19</v>
      </c>
      <c r="O97" s="60" t="s">
        <v>1040</v>
      </c>
      <c r="P97" t="s">
        <v>760</v>
      </c>
      <c r="Q97" t="s">
        <v>1025</v>
      </c>
    </row>
    <row r="98" spans="1:17" x14ac:dyDescent="0.25">
      <c r="A98" t="s">
        <v>19</v>
      </c>
      <c r="B98">
        <v>141.35</v>
      </c>
      <c r="C98">
        <v>87.149999999999991</v>
      </c>
      <c r="D98">
        <v>0.90010000000000001</v>
      </c>
      <c r="E98">
        <v>16.349999999999994</v>
      </c>
      <c r="F98">
        <v>87.149999999999991</v>
      </c>
      <c r="G98">
        <v>0.90010000000000001</v>
      </c>
      <c r="H98">
        <v>1.2</v>
      </c>
      <c r="I98">
        <v>0.9</v>
      </c>
      <c r="J98">
        <v>56.126477890366417</v>
      </c>
      <c r="K98">
        <v>1500</v>
      </c>
      <c r="L98">
        <v>0</v>
      </c>
      <c r="N98">
        <v>19</v>
      </c>
      <c r="O98" s="60" t="s">
        <v>1041</v>
      </c>
      <c r="P98" t="s">
        <v>803</v>
      </c>
      <c r="Q98" t="s">
        <v>2395</v>
      </c>
    </row>
    <row r="99" spans="1:17" x14ac:dyDescent="0.25">
      <c r="A99" t="s">
        <v>19</v>
      </c>
      <c r="B99">
        <v>16.349999999999994</v>
      </c>
      <c r="C99">
        <v>87.149999999999991</v>
      </c>
      <c r="D99">
        <v>0.90010000000000001</v>
      </c>
      <c r="E99">
        <v>16.349999999999994</v>
      </c>
      <c r="F99">
        <v>88.499999999999986</v>
      </c>
      <c r="G99">
        <v>0.90010000000000001</v>
      </c>
      <c r="H99">
        <v>1.2</v>
      </c>
      <c r="I99">
        <v>0.9</v>
      </c>
      <c r="J99">
        <v>0.60616596121595478</v>
      </c>
      <c r="K99">
        <v>1500</v>
      </c>
      <c r="L99">
        <v>0</v>
      </c>
      <c r="N99">
        <v>19</v>
      </c>
      <c r="O99" s="60" t="s">
        <v>1042</v>
      </c>
      <c r="P99" t="s">
        <v>804</v>
      </c>
      <c r="Q99" t="s">
        <v>1026</v>
      </c>
    </row>
    <row r="100" spans="1:17" x14ac:dyDescent="0.25">
      <c r="A100" t="s">
        <v>19</v>
      </c>
      <c r="B100">
        <v>16.349999999999994</v>
      </c>
      <c r="C100">
        <v>88.499999999999986</v>
      </c>
      <c r="D100">
        <v>0.90010000000000001</v>
      </c>
      <c r="E100">
        <v>141.35</v>
      </c>
      <c r="F100">
        <v>88.499999999999986</v>
      </c>
      <c r="G100">
        <v>0.90010000000000001</v>
      </c>
      <c r="H100">
        <v>1.2</v>
      </c>
      <c r="I100">
        <v>0.9</v>
      </c>
      <c r="J100">
        <v>56.126477890366417</v>
      </c>
      <c r="K100">
        <v>1500</v>
      </c>
      <c r="L100">
        <v>0</v>
      </c>
      <c r="N100">
        <v>19</v>
      </c>
      <c r="O100" s="60" t="s">
        <v>1043</v>
      </c>
      <c r="P100" t="s">
        <v>819</v>
      </c>
      <c r="Q100" t="s">
        <v>2394</v>
      </c>
    </row>
    <row r="101" spans="1:17" x14ac:dyDescent="0.25">
      <c r="A101" t="s">
        <v>19</v>
      </c>
      <c r="B101">
        <v>141.35</v>
      </c>
      <c r="C101">
        <v>88.499999999999986</v>
      </c>
      <c r="D101">
        <v>0.90010000000000001</v>
      </c>
      <c r="E101">
        <v>141.35</v>
      </c>
      <c r="F101">
        <v>92.549999999999983</v>
      </c>
      <c r="G101">
        <v>0.90010000000000001</v>
      </c>
      <c r="H101">
        <v>1.2</v>
      </c>
      <c r="I101">
        <v>0.9</v>
      </c>
      <c r="J101">
        <v>1.8184978836478705</v>
      </c>
      <c r="K101">
        <v>1500</v>
      </c>
      <c r="L101">
        <v>0</v>
      </c>
      <c r="N101">
        <v>19</v>
      </c>
      <c r="O101" s="60" t="s">
        <v>1044</v>
      </c>
      <c r="P101" t="s">
        <v>760</v>
      </c>
      <c r="Q101" t="s">
        <v>1027</v>
      </c>
    </row>
    <row r="102" spans="1:17" x14ac:dyDescent="0.25">
      <c r="A102" t="s">
        <v>19</v>
      </c>
      <c r="B102">
        <v>141.35</v>
      </c>
      <c r="C102">
        <v>92.55</v>
      </c>
      <c r="D102">
        <v>0.90010000000000001</v>
      </c>
      <c r="E102">
        <v>16.349999999999994</v>
      </c>
      <c r="F102">
        <v>92.55</v>
      </c>
      <c r="G102">
        <v>0.90010000000000001</v>
      </c>
      <c r="H102">
        <v>1.2</v>
      </c>
      <c r="I102">
        <v>0.9</v>
      </c>
      <c r="J102">
        <v>56.126477890366417</v>
      </c>
      <c r="K102">
        <v>1500</v>
      </c>
      <c r="L102">
        <v>0</v>
      </c>
      <c r="N102">
        <v>19</v>
      </c>
      <c r="O102" s="60" t="s">
        <v>1045</v>
      </c>
      <c r="P102" t="s">
        <v>803</v>
      </c>
      <c r="Q102" t="s">
        <v>2395</v>
      </c>
    </row>
    <row r="103" spans="1:17" x14ac:dyDescent="0.25">
      <c r="A103" t="s">
        <v>19</v>
      </c>
      <c r="B103">
        <v>16.349999999999994</v>
      </c>
      <c r="C103">
        <v>92.55</v>
      </c>
      <c r="D103">
        <v>0.90010000000000001</v>
      </c>
      <c r="E103">
        <v>16.349999999999994</v>
      </c>
      <c r="F103">
        <v>93.899999999999991</v>
      </c>
      <c r="G103">
        <v>0.90010000000000001</v>
      </c>
      <c r="H103">
        <v>1.2</v>
      </c>
      <c r="I103">
        <v>0.9</v>
      </c>
      <c r="J103">
        <v>0.60616596121595478</v>
      </c>
      <c r="K103">
        <v>1500</v>
      </c>
      <c r="L103">
        <v>0</v>
      </c>
      <c r="N103">
        <v>19</v>
      </c>
      <c r="O103" s="60" t="s">
        <v>1046</v>
      </c>
      <c r="P103" t="s">
        <v>804</v>
      </c>
      <c r="Q103" t="s">
        <v>1028</v>
      </c>
    </row>
    <row r="104" spans="1:17" x14ac:dyDescent="0.25">
      <c r="A104" t="s">
        <v>19</v>
      </c>
      <c r="B104">
        <v>16.349999999999994</v>
      </c>
      <c r="C104">
        <v>93.899999999999991</v>
      </c>
      <c r="D104">
        <v>0.90010000000000001</v>
      </c>
      <c r="E104">
        <v>141.35</v>
      </c>
      <c r="F104">
        <v>93.899999999999991</v>
      </c>
      <c r="G104">
        <v>0.90010000000000001</v>
      </c>
      <c r="H104">
        <v>1.2</v>
      </c>
      <c r="I104">
        <v>0.9</v>
      </c>
      <c r="J104">
        <v>56.126477890366417</v>
      </c>
      <c r="K104">
        <v>1500</v>
      </c>
      <c r="L104">
        <v>0</v>
      </c>
      <c r="N104">
        <v>19</v>
      </c>
      <c r="O104" s="60" t="s">
        <v>1047</v>
      </c>
      <c r="P104" t="s">
        <v>819</v>
      </c>
      <c r="Q104" t="s">
        <v>2394</v>
      </c>
    </row>
    <row r="105" spans="1:17" x14ac:dyDescent="0.25">
      <c r="A105" t="s">
        <v>19</v>
      </c>
      <c r="B105">
        <v>141.35</v>
      </c>
      <c r="C105">
        <v>93.899999999999991</v>
      </c>
      <c r="D105">
        <v>0.90010000000000001</v>
      </c>
      <c r="E105">
        <v>141.35</v>
      </c>
      <c r="F105">
        <v>97.949999999999989</v>
      </c>
      <c r="G105">
        <v>0.90010000000000001</v>
      </c>
      <c r="H105">
        <v>1.2</v>
      </c>
      <c r="I105">
        <v>0.9</v>
      </c>
      <c r="J105">
        <v>1.8184978836478705</v>
      </c>
      <c r="K105">
        <v>1500</v>
      </c>
      <c r="L105">
        <v>0</v>
      </c>
      <c r="N105">
        <v>19</v>
      </c>
      <c r="O105" s="60" t="s">
        <v>1048</v>
      </c>
      <c r="P105" t="s">
        <v>760</v>
      </c>
      <c r="Q105" t="s">
        <v>1029</v>
      </c>
    </row>
    <row r="106" spans="1:17" x14ac:dyDescent="0.25">
      <c r="A106" t="s">
        <v>19</v>
      </c>
      <c r="B106">
        <v>141.35</v>
      </c>
      <c r="C106">
        <v>97.949999999999989</v>
      </c>
      <c r="D106">
        <v>0.90010000000000001</v>
      </c>
      <c r="E106">
        <v>16.349999999999994</v>
      </c>
      <c r="F106">
        <v>97.949999999999989</v>
      </c>
      <c r="G106">
        <v>0.90010000000000001</v>
      </c>
      <c r="H106">
        <v>1.2</v>
      </c>
      <c r="I106">
        <v>0.9</v>
      </c>
      <c r="J106">
        <v>56.126477890366417</v>
      </c>
      <c r="K106">
        <v>1500</v>
      </c>
      <c r="L106">
        <v>0</v>
      </c>
      <c r="N106">
        <v>19</v>
      </c>
      <c r="O106" s="60" t="s">
        <v>1049</v>
      </c>
      <c r="P106" t="s">
        <v>803</v>
      </c>
      <c r="Q106" t="s">
        <v>2395</v>
      </c>
    </row>
    <row r="107" spans="1:17" x14ac:dyDescent="0.25">
      <c r="A107" t="s">
        <v>19</v>
      </c>
      <c r="B107">
        <v>16.349999999999994</v>
      </c>
      <c r="C107">
        <v>97.949999999999989</v>
      </c>
      <c r="D107">
        <v>0.90010000000000001</v>
      </c>
      <c r="E107">
        <v>16.349999999999994</v>
      </c>
      <c r="F107">
        <v>99.299999999999983</v>
      </c>
      <c r="G107">
        <v>0.90010000000000001</v>
      </c>
      <c r="H107">
        <v>1.2</v>
      </c>
      <c r="I107">
        <v>0.9</v>
      </c>
      <c r="J107">
        <v>0.60616596121595478</v>
      </c>
      <c r="K107">
        <v>1500</v>
      </c>
      <c r="L107">
        <v>0</v>
      </c>
      <c r="N107">
        <v>19</v>
      </c>
      <c r="O107" s="60" t="s">
        <v>1050</v>
      </c>
      <c r="P107" t="s">
        <v>804</v>
      </c>
      <c r="Q107" t="s">
        <v>1030</v>
      </c>
    </row>
    <row r="108" spans="1:17" x14ac:dyDescent="0.25">
      <c r="A108" t="s">
        <v>19</v>
      </c>
      <c r="B108">
        <v>16.349999999999994</v>
      </c>
      <c r="C108">
        <v>99.299999999999983</v>
      </c>
      <c r="D108">
        <v>0.90010000000000001</v>
      </c>
      <c r="E108">
        <v>141.35</v>
      </c>
      <c r="F108">
        <v>99.299999999999983</v>
      </c>
      <c r="G108">
        <v>0.90010000000000001</v>
      </c>
      <c r="H108">
        <v>1.2</v>
      </c>
      <c r="I108">
        <v>0.9</v>
      </c>
      <c r="J108">
        <v>56.126477890366417</v>
      </c>
      <c r="K108">
        <v>1500</v>
      </c>
      <c r="L108">
        <v>0</v>
      </c>
      <c r="N108">
        <v>19</v>
      </c>
      <c r="O108" s="60" t="s">
        <v>1051</v>
      </c>
      <c r="P108" t="s">
        <v>819</v>
      </c>
      <c r="Q108" t="s">
        <v>2394</v>
      </c>
    </row>
    <row r="109" spans="1:17" x14ac:dyDescent="0.25">
      <c r="A109" t="s">
        <v>19</v>
      </c>
      <c r="B109">
        <v>141.35</v>
      </c>
      <c r="C109">
        <v>99.299999999999983</v>
      </c>
      <c r="D109">
        <v>0.90010000000000001</v>
      </c>
      <c r="E109">
        <v>141.35</v>
      </c>
      <c r="F109">
        <v>103.35</v>
      </c>
      <c r="G109">
        <v>0.90010000000000001</v>
      </c>
      <c r="H109">
        <v>1.2</v>
      </c>
      <c r="I109">
        <v>0.9</v>
      </c>
      <c r="J109">
        <v>1.8184978836478705</v>
      </c>
      <c r="K109">
        <v>1500</v>
      </c>
      <c r="L109">
        <v>0</v>
      </c>
      <c r="N109">
        <v>19</v>
      </c>
      <c r="O109" s="60" t="s">
        <v>1052</v>
      </c>
      <c r="P109" t="s">
        <v>760</v>
      </c>
      <c r="Q109" t="s">
        <v>1031</v>
      </c>
    </row>
    <row r="110" spans="1:17" x14ac:dyDescent="0.25">
      <c r="A110" t="s">
        <v>19</v>
      </c>
      <c r="B110">
        <v>141.35</v>
      </c>
      <c r="C110">
        <v>103.35</v>
      </c>
      <c r="D110">
        <v>0.90010000000000001</v>
      </c>
      <c r="E110">
        <v>16.349999999999994</v>
      </c>
      <c r="F110">
        <v>103.35</v>
      </c>
      <c r="G110">
        <v>0.90010000000000001</v>
      </c>
      <c r="H110">
        <v>1.2</v>
      </c>
      <c r="I110">
        <v>0.9</v>
      </c>
      <c r="J110">
        <v>56.126477890366417</v>
      </c>
      <c r="K110">
        <v>1500</v>
      </c>
      <c r="L110">
        <v>0</v>
      </c>
      <c r="N110">
        <v>19</v>
      </c>
      <c r="O110" s="60" t="s">
        <v>1053</v>
      </c>
      <c r="P110" t="s">
        <v>803</v>
      </c>
      <c r="Q110" t="s">
        <v>2395</v>
      </c>
    </row>
    <row r="111" spans="1:17" x14ac:dyDescent="0.25">
      <c r="A111" t="s">
        <v>19</v>
      </c>
      <c r="B111">
        <v>16.349999999999994</v>
      </c>
      <c r="C111">
        <v>103.35</v>
      </c>
      <c r="D111">
        <v>0.90010000000000001</v>
      </c>
      <c r="E111">
        <v>16.349999999999994</v>
      </c>
      <c r="F111">
        <v>104.69999999999999</v>
      </c>
      <c r="G111">
        <v>0.90010000000000001</v>
      </c>
      <c r="H111">
        <v>1.2</v>
      </c>
      <c r="I111">
        <v>0.9</v>
      </c>
      <c r="J111">
        <v>0.60616596121595478</v>
      </c>
      <c r="K111">
        <v>1500</v>
      </c>
      <c r="L111">
        <v>0</v>
      </c>
      <c r="N111">
        <v>19</v>
      </c>
      <c r="O111" s="60" t="s">
        <v>1054</v>
      </c>
      <c r="P111" t="s">
        <v>804</v>
      </c>
      <c r="Q111" t="s">
        <v>1032</v>
      </c>
    </row>
    <row r="112" spans="1:17" x14ac:dyDescent="0.25">
      <c r="A112" t="s">
        <v>19</v>
      </c>
      <c r="B112">
        <v>16.349999999999994</v>
      </c>
      <c r="C112">
        <v>104.69999999999999</v>
      </c>
      <c r="D112">
        <v>0.90010000000000001</v>
      </c>
      <c r="E112">
        <v>141.35</v>
      </c>
      <c r="F112">
        <v>104.69999999999999</v>
      </c>
      <c r="G112">
        <v>0.90010000000000001</v>
      </c>
      <c r="H112">
        <v>1.2</v>
      </c>
      <c r="I112">
        <v>0.9</v>
      </c>
      <c r="J112">
        <v>56.126477890366417</v>
      </c>
      <c r="K112">
        <v>1500</v>
      </c>
      <c r="L112">
        <v>0</v>
      </c>
      <c r="N112">
        <v>19</v>
      </c>
      <c r="O112" s="60" t="s">
        <v>1055</v>
      </c>
      <c r="P112" t="s">
        <v>819</v>
      </c>
      <c r="Q112" t="s">
        <v>2394</v>
      </c>
    </row>
    <row r="113" spans="1:17" x14ac:dyDescent="0.25">
      <c r="A113" t="s">
        <v>19</v>
      </c>
      <c r="B113">
        <v>141.35</v>
      </c>
      <c r="C113">
        <v>104.69999999999999</v>
      </c>
      <c r="D113">
        <v>0.90010000000000001</v>
      </c>
      <c r="E113">
        <v>141.35</v>
      </c>
      <c r="F113">
        <v>108.74999999999999</v>
      </c>
      <c r="G113">
        <v>0.90010000000000001</v>
      </c>
      <c r="H113">
        <v>1.2</v>
      </c>
      <c r="I113">
        <v>0.9</v>
      </c>
      <c r="J113">
        <v>1.8184978836478705</v>
      </c>
      <c r="K113">
        <v>1500</v>
      </c>
      <c r="L113">
        <v>0</v>
      </c>
      <c r="N113">
        <v>19</v>
      </c>
      <c r="O113" s="60" t="s">
        <v>1056</v>
      </c>
      <c r="P113" t="s">
        <v>760</v>
      </c>
      <c r="Q113" t="s">
        <v>1033</v>
      </c>
    </row>
    <row r="114" spans="1:17" x14ac:dyDescent="0.25">
      <c r="A114" t="s">
        <v>19</v>
      </c>
      <c r="B114">
        <v>141.35</v>
      </c>
      <c r="C114">
        <v>108.75</v>
      </c>
      <c r="D114">
        <v>0.90010000000000001</v>
      </c>
      <c r="E114">
        <v>16.349999999999994</v>
      </c>
      <c r="F114">
        <v>108.75</v>
      </c>
      <c r="G114">
        <v>0.90010000000000001</v>
      </c>
      <c r="H114">
        <v>1.2</v>
      </c>
      <c r="I114">
        <v>0.9</v>
      </c>
      <c r="J114">
        <v>56.126477890366417</v>
      </c>
      <c r="K114">
        <v>1500</v>
      </c>
      <c r="L114">
        <v>0</v>
      </c>
      <c r="N114">
        <v>19</v>
      </c>
      <c r="O114" s="60" t="s">
        <v>1057</v>
      </c>
      <c r="P114" t="s">
        <v>803</v>
      </c>
      <c r="Q114" t="s">
        <v>2395</v>
      </c>
    </row>
    <row r="115" spans="1:17" x14ac:dyDescent="0.25">
      <c r="A115" t="s">
        <v>19</v>
      </c>
      <c r="B115">
        <v>16.349999999999994</v>
      </c>
      <c r="C115">
        <v>108.75</v>
      </c>
      <c r="D115">
        <v>0.90010000000000001</v>
      </c>
      <c r="E115">
        <v>16.349999999999994</v>
      </c>
      <c r="F115">
        <v>110.1</v>
      </c>
      <c r="G115">
        <v>0.90010000000000001</v>
      </c>
      <c r="H115">
        <v>1.2</v>
      </c>
      <c r="I115">
        <v>0.9</v>
      </c>
      <c r="J115">
        <v>0.60616596121595478</v>
      </c>
      <c r="K115">
        <v>1500</v>
      </c>
      <c r="L115">
        <v>0</v>
      </c>
      <c r="N115">
        <v>19</v>
      </c>
      <c r="O115" s="60" t="s">
        <v>1058</v>
      </c>
      <c r="P115" t="s">
        <v>804</v>
      </c>
      <c r="Q115" t="s">
        <v>1034</v>
      </c>
    </row>
    <row r="116" spans="1:17" x14ac:dyDescent="0.25">
      <c r="A116" t="s">
        <v>19</v>
      </c>
      <c r="B116">
        <v>16.349999999999994</v>
      </c>
      <c r="C116">
        <v>110.1</v>
      </c>
      <c r="D116">
        <v>0.90010000000000001</v>
      </c>
      <c r="E116">
        <v>141.35</v>
      </c>
      <c r="F116">
        <v>110.1</v>
      </c>
      <c r="G116">
        <v>0.90010000000000001</v>
      </c>
      <c r="H116">
        <v>1.2</v>
      </c>
      <c r="I116">
        <v>0.9</v>
      </c>
      <c r="J116">
        <v>56.126477890366417</v>
      </c>
      <c r="K116">
        <v>1500</v>
      </c>
      <c r="L116">
        <v>0</v>
      </c>
      <c r="N116">
        <v>19</v>
      </c>
      <c r="O116" s="60" t="s">
        <v>1059</v>
      </c>
      <c r="P116" t="s">
        <v>819</v>
      </c>
      <c r="Q116" t="s">
        <v>2394</v>
      </c>
    </row>
    <row r="117" spans="1:17" x14ac:dyDescent="0.25">
      <c r="A117" t="s">
        <v>19</v>
      </c>
      <c r="B117">
        <v>141.35</v>
      </c>
      <c r="C117">
        <v>110.1</v>
      </c>
      <c r="D117">
        <v>0.90010000000000001</v>
      </c>
      <c r="E117">
        <v>141.35</v>
      </c>
      <c r="F117">
        <v>114.14999999999999</v>
      </c>
      <c r="G117">
        <v>0.90010000000000001</v>
      </c>
      <c r="H117">
        <v>1.2</v>
      </c>
      <c r="I117">
        <v>0.9</v>
      </c>
      <c r="J117">
        <v>1.8184978836478705</v>
      </c>
      <c r="K117">
        <v>1500</v>
      </c>
      <c r="L117">
        <v>0</v>
      </c>
      <c r="N117">
        <v>19</v>
      </c>
      <c r="O117" s="60" t="s">
        <v>1060</v>
      </c>
      <c r="P117" t="s">
        <v>760</v>
      </c>
      <c r="Q117" t="s">
        <v>1035</v>
      </c>
    </row>
    <row r="118" spans="1:17" x14ac:dyDescent="0.25">
      <c r="A118" t="s">
        <v>19</v>
      </c>
      <c r="B118">
        <v>141.35</v>
      </c>
      <c r="C118">
        <v>114.14999999999999</v>
      </c>
      <c r="D118">
        <v>0.90010000000000001</v>
      </c>
      <c r="E118">
        <v>16.349999999999994</v>
      </c>
      <c r="F118">
        <v>114.14999999999999</v>
      </c>
      <c r="G118">
        <v>0.90010000000000001</v>
      </c>
      <c r="H118">
        <v>1.2</v>
      </c>
      <c r="I118">
        <v>0.9</v>
      </c>
      <c r="J118">
        <v>56.126477890366417</v>
      </c>
      <c r="K118">
        <v>1500</v>
      </c>
      <c r="L118">
        <v>0</v>
      </c>
      <c r="N118">
        <v>19</v>
      </c>
      <c r="O118" s="60" t="s">
        <v>1061</v>
      </c>
      <c r="P118" t="s">
        <v>803</v>
      </c>
      <c r="Q118" t="s">
        <v>2395</v>
      </c>
    </row>
    <row r="119" spans="1:17" x14ac:dyDescent="0.25">
      <c r="A119" t="s">
        <v>19</v>
      </c>
      <c r="B119">
        <v>16.349999999999994</v>
      </c>
      <c r="C119">
        <v>114.14999999999999</v>
      </c>
      <c r="D119">
        <v>0.90010000000000001</v>
      </c>
      <c r="E119">
        <v>16.349999999999994</v>
      </c>
      <c r="F119">
        <v>115.49999999999999</v>
      </c>
      <c r="G119">
        <v>0.90010000000000001</v>
      </c>
      <c r="H119">
        <v>1.2</v>
      </c>
      <c r="I119">
        <v>0.9</v>
      </c>
      <c r="J119">
        <v>0.60616596121595478</v>
      </c>
      <c r="K119">
        <v>1500</v>
      </c>
      <c r="L119">
        <v>0</v>
      </c>
      <c r="N119">
        <v>19</v>
      </c>
      <c r="O119" s="60" t="s">
        <v>1062</v>
      </c>
      <c r="P119" t="s">
        <v>804</v>
      </c>
      <c r="Q119" t="s">
        <v>1036</v>
      </c>
    </row>
    <row r="120" spans="1:17" x14ac:dyDescent="0.25">
      <c r="A120" t="s">
        <v>19</v>
      </c>
      <c r="B120">
        <v>16.349999999999994</v>
      </c>
      <c r="C120">
        <v>115.49999999999999</v>
      </c>
      <c r="D120">
        <v>0.90010000000000001</v>
      </c>
      <c r="E120">
        <v>141.35</v>
      </c>
      <c r="F120">
        <v>115.49999999999999</v>
      </c>
      <c r="G120">
        <v>0.90010000000000001</v>
      </c>
      <c r="H120">
        <v>1.2</v>
      </c>
      <c r="I120">
        <v>0.9</v>
      </c>
      <c r="J120">
        <v>56.126477890366417</v>
      </c>
      <c r="K120">
        <v>1500</v>
      </c>
      <c r="L120">
        <v>0</v>
      </c>
      <c r="N120">
        <v>19</v>
      </c>
      <c r="O120" s="60" t="s">
        <v>1063</v>
      </c>
      <c r="P120" t="s">
        <v>819</v>
      </c>
      <c r="Q120" t="s">
        <v>2394</v>
      </c>
    </row>
    <row r="121" spans="1:17" x14ac:dyDescent="0.25">
      <c r="A121" t="s">
        <v>19</v>
      </c>
      <c r="B121">
        <v>141.35</v>
      </c>
      <c r="C121">
        <v>115.49999999999999</v>
      </c>
      <c r="D121">
        <v>0.90010000000000001</v>
      </c>
      <c r="E121">
        <v>141.35</v>
      </c>
      <c r="F121">
        <v>119.54999999999998</v>
      </c>
      <c r="G121">
        <v>0.90010000000000001</v>
      </c>
      <c r="H121">
        <v>1.2</v>
      </c>
      <c r="I121">
        <v>0.9</v>
      </c>
      <c r="J121">
        <v>1.8184978836478705</v>
      </c>
      <c r="K121">
        <v>1500</v>
      </c>
      <c r="L121">
        <v>0</v>
      </c>
      <c r="N121">
        <v>19</v>
      </c>
      <c r="O121" s="60" t="s">
        <v>1064</v>
      </c>
      <c r="P121" t="s">
        <v>760</v>
      </c>
      <c r="Q121" t="s">
        <v>1037</v>
      </c>
    </row>
    <row r="122" spans="1:17" x14ac:dyDescent="0.25">
      <c r="A122" t="s">
        <v>19</v>
      </c>
      <c r="B122">
        <v>141.35</v>
      </c>
      <c r="C122">
        <v>119.55</v>
      </c>
      <c r="D122">
        <v>0.90010000000000001</v>
      </c>
      <c r="E122">
        <v>16.349999999999994</v>
      </c>
      <c r="F122">
        <v>119.55</v>
      </c>
      <c r="G122">
        <v>0.90010000000000001</v>
      </c>
      <c r="H122">
        <v>1.2</v>
      </c>
      <c r="I122">
        <v>0.9</v>
      </c>
      <c r="J122">
        <v>56.126477890366417</v>
      </c>
      <c r="K122">
        <v>1500</v>
      </c>
      <c r="L122">
        <v>0</v>
      </c>
      <c r="N122">
        <v>19</v>
      </c>
      <c r="O122" s="60" t="s">
        <v>1945</v>
      </c>
      <c r="P122" t="s">
        <v>803</v>
      </c>
      <c r="Q122" t="s">
        <v>2395</v>
      </c>
    </row>
    <row r="123" spans="1:17" x14ac:dyDescent="0.25">
      <c r="A123" t="s">
        <v>19</v>
      </c>
      <c r="B123">
        <v>16.349999999999994</v>
      </c>
      <c r="C123">
        <v>119.55</v>
      </c>
      <c r="D123">
        <v>0.90010000000000001</v>
      </c>
      <c r="E123">
        <v>16.349999999999994</v>
      </c>
      <c r="F123">
        <v>120.89999999999999</v>
      </c>
      <c r="G123">
        <v>0.90010000000000001</v>
      </c>
      <c r="H123">
        <v>1.2</v>
      </c>
      <c r="I123">
        <v>0.9</v>
      </c>
      <c r="J123">
        <v>0.60616596121595478</v>
      </c>
      <c r="K123">
        <v>1500</v>
      </c>
      <c r="L123">
        <v>0</v>
      </c>
      <c r="N123">
        <v>19</v>
      </c>
      <c r="O123" s="60" t="s">
        <v>1946</v>
      </c>
      <c r="P123" t="s">
        <v>804</v>
      </c>
      <c r="Q123" t="s">
        <v>1935</v>
      </c>
    </row>
    <row r="124" spans="1:17" x14ac:dyDescent="0.25">
      <c r="A124" t="s">
        <v>19</v>
      </c>
      <c r="B124">
        <v>16.349999999999994</v>
      </c>
      <c r="C124">
        <v>120.89999999999999</v>
      </c>
      <c r="D124">
        <v>0.90010000000000001</v>
      </c>
      <c r="E124">
        <v>141.35</v>
      </c>
      <c r="F124">
        <v>120.89999999999999</v>
      </c>
      <c r="G124">
        <v>0.90010000000000001</v>
      </c>
      <c r="H124">
        <v>1.2</v>
      </c>
      <c r="I124">
        <v>0.9</v>
      </c>
      <c r="J124">
        <v>56.126477890366417</v>
      </c>
      <c r="K124">
        <v>1500</v>
      </c>
      <c r="L124">
        <v>0</v>
      </c>
      <c r="N124">
        <v>19</v>
      </c>
      <c r="O124" s="60" t="s">
        <v>1947</v>
      </c>
      <c r="P124" t="s">
        <v>819</v>
      </c>
      <c r="Q124" t="s">
        <v>2394</v>
      </c>
    </row>
    <row r="125" spans="1:17" x14ac:dyDescent="0.25">
      <c r="A125" t="s">
        <v>19</v>
      </c>
      <c r="B125">
        <v>141.35</v>
      </c>
      <c r="C125">
        <v>120.89999999999999</v>
      </c>
      <c r="D125">
        <v>0.90010000000000001</v>
      </c>
      <c r="E125">
        <v>141.35</v>
      </c>
      <c r="F125">
        <v>124.94999999999999</v>
      </c>
      <c r="G125">
        <v>0.90010000000000001</v>
      </c>
      <c r="H125">
        <v>1.2</v>
      </c>
      <c r="I125">
        <v>0.9</v>
      </c>
      <c r="J125">
        <v>1.8184978836478705</v>
      </c>
      <c r="K125">
        <v>1500</v>
      </c>
      <c r="L125">
        <v>0</v>
      </c>
      <c r="N125">
        <v>19</v>
      </c>
      <c r="O125" s="60" t="s">
        <v>1948</v>
      </c>
      <c r="P125" t="s">
        <v>760</v>
      </c>
      <c r="Q125" t="s">
        <v>1938</v>
      </c>
    </row>
    <row r="126" spans="1:17" x14ac:dyDescent="0.25">
      <c r="A126" t="s">
        <v>19</v>
      </c>
      <c r="B126">
        <v>141.35</v>
      </c>
      <c r="C126">
        <v>124.95</v>
      </c>
      <c r="D126">
        <v>0.90010000000000001</v>
      </c>
      <c r="E126">
        <v>16.349999999999994</v>
      </c>
      <c r="F126">
        <v>124.95</v>
      </c>
      <c r="G126">
        <v>0.90010000000000001</v>
      </c>
      <c r="H126">
        <v>1.2</v>
      </c>
      <c r="I126">
        <v>0.9</v>
      </c>
      <c r="J126">
        <v>56.126477890366417</v>
      </c>
      <c r="K126">
        <v>1500</v>
      </c>
      <c r="L126">
        <v>0</v>
      </c>
      <c r="N126">
        <v>19</v>
      </c>
      <c r="O126" s="60" t="s">
        <v>1949</v>
      </c>
      <c r="P126" t="s">
        <v>803</v>
      </c>
      <c r="Q126" t="s">
        <v>2395</v>
      </c>
    </row>
    <row r="127" spans="1:17" x14ac:dyDescent="0.25">
      <c r="A127" t="s">
        <v>19</v>
      </c>
      <c r="B127">
        <v>16.349999999999994</v>
      </c>
      <c r="C127">
        <v>124.95</v>
      </c>
      <c r="D127">
        <v>0.90010000000000001</v>
      </c>
      <c r="E127">
        <v>16.349999999999994</v>
      </c>
      <c r="F127">
        <v>126.3</v>
      </c>
      <c r="G127">
        <v>0.90010000000000001</v>
      </c>
      <c r="H127">
        <v>1.2</v>
      </c>
      <c r="I127">
        <v>0.9</v>
      </c>
      <c r="J127">
        <v>0.60616596121595478</v>
      </c>
      <c r="K127">
        <v>1500</v>
      </c>
      <c r="L127">
        <v>0</v>
      </c>
      <c r="N127">
        <v>19</v>
      </c>
      <c r="O127" s="60" t="s">
        <v>1950</v>
      </c>
      <c r="P127" t="s">
        <v>804</v>
      </c>
      <c r="Q127" t="s">
        <v>1941</v>
      </c>
    </row>
    <row r="128" spans="1:17" x14ac:dyDescent="0.25">
      <c r="A128" t="s">
        <v>19</v>
      </c>
      <c r="B128">
        <v>16.349999999999994</v>
      </c>
      <c r="C128">
        <v>126.3</v>
      </c>
      <c r="D128">
        <v>0.90010000000000001</v>
      </c>
      <c r="E128">
        <v>141.35</v>
      </c>
      <c r="F128">
        <v>126.3</v>
      </c>
      <c r="G128">
        <v>0.90010000000000001</v>
      </c>
      <c r="H128">
        <v>1.2</v>
      </c>
      <c r="I128">
        <v>0.9</v>
      </c>
      <c r="J128">
        <v>56.126477890366417</v>
      </c>
      <c r="K128">
        <v>1500</v>
      </c>
      <c r="L128">
        <v>0</v>
      </c>
      <c r="N128">
        <v>19</v>
      </c>
      <c r="O128" s="60" t="s">
        <v>1951</v>
      </c>
      <c r="P128" t="s">
        <v>819</v>
      </c>
      <c r="Q128" t="s">
        <v>2394</v>
      </c>
    </row>
    <row r="129" spans="1:17" x14ac:dyDescent="0.25">
      <c r="A129" t="s">
        <v>19</v>
      </c>
      <c r="B129">
        <v>141.35</v>
      </c>
      <c r="C129">
        <v>126.3</v>
      </c>
      <c r="D129">
        <v>0.90010000000000001</v>
      </c>
      <c r="E129">
        <v>141.35</v>
      </c>
      <c r="F129">
        <v>130.35</v>
      </c>
      <c r="G129">
        <v>0.90010000000000001</v>
      </c>
      <c r="H129">
        <v>1.2</v>
      </c>
      <c r="I129">
        <v>0.9</v>
      </c>
      <c r="J129">
        <v>1.8184978836478705</v>
      </c>
      <c r="K129">
        <v>1500</v>
      </c>
      <c r="L129">
        <v>0</v>
      </c>
      <c r="N129">
        <v>19</v>
      </c>
      <c r="O129" s="60" t="s">
        <v>1952</v>
      </c>
      <c r="P129" t="s">
        <v>760</v>
      </c>
      <c r="Q129" t="s">
        <v>1944</v>
      </c>
    </row>
    <row r="130" spans="1:17" x14ac:dyDescent="0.25">
      <c r="A130" t="s">
        <v>49</v>
      </c>
      <c r="B130" t="s">
        <v>811</v>
      </c>
      <c r="N130">
        <v>20</v>
      </c>
      <c r="O130" s="60" t="s">
        <v>735</v>
      </c>
      <c r="P130" t="s">
        <v>746</v>
      </c>
      <c r="Q130" t="s">
        <v>811</v>
      </c>
    </row>
    <row r="131" spans="1:17" x14ac:dyDescent="0.25">
      <c r="A131" t="s">
        <v>49</v>
      </c>
      <c r="B131" t="s">
        <v>203</v>
      </c>
      <c r="C131">
        <v>0</v>
      </c>
      <c r="N131">
        <v>21</v>
      </c>
      <c r="O131" s="60" t="s">
        <v>737</v>
      </c>
      <c r="P131" t="s">
        <v>763</v>
      </c>
      <c r="Q131" t="s">
        <v>467</v>
      </c>
    </row>
    <row r="132" spans="1:17" x14ac:dyDescent="0.25">
      <c r="A132" t="s">
        <v>49</v>
      </c>
      <c r="B132" t="s">
        <v>634</v>
      </c>
      <c r="N132">
        <v>22</v>
      </c>
      <c r="O132" s="60" t="s">
        <v>739</v>
      </c>
      <c r="P132" t="s">
        <v>771</v>
      </c>
      <c r="Q132" t="s">
        <v>634</v>
      </c>
    </row>
    <row r="133" spans="1:17" x14ac:dyDescent="0.25">
      <c r="A133" t="s">
        <v>23</v>
      </c>
      <c r="B133">
        <v>141.35</v>
      </c>
      <c r="C133">
        <v>130.35</v>
      </c>
      <c r="D133">
        <v>0.90010000000000001</v>
      </c>
      <c r="E133">
        <v>15</v>
      </c>
      <c r="F133">
        <v>75</v>
      </c>
      <c r="G133">
        <v>0.9</v>
      </c>
      <c r="H133">
        <v>0</v>
      </c>
      <c r="I133">
        <v>0</v>
      </c>
      <c r="K133">
        <v>48000</v>
      </c>
      <c r="N133">
        <v>0</v>
      </c>
      <c r="O133" s="60">
        <v>0</v>
      </c>
      <c r="P133" t="s">
        <v>661</v>
      </c>
      <c r="Q133" t="s">
        <v>1953</v>
      </c>
    </row>
    <row r="134" spans="1:17" x14ac:dyDescent="0.25">
      <c r="A134" t="s">
        <v>19</v>
      </c>
      <c r="B134">
        <v>15</v>
      </c>
      <c r="C134">
        <v>75</v>
      </c>
      <c r="D134">
        <v>0.9</v>
      </c>
      <c r="E134">
        <v>15</v>
      </c>
      <c r="F134">
        <v>79.05</v>
      </c>
      <c r="G134">
        <v>0.9</v>
      </c>
      <c r="H134">
        <v>1.2</v>
      </c>
      <c r="I134">
        <v>0.9</v>
      </c>
      <c r="J134">
        <v>1.8184978836478705</v>
      </c>
      <c r="K134">
        <v>1500</v>
      </c>
      <c r="L134">
        <v>0</v>
      </c>
      <c r="N134">
        <v>23</v>
      </c>
      <c r="O134" s="60" t="s">
        <v>741</v>
      </c>
      <c r="P134" t="s">
        <v>740</v>
      </c>
      <c r="Q134" t="s">
        <v>879</v>
      </c>
    </row>
    <row r="135" spans="1:17" x14ac:dyDescent="0.25">
      <c r="A135" t="s">
        <v>19</v>
      </c>
      <c r="B135">
        <v>15</v>
      </c>
      <c r="C135">
        <v>79.05</v>
      </c>
      <c r="D135">
        <v>0.9</v>
      </c>
      <c r="E135">
        <v>140</v>
      </c>
      <c r="F135">
        <v>79.05</v>
      </c>
      <c r="G135">
        <v>0.9</v>
      </c>
      <c r="H135">
        <v>1.2</v>
      </c>
      <c r="I135">
        <v>0.9</v>
      </c>
      <c r="J135">
        <v>56.126477890366417</v>
      </c>
      <c r="K135">
        <v>1500</v>
      </c>
      <c r="L135">
        <v>0</v>
      </c>
      <c r="N135">
        <v>24</v>
      </c>
      <c r="O135" s="60" t="s">
        <v>743</v>
      </c>
      <c r="P135" t="s">
        <v>742</v>
      </c>
      <c r="Q135" t="s">
        <v>2396</v>
      </c>
    </row>
    <row r="136" spans="1:17" x14ac:dyDescent="0.25">
      <c r="A136" t="s">
        <v>19</v>
      </c>
      <c r="B136">
        <v>140</v>
      </c>
      <c r="C136">
        <v>79.05</v>
      </c>
      <c r="D136">
        <v>0.9</v>
      </c>
      <c r="E136">
        <v>140</v>
      </c>
      <c r="F136">
        <v>80.399999999999991</v>
      </c>
      <c r="G136">
        <v>0.9</v>
      </c>
      <c r="H136">
        <v>1.2</v>
      </c>
      <c r="I136">
        <v>0.9</v>
      </c>
      <c r="J136">
        <v>0.60616596121595478</v>
      </c>
      <c r="K136">
        <v>1500</v>
      </c>
      <c r="L136">
        <v>0</v>
      </c>
      <c r="N136">
        <v>25</v>
      </c>
      <c r="O136" s="60" t="s">
        <v>770</v>
      </c>
      <c r="P136" t="s">
        <v>744</v>
      </c>
      <c r="Q136" t="s">
        <v>880</v>
      </c>
    </row>
    <row r="137" spans="1:17" x14ac:dyDescent="0.25">
      <c r="A137" t="s">
        <v>19</v>
      </c>
      <c r="B137">
        <v>140</v>
      </c>
      <c r="C137">
        <v>80.399999999999991</v>
      </c>
      <c r="D137">
        <v>0.9</v>
      </c>
      <c r="E137">
        <v>15</v>
      </c>
      <c r="F137">
        <v>80.399999999999991</v>
      </c>
      <c r="G137">
        <v>0.9</v>
      </c>
      <c r="H137">
        <v>1.2</v>
      </c>
      <c r="I137">
        <v>0.9</v>
      </c>
      <c r="J137">
        <v>56.126477890366417</v>
      </c>
      <c r="K137">
        <v>1500</v>
      </c>
      <c r="L137">
        <v>0</v>
      </c>
      <c r="N137">
        <v>26</v>
      </c>
      <c r="O137" s="60" t="s">
        <v>745</v>
      </c>
      <c r="P137" t="s">
        <v>748</v>
      </c>
      <c r="Q137" t="s">
        <v>2397</v>
      </c>
    </row>
    <row r="138" spans="1:17" x14ac:dyDescent="0.25">
      <c r="A138" t="s">
        <v>19</v>
      </c>
      <c r="B138">
        <v>15</v>
      </c>
      <c r="C138">
        <v>80.400000000000006</v>
      </c>
      <c r="D138">
        <v>0.9</v>
      </c>
      <c r="E138">
        <v>15</v>
      </c>
      <c r="F138">
        <v>84.45</v>
      </c>
      <c r="G138">
        <v>0.9</v>
      </c>
      <c r="H138">
        <v>1.2</v>
      </c>
      <c r="I138">
        <v>0.9</v>
      </c>
      <c r="J138">
        <v>1.8184978836478705</v>
      </c>
      <c r="K138">
        <v>1500</v>
      </c>
      <c r="L138">
        <v>0</v>
      </c>
      <c r="N138">
        <v>27</v>
      </c>
      <c r="O138" s="60" t="s">
        <v>772</v>
      </c>
      <c r="P138" t="s">
        <v>820</v>
      </c>
      <c r="Q138" t="s">
        <v>1065</v>
      </c>
    </row>
    <row r="139" spans="1:17" x14ac:dyDescent="0.25">
      <c r="A139" t="s">
        <v>19</v>
      </c>
      <c r="B139">
        <v>15</v>
      </c>
      <c r="C139">
        <v>84.45</v>
      </c>
      <c r="D139">
        <v>0.9</v>
      </c>
      <c r="E139">
        <v>140</v>
      </c>
      <c r="F139">
        <v>84.45</v>
      </c>
      <c r="G139">
        <v>0.9</v>
      </c>
      <c r="H139">
        <v>1.2</v>
      </c>
      <c r="I139">
        <v>0.9</v>
      </c>
      <c r="J139">
        <v>56.126477890366417</v>
      </c>
      <c r="K139">
        <v>1500</v>
      </c>
      <c r="L139">
        <v>0</v>
      </c>
      <c r="N139">
        <v>27</v>
      </c>
      <c r="O139" s="60" t="s">
        <v>773</v>
      </c>
      <c r="P139" t="s">
        <v>821</v>
      </c>
      <c r="Q139" t="s">
        <v>2396</v>
      </c>
    </row>
    <row r="140" spans="1:17" x14ac:dyDescent="0.25">
      <c r="A140" t="s">
        <v>19</v>
      </c>
      <c r="B140">
        <v>140</v>
      </c>
      <c r="C140">
        <v>84.45</v>
      </c>
      <c r="D140">
        <v>0.9</v>
      </c>
      <c r="E140">
        <v>140</v>
      </c>
      <c r="F140">
        <v>85.8</v>
      </c>
      <c r="G140">
        <v>0.9</v>
      </c>
      <c r="H140">
        <v>1.2</v>
      </c>
      <c r="I140">
        <v>0.9</v>
      </c>
      <c r="J140">
        <v>0.60616596121595478</v>
      </c>
      <c r="K140">
        <v>1500</v>
      </c>
      <c r="L140">
        <v>0</v>
      </c>
      <c r="N140">
        <v>27</v>
      </c>
      <c r="O140" s="60" t="s">
        <v>774</v>
      </c>
      <c r="P140" t="s">
        <v>822</v>
      </c>
      <c r="Q140" t="s">
        <v>1066</v>
      </c>
    </row>
    <row r="141" spans="1:17" x14ac:dyDescent="0.25">
      <c r="A141" t="s">
        <v>19</v>
      </c>
      <c r="B141">
        <v>140</v>
      </c>
      <c r="C141">
        <v>85.8</v>
      </c>
      <c r="D141">
        <v>0.9</v>
      </c>
      <c r="E141">
        <v>15</v>
      </c>
      <c r="F141">
        <v>85.8</v>
      </c>
      <c r="G141">
        <v>0.9</v>
      </c>
      <c r="H141">
        <v>1.2</v>
      </c>
      <c r="I141">
        <v>0.9</v>
      </c>
      <c r="J141">
        <v>56.126477890366417</v>
      </c>
      <c r="K141">
        <v>1500</v>
      </c>
      <c r="L141">
        <v>0</v>
      </c>
      <c r="N141">
        <v>27</v>
      </c>
      <c r="O141" s="60" t="s">
        <v>775</v>
      </c>
      <c r="P141" t="s">
        <v>812</v>
      </c>
      <c r="Q141" t="s">
        <v>2397</v>
      </c>
    </row>
    <row r="142" spans="1:17" x14ac:dyDescent="0.25">
      <c r="A142" t="s">
        <v>19</v>
      </c>
      <c r="B142">
        <v>15</v>
      </c>
      <c r="C142">
        <v>85.8</v>
      </c>
      <c r="D142">
        <v>0.9</v>
      </c>
      <c r="E142">
        <v>15</v>
      </c>
      <c r="F142">
        <v>89.85</v>
      </c>
      <c r="G142">
        <v>0.9</v>
      </c>
      <c r="H142">
        <v>1.2</v>
      </c>
      <c r="I142">
        <v>0.9</v>
      </c>
      <c r="J142">
        <v>1.8184978836478705</v>
      </c>
      <c r="K142">
        <v>1500</v>
      </c>
      <c r="L142">
        <v>0</v>
      </c>
      <c r="N142">
        <v>27</v>
      </c>
      <c r="O142" s="60" t="s">
        <v>776</v>
      </c>
      <c r="P142" t="s">
        <v>820</v>
      </c>
      <c r="Q142" t="s">
        <v>1067</v>
      </c>
    </row>
    <row r="143" spans="1:17" x14ac:dyDescent="0.25">
      <c r="A143" t="s">
        <v>19</v>
      </c>
      <c r="B143">
        <v>15</v>
      </c>
      <c r="C143">
        <v>89.85</v>
      </c>
      <c r="D143">
        <v>0.9</v>
      </c>
      <c r="E143">
        <v>140</v>
      </c>
      <c r="F143">
        <v>89.85</v>
      </c>
      <c r="G143">
        <v>0.9</v>
      </c>
      <c r="H143">
        <v>1.2</v>
      </c>
      <c r="I143">
        <v>0.9</v>
      </c>
      <c r="J143">
        <v>56.126477890366417</v>
      </c>
      <c r="K143">
        <v>1500</v>
      </c>
      <c r="L143">
        <v>0</v>
      </c>
      <c r="N143">
        <v>27</v>
      </c>
      <c r="O143" s="60" t="s">
        <v>777</v>
      </c>
      <c r="P143" t="s">
        <v>821</v>
      </c>
      <c r="Q143" t="s">
        <v>2396</v>
      </c>
    </row>
    <row r="144" spans="1:17" x14ac:dyDescent="0.25">
      <c r="A144" t="s">
        <v>19</v>
      </c>
      <c r="B144">
        <v>140</v>
      </c>
      <c r="C144">
        <v>89.85</v>
      </c>
      <c r="D144">
        <v>0.9</v>
      </c>
      <c r="E144">
        <v>140</v>
      </c>
      <c r="F144">
        <v>91.199999999999989</v>
      </c>
      <c r="G144">
        <v>0.9</v>
      </c>
      <c r="H144">
        <v>1.2</v>
      </c>
      <c r="I144">
        <v>0.9</v>
      </c>
      <c r="J144">
        <v>0.60616596121595478</v>
      </c>
      <c r="K144">
        <v>1500</v>
      </c>
      <c r="L144">
        <v>0</v>
      </c>
      <c r="N144">
        <v>27</v>
      </c>
      <c r="O144" s="60" t="s">
        <v>778</v>
      </c>
      <c r="P144" t="s">
        <v>822</v>
      </c>
      <c r="Q144" t="s">
        <v>1068</v>
      </c>
    </row>
    <row r="145" spans="1:17" x14ac:dyDescent="0.25">
      <c r="A145" t="s">
        <v>19</v>
      </c>
      <c r="B145">
        <v>140</v>
      </c>
      <c r="C145">
        <v>91.199999999999989</v>
      </c>
      <c r="D145">
        <v>0.9</v>
      </c>
      <c r="E145">
        <v>15</v>
      </c>
      <c r="F145">
        <v>91.199999999999989</v>
      </c>
      <c r="G145">
        <v>0.9</v>
      </c>
      <c r="H145">
        <v>1.2</v>
      </c>
      <c r="I145">
        <v>0.9</v>
      </c>
      <c r="J145">
        <v>56.126477890366417</v>
      </c>
      <c r="K145">
        <v>1500</v>
      </c>
      <c r="L145">
        <v>0</v>
      </c>
      <c r="N145">
        <v>27</v>
      </c>
      <c r="O145" s="60" t="s">
        <v>779</v>
      </c>
      <c r="P145" t="s">
        <v>812</v>
      </c>
      <c r="Q145" t="s">
        <v>2397</v>
      </c>
    </row>
    <row r="146" spans="1:17" x14ac:dyDescent="0.25">
      <c r="A146" t="s">
        <v>19</v>
      </c>
      <c r="B146">
        <v>15</v>
      </c>
      <c r="C146">
        <v>91.2</v>
      </c>
      <c r="D146">
        <v>0.9</v>
      </c>
      <c r="E146">
        <v>15</v>
      </c>
      <c r="F146">
        <v>95.25</v>
      </c>
      <c r="G146">
        <v>0.9</v>
      </c>
      <c r="H146">
        <v>1.2</v>
      </c>
      <c r="I146">
        <v>0.9</v>
      </c>
      <c r="J146">
        <v>1.8184978836478705</v>
      </c>
      <c r="K146">
        <v>1500</v>
      </c>
      <c r="L146">
        <v>0</v>
      </c>
      <c r="N146">
        <v>27</v>
      </c>
      <c r="O146" s="60" t="s">
        <v>780</v>
      </c>
      <c r="P146" t="s">
        <v>820</v>
      </c>
      <c r="Q146" t="s">
        <v>1069</v>
      </c>
    </row>
    <row r="147" spans="1:17" x14ac:dyDescent="0.25">
      <c r="A147" t="s">
        <v>19</v>
      </c>
      <c r="B147">
        <v>15</v>
      </c>
      <c r="C147">
        <v>95.25</v>
      </c>
      <c r="D147">
        <v>0.9</v>
      </c>
      <c r="E147">
        <v>140</v>
      </c>
      <c r="F147">
        <v>95.25</v>
      </c>
      <c r="G147">
        <v>0.9</v>
      </c>
      <c r="H147">
        <v>1.2</v>
      </c>
      <c r="I147">
        <v>0.9</v>
      </c>
      <c r="J147">
        <v>56.126477890366417</v>
      </c>
      <c r="K147">
        <v>1500</v>
      </c>
      <c r="L147">
        <v>0</v>
      </c>
      <c r="N147">
        <v>27</v>
      </c>
      <c r="O147" s="60" t="s">
        <v>781</v>
      </c>
      <c r="P147" t="s">
        <v>821</v>
      </c>
      <c r="Q147" t="s">
        <v>2396</v>
      </c>
    </row>
    <row r="148" spans="1:17" x14ac:dyDescent="0.25">
      <c r="A148" t="s">
        <v>19</v>
      </c>
      <c r="B148">
        <v>140</v>
      </c>
      <c r="C148">
        <v>95.25</v>
      </c>
      <c r="D148">
        <v>0.9</v>
      </c>
      <c r="E148">
        <v>140</v>
      </c>
      <c r="F148">
        <v>96.6</v>
      </c>
      <c r="G148">
        <v>0.9</v>
      </c>
      <c r="H148">
        <v>1.2</v>
      </c>
      <c r="I148">
        <v>0.9</v>
      </c>
      <c r="J148">
        <v>0.60616596121595478</v>
      </c>
      <c r="K148">
        <v>1500</v>
      </c>
      <c r="L148">
        <v>0</v>
      </c>
      <c r="N148">
        <v>27</v>
      </c>
      <c r="O148" s="60" t="s">
        <v>782</v>
      </c>
      <c r="P148" t="s">
        <v>822</v>
      </c>
      <c r="Q148" t="s">
        <v>1070</v>
      </c>
    </row>
    <row r="149" spans="1:17" x14ac:dyDescent="0.25">
      <c r="A149" t="s">
        <v>19</v>
      </c>
      <c r="B149">
        <v>140</v>
      </c>
      <c r="C149">
        <v>96.6</v>
      </c>
      <c r="D149">
        <v>0.9</v>
      </c>
      <c r="E149">
        <v>15</v>
      </c>
      <c r="F149">
        <v>96.6</v>
      </c>
      <c r="G149">
        <v>0.9</v>
      </c>
      <c r="H149">
        <v>1.2</v>
      </c>
      <c r="I149">
        <v>0.9</v>
      </c>
      <c r="J149">
        <v>56.126477890366417</v>
      </c>
      <c r="K149">
        <v>1500</v>
      </c>
      <c r="L149">
        <v>0</v>
      </c>
      <c r="N149">
        <v>27</v>
      </c>
      <c r="O149" s="60" t="s">
        <v>783</v>
      </c>
      <c r="P149" t="s">
        <v>812</v>
      </c>
      <c r="Q149" t="s">
        <v>2397</v>
      </c>
    </row>
    <row r="150" spans="1:17" x14ac:dyDescent="0.25">
      <c r="A150" t="s">
        <v>19</v>
      </c>
      <c r="B150">
        <v>15</v>
      </c>
      <c r="C150">
        <v>96.6</v>
      </c>
      <c r="D150">
        <v>0.9</v>
      </c>
      <c r="E150">
        <v>15</v>
      </c>
      <c r="F150">
        <v>100.65</v>
      </c>
      <c r="G150">
        <v>0.9</v>
      </c>
      <c r="H150">
        <v>1.2</v>
      </c>
      <c r="I150">
        <v>0.9</v>
      </c>
      <c r="J150">
        <v>1.8184978836478705</v>
      </c>
      <c r="K150">
        <v>1500</v>
      </c>
      <c r="L150">
        <v>0</v>
      </c>
      <c r="N150">
        <v>27</v>
      </c>
      <c r="O150" s="60" t="s">
        <v>784</v>
      </c>
      <c r="P150" t="s">
        <v>820</v>
      </c>
      <c r="Q150" t="s">
        <v>1071</v>
      </c>
    </row>
    <row r="151" spans="1:17" x14ac:dyDescent="0.25">
      <c r="A151" t="s">
        <v>19</v>
      </c>
      <c r="B151">
        <v>15</v>
      </c>
      <c r="C151">
        <v>100.65</v>
      </c>
      <c r="D151">
        <v>0.9</v>
      </c>
      <c r="E151">
        <v>140</v>
      </c>
      <c r="F151">
        <v>100.65</v>
      </c>
      <c r="G151">
        <v>0.9</v>
      </c>
      <c r="H151">
        <v>1.2</v>
      </c>
      <c r="I151">
        <v>0.9</v>
      </c>
      <c r="J151">
        <v>56.126477890366417</v>
      </c>
      <c r="K151">
        <v>1500</v>
      </c>
      <c r="L151">
        <v>0</v>
      </c>
      <c r="N151">
        <v>27</v>
      </c>
      <c r="O151" s="60" t="s">
        <v>785</v>
      </c>
      <c r="P151" t="s">
        <v>821</v>
      </c>
      <c r="Q151" t="s">
        <v>2396</v>
      </c>
    </row>
    <row r="152" spans="1:17" x14ac:dyDescent="0.25">
      <c r="A152" t="s">
        <v>19</v>
      </c>
      <c r="B152">
        <v>140</v>
      </c>
      <c r="C152">
        <v>100.65</v>
      </c>
      <c r="D152">
        <v>0.9</v>
      </c>
      <c r="E152">
        <v>140</v>
      </c>
      <c r="F152">
        <v>102</v>
      </c>
      <c r="G152">
        <v>0.9</v>
      </c>
      <c r="H152">
        <v>1.2</v>
      </c>
      <c r="I152">
        <v>0.9</v>
      </c>
      <c r="J152">
        <v>0.60616596121595478</v>
      </c>
      <c r="K152">
        <v>1500</v>
      </c>
      <c r="L152">
        <v>0</v>
      </c>
      <c r="N152">
        <v>27</v>
      </c>
      <c r="O152" s="60" t="s">
        <v>786</v>
      </c>
      <c r="P152" t="s">
        <v>822</v>
      </c>
      <c r="Q152" t="s">
        <v>1072</v>
      </c>
    </row>
    <row r="153" spans="1:17" x14ac:dyDescent="0.25">
      <c r="A153" t="s">
        <v>19</v>
      </c>
      <c r="B153">
        <v>140</v>
      </c>
      <c r="C153">
        <v>102</v>
      </c>
      <c r="D153">
        <v>0.9</v>
      </c>
      <c r="E153">
        <v>15</v>
      </c>
      <c r="F153">
        <v>102</v>
      </c>
      <c r="G153">
        <v>0.9</v>
      </c>
      <c r="H153">
        <v>1.2</v>
      </c>
      <c r="I153">
        <v>0.9</v>
      </c>
      <c r="J153">
        <v>56.126477890366417</v>
      </c>
      <c r="K153">
        <v>1500</v>
      </c>
      <c r="L153">
        <v>0</v>
      </c>
      <c r="N153">
        <v>27</v>
      </c>
      <c r="O153" s="60" t="s">
        <v>787</v>
      </c>
      <c r="P153" t="s">
        <v>812</v>
      </c>
      <c r="Q153" t="s">
        <v>2397</v>
      </c>
    </row>
    <row r="154" spans="1:17" x14ac:dyDescent="0.25">
      <c r="A154" t="s">
        <v>19</v>
      </c>
      <c r="B154">
        <v>15</v>
      </c>
      <c r="C154">
        <v>102</v>
      </c>
      <c r="D154">
        <v>0.9</v>
      </c>
      <c r="E154">
        <v>15</v>
      </c>
      <c r="F154">
        <v>106.05</v>
      </c>
      <c r="G154">
        <v>0.9</v>
      </c>
      <c r="H154">
        <v>1.2</v>
      </c>
      <c r="I154">
        <v>0.9</v>
      </c>
      <c r="J154">
        <v>1.8184978836478705</v>
      </c>
      <c r="K154">
        <v>1500</v>
      </c>
      <c r="L154">
        <v>0</v>
      </c>
      <c r="N154">
        <v>27</v>
      </c>
      <c r="O154" s="60" t="s">
        <v>788</v>
      </c>
      <c r="P154" t="s">
        <v>820</v>
      </c>
      <c r="Q154" t="s">
        <v>1073</v>
      </c>
    </row>
    <row r="155" spans="1:17" x14ac:dyDescent="0.25">
      <c r="A155" t="s">
        <v>19</v>
      </c>
      <c r="B155">
        <v>15</v>
      </c>
      <c r="C155">
        <v>106.05</v>
      </c>
      <c r="D155">
        <v>0.9</v>
      </c>
      <c r="E155">
        <v>140</v>
      </c>
      <c r="F155">
        <v>106.05</v>
      </c>
      <c r="G155">
        <v>0.9</v>
      </c>
      <c r="H155">
        <v>1.2</v>
      </c>
      <c r="I155">
        <v>0.9</v>
      </c>
      <c r="J155">
        <v>56.126477890366417</v>
      </c>
      <c r="K155">
        <v>1500</v>
      </c>
      <c r="L155">
        <v>0</v>
      </c>
      <c r="N155">
        <v>27</v>
      </c>
      <c r="O155" s="60" t="s">
        <v>789</v>
      </c>
      <c r="P155" t="s">
        <v>821</v>
      </c>
      <c r="Q155" t="s">
        <v>2396</v>
      </c>
    </row>
    <row r="156" spans="1:17" x14ac:dyDescent="0.25">
      <c r="A156" t="s">
        <v>19</v>
      </c>
      <c r="B156">
        <v>140</v>
      </c>
      <c r="C156">
        <v>106.05</v>
      </c>
      <c r="D156">
        <v>0.9</v>
      </c>
      <c r="E156">
        <v>140</v>
      </c>
      <c r="F156">
        <v>107.39999999999999</v>
      </c>
      <c r="G156">
        <v>0.9</v>
      </c>
      <c r="H156">
        <v>1.2</v>
      </c>
      <c r="I156">
        <v>0.9</v>
      </c>
      <c r="J156">
        <v>0.60616596121595478</v>
      </c>
      <c r="K156">
        <v>1500</v>
      </c>
      <c r="L156">
        <v>0</v>
      </c>
      <c r="N156">
        <v>27</v>
      </c>
      <c r="O156" s="60" t="s">
        <v>790</v>
      </c>
      <c r="P156" t="s">
        <v>822</v>
      </c>
      <c r="Q156" t="s">
        <v>1074</v>
      </c>
    </row>
    <row r="157" spans="1:17" x14ac:dyDescent="0.25">
      <c r="A157" t="s">
        <v>19</v>
      </c>
      <c r="B157">
        <v>140</v>
      </c>
      <c r="C157">
        <v>107.39999999999999</v>
      </c>
      <c r="D157">
        <v>0.9</v>
      </c>
      <c r="E157">
        <v>15</v>
      </c>
      <c r="F157">
        <v>107.39999999999999</v>
      </c>
      <c r="G157">
        <v>0.9</v>
      </c>
      <c r="H157">
        <v>1.2</v>
      </c>
      <c r="I157">
        <v>0.9</v>
      </c>
      <c r="J157">
        <v>56.126477890366417</v>
      </c>
      <c r="K157">
        <v>1500</v>
      </c>
      <c r="L157">
        <v>0</v>
      </c>
      <c r="N157">
        <v>27</v>
      </c>
      <c r="O157" s="60" t="s">
        <v>791</v>
      </c>
      <c r="P157" t="s">
        <v>812</v>
      </c>
      <c r="Q157" t="s">
        <v>2397</v>
      </c>
    </row>
    <row r="158" spans="1:17" x14ac:dyDescent="0.25">
      <c r="A158" t="s">
        <v>19</v>
      </c>
      <c r="B158">
        <v>15</v>
      </c>
      <c r="C158">
        <v>107.4</v>
      </c>
      <c r="D158">
        <v>0.9</v>
      </c>
      <c r="E158">
        <v>15</v>
      </c>
      <c r="F158">
        <v>111.45</v>
      </c>
      <c r="G158">
        <v>0.9</v>
      </c>
      <c r="H158">
        <v>1.2</v>
      </c>
      <c r="I158">
        <v>0.9</v>
      </c>
      <c r="J158">
        <v>1.8184978836478705</v>
      </c>
      <c r="K158">
        <v>1500</v>
      </c>
      <c r="L158">
        <v>0</v>
      </c>
      <c r="N158">
        <v>27</v>
      </c>
      <c r="O158" s="60" t="s">
        <v>792</v>
      </c>
      <c r="P158" t="s">
        <v>820</v>
      </c>
      <c r="Q158" t="s">
        <v>1075</v>
      </c>
    </row>
    <row r="159" spans="1:17" x14ac:dyDescent="0.25">
      <c r="A159" t="s">
        <v>19</v>
      </c>
      <c r="B159">
        <v>15</v>
      </c>
      <c r="C159">
        <v>111.45</v>
      </c>
      <c r="D159">
        <v>0.9</v>
      </c>
      <c r="E159">
        <v>140</v>
      </c>
      <c r="F159">
        <v>111.45</v>
      </c>
      <c r="G159">
        <v>0.9</v>
      </c>
      <c r="H159">
        <v>1.2</v>
      </c>
      <c r="I159">
        <v>0.9</v>
      </c>
      <c r="J159">
        <v>56.126477890366417</v>
      </c>
      <c r="K159">
        <v>1500</v>
      </c>
      <c r="L159">
        <v>0</v>
      </c>
      <c r="N159">
        <v>27</v>
      </c>
      <c r="O159" s="60" t="s">
        <v>793</v>
      </c>
      <c r="P159" t="s">
        <v>821</v>
      </c>
      <c r="Q159" t="s">
        <v>2396</v>
      </c>
    </row>
    <row r="160" spans="1:17" x14ac:dyDescent="0.25">
      <c r="A160" t="s">
        <v>19</v>
      </c>
      <c r="B160">
        <v>140</v>
      </c>
      <c r="C160">
        <v>111.45</v>
      </c>
      <c r="D160">
        <v>0.9</v>
      </c>
      <c r="E160">
        <v>140</v>
      </c>
      <c r="F160">
        <v>112.8</v>
      </c>
      <c r="G160">
        <v>0.9</v>
      </c>
      <c r="H160">
        <v>1.2</v>
      </c>
      <c r="I160">
        <v>0.9</v>
      </c>
      <c r="J160">
        <v>0.60616596121595478</v>
      </c>
      <c r="K160">
        <v>1500</v>
      </c>
      <c r="L160">
        <v>0</v>
      </c>
      <c r="N160">
        <v>27</v>
      </c>
      <c r="O160" s="60" t="s">
        <v>794</v>
      </c>
      <c r="P160" t="s">
        <v>822</v>
      </c>
      <c r="Q160" t="s">
        <v>1076</v>
      </c>
    </row>
    <row r="161" spans="1:17" x14ac:dyDescent="0.25">
      <c r="A161" t="s">
        <v>19</v>
      </c>
      <c r="B161">
        <v>140</v>
      </c>
      <c r="C161">
        <v>112.8</v>
      </c>
      <c r="D161">
        <v>0.9</v>
      </c>
      <c r="E161">
        <v>15</v>
      </c>
      <c r="F161">
        <v>112.8</v>
      </c>
      <c r="G161">
        <v>0.9</v>
      </c>
      <c r="H161">
        <v>1.2</v>
      </c>
      <c r="I161">
        <v>0.9</v>
      </c>
      <c r="J161">
        <v>56.126477890366417</v>
      </c>
      <c r="K161">
        <v>1500</v>
      </c>
      <c r="L161">
        <v>0</v>
      </c>
      <c r="N161">
        <v>27</v>
      </c>
      <c r="O161" s="60" t="s">
        <v>795</v>
      </c>
      <c r="P161" t="s">
        <v>812</v>
      </c>
      <c r="Q161" t="s">
        <v>2397</v>
      </c>
    </row>
    <row r="162" spans="1:17" x14ac:dyDescent="0.25">
      <c r="A162" t="s">
        <v>19</v>
      </c>
      <c r="B162">
        <v>15</v>
      </c>
      <c r="C162">
        <v>112.8</v>
      </c>
      <c r="D162">
        <v>0.9</v>
      </c>
      <c r="E162">
        <v>15</v>
      </c>
      <c r="F162">
        <v>116.85</v>
      </c>
      <c r="G162">
        <v>0.9</v>
      </c>
      <c r="H162">
        <v>1.2</v>
      </c>
      <c r="I162">
        <v>0.9</v>
      </c>
      <c r="J162">
        <v>1.8184978836478705</v>
      </c>
      <c r="K162">
        <v>1500</v>
      </c>
      <c r="L162">
        <v>0</v>
      </c>
      <c r="N162">
        <v>27</v>
      </c>
      <c r="O162" s="60" t="s">
        <v>796</v>
      </c>
      <c r="P162" t="s">
        <v>820</v>
      </c>
      <c r="Q162" t="s">
        <v>1077</v>
      </c>
    </row>
    <row r="163" spans="1:17" x14ac:dyDescent="0.25">
      <c r="A163" t="s">
        <v>19</v>
      </c>
      <c r="B163">
        <v>15</v>
      </c>
      <c r="C163">
        <v>116.85</v>
      </c>
      <c r="D163">
        <v>0.9</v>
      </c>
      <c r="E163">
        <v>140</v>
      </c>
      <c r="F163">
        <v>116.85</v>
      </c>
      <c r="G163">
        <v>0.9</v>
      </c>
      <c r="H163">
        <v>1.2</v>
      </c>
      <c r="I163">
        <v>0.9</v>
      </c>
      <c r="J163">
        <v>56.126477890366417</v>
      </c>
      <c r="K163">
        <v>1500</v>
      </c>
      <c r="L163">
        <v>0</v>
      </c>
      <c r="N163">
        <v>27</v>
      </c>
      <c r="O163" s="60" t="s">
        <v>797</v>
      </c>
      <c r="P163" t="s">
        <v>821</v>
      </c>
      <c r="Q163" t="s">
        <v>2396</v>
      </c>
    </row>
    <row r="164" spans="1:17" x14ac:dyDescent="0.25">
      <c r="A164" t="s">
        <v>19</v>
      </c>
      <c r="B164">
        <v>140</v>
      </c>
      <c r="C164">
        <v>116.85</v>
      </c>
      <c r="D164">
        <v>0.9</v>
      </c>
      <c r="E164">
        <v>140</v>
      </c>
      <c r="F164">
        <v>118.19999999999999</v>
      </c>
      <c r="G164">
        <v>0.9</v>
      </c>
      <c r="H164">
        <v>1.2</v>
      </c>
      <c r="I164">
        <v>0.9</v>
      </c>
      <c r="J164">
        <v>0.60616596121595478</v>
      </c>
      <c r="K164">
        <v>1500</v>
      </c>
      <c r="L164">
        <v>0</v>
      </c>
      <c r="N164">
        <v>27</v>
      </c>
      <c r="O164" s="60" t="s">
        <v>798</v>
      </c>
      <c r="P164" t="s">
        <v>822</v>
      </c>
      <c r="Q164" t="s">
        <v>1078</v>
      </c>
    </row>
    <row r="165" spans="1:17" x14ac:dyDescent="0.25">
      <c r="A165" t="s">
        <v>19</v>
      </c>
      <c r="B165">
        <v>140</v>
      </c>
      <c r="C165">
        <v>118.19999999999999</v>
      </c>
      <c r="D165">
        <v>0.9</v>
      </c>
      <c r="E165">
        <v>15</v>
      </c>
      <c r="F165">
        <v>118.19999999999999</v>
      </c>
      <c r="G165">
        <v>0.9</v>
      </c>
      <c r="H165">
        <v>1.2</v>
      </c>
      <c r="I165">
        <v>0.9</v>
      </c>
      <c r="J165">
        <v>56.126477890366417</v>
      </c>
      <c r="K165">
        <v>1500</v>
      </c>
      <c r="L165">
        <v>0</v>
      </c>
      <c r="N165">
        <v>27</v>
      </c>
      <c r="O165" s="60" t="s">
        <v>799</v>
      </c>
      <c r="P165" t="s">
        <v>812</v>
      </c>
      <c r="Q165" t="s">
        <v>2397</v>
      </c>
    </row>
    <row r="166" spans="1:17" x14ac:dyDescent="0.25">
      <c r="A166" t="s">
        <v>19</v>
      </c>
      <c r="B166">
        <v>15</v>
      </c>
      <c r="C166">
        <v>118.2</v>
      </c>
      <c r="D166">
        <v>0.9</v>
      </c>
      <c r="E166">
        <v>15</v>
      </c>
      <c r="F166">
        <v>122.25</v>
      </c>
      <c r="G166">
        <v>0.9</v>
      </c>
      <c r="H166">
        <v>1.2</v>
      </c>
      <c r="I166">
        <v>0.9</v>
      </c>
      <c r="J166">
        <v>1.8184978836478705</v>
      </c>
      <c r="K166">
        <v>1500</v>
      </c>
      <c r="L166">
        <v>0</v>
      </c>
      <c r="N166">
        <v>27</v>
      </c>
      <c r="O166" s="60" t="s">
        <v>1954</v>
      </c>
      <c r="P166" t="s">
        <v>820</v>
      </c>
      <c r="Q166" t="s">
        <v>1955</v>
      </c>
    </row>
    <row r="167" spans="1:17" x14ac:dyDescent="0.25">
      <c r="A167" t="s">
        <v>19</v>
      </c>
      <c r="B167">
        <v>15</v>
      </c>
      <c r="C167">
        <v>122.25</v>
      </c>
      <c r="D167">
        <v>0.9</v>
      </c>
      <c r="E167">
        <v>140</v>
      </c>
      <c r="F167">
        <v>122.25</v>
      </c>
      <c r="G167">
        <v>0.9</v>
      </c>
      <c r="H167">
        <v>1.2</v>
      </c>
      <c r="I167">
        <v>0.9</v>
      </c>
      <c r="J167">
        <v>56.126477890366417</v>
      </c>
      <c r="K167">
        <v>1500</v>
      </c>
      <c r="L167">
        <v>0</v>
      </c>
      <c r="N167">
        <v>27</v>
      </c>
      <c r="O167" s="60" t="s">
        <v>1956</v>
      </c>
      <c r="P167" t="s">
        <v>821</v>
      </c>
      <c r="Q167" t="s">
        <v>2396</v>
      </c>
    </row>
    <row r="168" spans="1:17" x14ac:dyDescent="0.25">
      <c r="A168" t="s">
        <v>19</v>
      </c>
      <c r="B168">
        <v>140</v>
      </c>
      <c r="C168">
        <v>122.25</v>
      </c>
      <c r="D168">
        <v>0.9</v>
      </c>
      <c r="E168">
        <v>140</v>
      </c>
      <c r="F168">
        <v>123.6</v>
      </c>
      <c r="G168">
        <v>0.9</v>
      </c>
      <c r="H168">
        <v>1.2</v>
      </c>
      <c r="I168">
        <v>0.9</v>
      </c>
      <c r="J168">
        <v>0.60616596121595478</v>
      </c>
      <c r="K168">
        <v>1500</v>
      </c>
      <c r="L168">
        <v>0</v>
      </c>
      <c r="N168">
        <v>27</v>
      </c>
      <c r="O168" s="60" t="s">
        <v>1957</v>
      </c>
      <c r="P168" t="s">
        <v>822</v>
      </c>
      <c r="Q168" t="s">
        <v>1958</v>
      </c>
    </row>
    <row r="169" spans="1:17" x14ac:dyDescent="0.25">
      <c r="A169" t="s">
        <v>19</v>
      </c>
      <c r="B169">
        <v>140</v>
      </c>
      <c r="C169">
        <v>123.6</v>
      </c>
      <c r="D169">
        <v>0.9</v>
      </c>
      <c r="E169">
        <v>15</v>
      </c>
      <c r="F169">
        <v>123.6</v>
      </c>
      <c r="G169">
        <v>0.9</v>
      </c>
      <c r="H169">
        <v>1.2</v>
      </c>
      <c r="I169">
        <v>0.9</v>
      </c>
      <c r="J169">
        <v>56.126477890366417</v>
      </c>
      <c r="K169">
        <v>1500</v>
      </c>
      <c r="L169">
        <v>0</v>
      </c>
      <c r="N169">
        <v>27</v>
      </c>
      <c r="O169" s="60" t="s">
        <v>1959</v>
      </c>
      <c r="P169" t="s">
        <v>812</v>
      </c>
      <c r="Q169" t="s">
        <v>2397</v>
      </c>
    </row>
    <row r="170" spans="1:17" x14ac:dyDescent="0.25">
      <c r="A170" t="s">
        <v>19</v>
      </c>
      <c r="B170">
        <v>15</v>
      </c>
      <c r="C170">
        <v>123.60000000000001</v>
      </c>
      <c r="D170">
        <v>0.9</v>
      </c>
      <c r="E170">
        <v>15</v>
      </c>
      <c r="F170">
        <v>127.65</v>
      </c>
      <c r="G170">
        <v>0.9</v>
      </c>
      <c r="H170">
        <v>1.2</v>
      </c>
      <c r="I170">
        <v>0.9</v>
      </c>
      <c r="J170">
        <v>1.8184978836478705</v>
      </c>
      <c r="K170">
        <v>1500</v>
      </c>
      <c r="L170">
        <v>0</v>
      </c>
      <c r="N170">
        <v>27</v>
      </c>
      <c r="O170" s="60" t="s">
        <v>1960</v>
      </c>
      <c r="P170" t="s">
        <v>820</v>
      </c>
      <c r="Q170" t="s">
        <v>1961</v>
      </c>
    </row>
    <row r="171" spans="1:17" x14ac:dyDescent="0.25">
      <c r="A171" t="s">
        <v>19</v>
      </c>
      <c r="B171">
        <v>15</v>
      </c>
      <c r="C171">
        <v>127.65</v>
      </c>
      <c r="D171">
        <v>0.9</v>
      </c>
      <c r="E171">
        <v>140</v>
      </c>
      <c r="F171">
        <v>127.65</v>
      </c>
      <c r="G171">
        <v>0.9</v>
      </c>
      <c r="H171">
        <v>1.2</v>
      </c>
      <c r="I171">
        <v>0.9</v>
      </c>
      <c r="J171">
        <v>56.126477890366417</v>
      </c>
      <c r="K171">
        <v>1500</v>
      </c>
      <c r="L171">
        <v>0</v>
      </c>
      <c r="N171">
        <v>27</v>
      </c>
      <c r="O171" s="60" t="s">
        <v>1962</v>
      </c>
      <c r="P171" t="s">
        <v>821</v>
      </c>
      <c r="Q171" t="s">
        <v>2396</v>
      </c>
    </row>
    <row r="172" spans="1:17" x14ac:dyDescent="0.25">
      <c r="A172" t="s">
        <v>19</v>
      </c>
      <c r="B172">
        <v>140</v>
      </c>
      <c r="C172">
        <v>127.65</v>
      </c>
      <c r="D172">
        <v>0.9</v>
      </c>
      <c r="E172">
        <v>140</v>
      </c>
      <c r="F172">
        <v>129</v>
      </c>
      <c r="G172">
        <v>0.9</v>
      </c>
      <c r="H172">
        <v>1.2</v>
      </c>
      <c r="I172">
        <v>0.9</v>
      </c>
      <c r="J172">
        <v>0.60616596121595478</v>
      </c>
      <c r="K172">
        <v>1500</v>
      </c>
      <c r="L172">
        <v>0</v>
      </c>
      <c r="N172">
        <v>27</v>
      </c>
      <c r="O172" s="60" t="s">
        <v>1963</v>
      </c>
      <c r="P172" t="s">
        <v>822</v>
      </c>
      <c r="Q172" t="s">
        <v>1964</v>
      </c>
    </row>
    <row r="173" spans="1:17" x14ac:dyDescent="0.25">
      <c r="A173" t="s">
        <v>19</v>
      </c>
      <c r="B173">
        <v>140</v>
      </c>
      <c r="C173">
        <v>129</v>
      </c>
      <c r="D173">
        <v>0.9</v>
      </c>
      <c r="E173">
        <v>15</v>
      </c>
      <c r="F173">
        <v>129</v>
      </c>
      <c r="G173">
        <v>0.9</v>
      </c>
      <c r="H173">
        <v>1.2</v>
      </c>
      <c r="I173">
        <v>0.9</v>
      </c>
      <c r="J173">
        <v>56.126477890366417</v>
      </c>
      <c r="K173">
        <v>1500</v>
      </c>
      <c r="L173">
        <v>0</v>
      </c>
      <c r="N173">
        <v>27</v>
      </c>
      <c r="O173" s="60" t="s">
        <v>1965</v>
      </c>
      <c r="P173" t="s">
        <v>812</v>
      </c>
      <c r="Q173" t="s">
        <v>2397</v>
      </c>
    </row>
    <row r="174" spans="1:17" x14ac:dyDescent="0.25">
      <c r="A174" t="s">
        <v>39</v>
      </c>
      <c r="B174">
        <v>-1.25</v>
      </c>
      <c r="C174">
        <v>2100</v>
      </c>
      <c r="N174">
        <v>28</v>
      </c>
      <c r="O174" s="60" t="s">
        <v>747</v>
      </c>
      <c r="P174" t="s">
        <v>731</v>
      </c>
      <c r="Q174" t="s">
        <v>845</v>
      </c>
    </row>
    <row r="175" spans="1:17" x14ac:dyDescent="0.25">
      <c r="A175" t="s">
        <v>660</v>
      </c>
      <c r="B175">
        <v>0.9</v>
      </c>
      <c r="C175">
        <v>10000</v>
      </c>
      <c r="N175">
        <v>28</v>
      </c>
      <c r="O175" s="60" t="s">
        <v>747</v>
      </c>
      <c r="P175" t="s">
        <v>731</v>
      </c>
      <c r="Q175" t="s">
        <v>815</v>
      </c>
    </row>
    <row r="176" spans="1:17" x14ac:dyDescent="0.25">
      <c r="A176" t="s">
        <v>23</v>
      </c>
      <c r="B176">
        <v>15</v>
      </c>
      <c r="C176">
        <v>129</v>
      </c>
      <c r="D176">
        <v>0.9</v>
      </c>
      <c r="E176">
        <v>15</v>
      </c>
      <c r="F176">
        <v>75</v>
      </c>
      <c r="G176">
        <v>1.8</v>
      </c>
      <c r="H176">
        <v>0</v>
      </c>
      <c r="I176">
        <v>0</v>
      </c>
      <c r="K176">
        <v>48000</v>
      </c>
      <c r="N176">
        <v>0</v>
      </c>
      <c r="O176" s="60">
        <v>0</v>
      </c>
      <c r="P176" t="s">
        <v>661</v>
      </c>
      <c r="Q176" t="s">
        <v>1966</v>
      </c>
    </row>
    <row r="177" spans="1:17" x14ac:dyDescent="0.25">
      <c r="A177" t="s">
        <v>19</v>
      </c>
      <c r="B177">
        <v>15</v>
      </c>
      <c r="C177">
        <v>75</v>
      </c>
      <c r="D177">
        <v>1.8</v>
      </c>
      <c r="E177">
        <v>15</v>
      </c>
      <c r="F177">
        <v>79.05</v>
      </c>
      <c r="G177">
        <v>1.8</v>
      </c>
      <c r="H177">
        <v>1.2</v>
      </c>
      <c r="I177">
        <v>0.9</v>
      </c>
      <c r="J177">
        <v>1.8184978836478705</v>
      </c>
      <c r="K177">
        <v>1500</v>
      </c>
      <c r="L177">
        <v>0</v>
      </c>
      <c r="N177">
        <v>29</v>
      </c>
      <c r="O177" s="60" t="s">
        <v>1967</v>
      </c>
      <c r="P177" t="s">
        <v>1968</v>
      </c>
      <c r="Q177" t="s">
        <v>879</v>
      </c>
    </row>
    <row r="178" spans="1:17" x14ac:dyDescent="0.25">
      <c r="A178" t="s">
        <v>19</v>
      </c>
      <c r="B178">
        <v>15</v>
      </c>
      <c r="C178">
        <v>79.05</v>
      </c>
      <c r="D178">
        <v>1.8</v>
      </c>
      <c r="E178">
        <v>140</v>
      </c>
      <c r="F178">
        <v>79.05</v>
      </c>
      <c r="G178">
        <v>1.8</v>
      </c>
      <c r="H178">
        <v>1.2</v>
      </c>
      <c r="I178">
        <v>0.9</v>
      </c>
      <c r="J178">
        <v>56.126477890366417</v>
      </c>
      <c r="K178">
        <v>1500</v>
      </c>
      <c r="L178">
        <v>0</v>
      </c>
      <c r="N178">
        <v>29</v>
      </c>
      <c r="O178" s="60" t="s">
        <v>1969</v>
      </c>
      <c r="P178" t="s">
        <v>1970</v>
      </c>
      <c r="Q178" t="s">
        <v>2396</v>
      </c>
    </row>
    <row r="179" spans="1:17" x14ac:dyDescent="0.25">
      <c r="A179" t="s">
        <v>19</v>
      </c>
      <c r="B179">
        <v>140</v>
      </c>
      <c r="C179">
        <v>79.05</v>
      </c>
      <c r="D179">
        <v>1.8</v>
      </c>
      <c r="E179">
        <v>140</v>
      </c>
      <c r="F179">
        <v>80.399999999999991</v>
      </c>
      <c r="G179">
        <v>1.8</v>
      </c>
      <c r="H179">
        <v>1.2</v>
      </c>
      <c r="I179">
        <v>0.9</v>
      </c>
      <c r="J179">
        <v>0.60616596121595478</v>
      </c>
      <c r="K179">
        <v>1500</v>
      </c>
      <c r="L179">
        <v>0</v>
      </c>
      <c r="N179">
        <v>29</v>
      </c>
      <c r="O179" s="60" t="s">
        <v>1971</v>
      </c>
      <c r="P179" t="s">
        <v>1972</v>
      </c>
      <c r="Q179" t="s">
        <v>880</v>
      </c>
    </row>
    <row r="180" spans="1:17" x14ac:dyDescent="0.25">
      <c r="A180" t="s">
        <v>19</v>
      </c>
      <c r="B180">
        <v>140</v>
      </c>
      <c r="C180">
        <v>80.399999999999991</v>
      </c>
      <c r="D180">
        <v>1.8</v>
      </c>
      <c r="E180">
        <v>15</v>
      </c>
      <c r="F180">
        <v>80.399999999999991</v>
      </c>
      <c r="G180">
        <v>1.8</v>
      </c>
      <c r="H180">
        <v>1.2</v>
      </c>
      <c r="I180">
        <v>0.9</v>
      </c>
      <c r="J180">
        <v>56.126477890366417</v>
      </c>
      <c r="K180">
        <v>1500</v>
      </c>
      <c r="L180">
        <v>0</v>
      </c>
      <c r="N180">
        <v>29</v>
      </c>
      <c r="O180" s="60" t="s">
        <v>1973</v>
      </c>
      <c r="P180" t="s">
        <v>1974</v>
      </c>
      <c r="Q180" t="s">
        <v>2397</v>
      </c>
    </row>
    <row r="181" spans="1:17" x14ac:dyDescent="0.25">
      <c r="A181" t="s">
        <v>19</v>
      </c>
      <c r="B181">
        <v>15</v>
      </c>
      <c r="C181">
        <v>80.400000000000006</v>
      </c>
      <c r="D181">
        <v>1.8</v>
      </c>
      <c r="E181">
        <v>15</v>
      </c>
      <c r="F181">
        <v>84.45</v>
      </c>
      <c r="G181">
        <v>1.8</v>
      </c>
      <c r="H181">
        <v>1.2</v>
      </c>
      <c r="I181">
        <v>0.9</v>
      </c>
      <c r="J181">
        <v>1.8184978836478705</v>
      </c>
      <c r="K181">
        <v>1500</v>
      </c>
      <c r="L181">
        <v>0</v>
      </c>
      <c r="N181">
        <v>29</v>
      </c>
      <c r="O181" s="60" t="s">
        <v>1079</v>
      </c>
      <c r="P181" t="s">
        <v>823</v>
      </c>
      <c r="Q181" t="s">
        <v>1065</v>
      </c>
    </row>
    <row r="182" spans="1:17" x14ac:dyDescent="0.25">
      <c r="A182" t="s">
        <v>19</v>
      </c>
      <c r="B182">
        <v>15</v>
      </c>
      <c r="C182">
        <v>84.45</v>
      </c>
      <c r="D182">
        <v>1.8</v>
      </c>
      <c r="E182">
        <v>140</v>
      </c>
      <c r="F182">
        <v>84.45</v>
      </c>
      <c r="G182">
        <v>1.8</v>
      </c>
      <c r="H182">
        <v>1.2</v>
      </c>
      <c r="I182">
        <v>0.9</v>
      </c>
      <c r="J182">
        <v>56.126477890366417</v>
      </c>
      <c r="K182">
        <v>1500</v>
      </c>
      <c r="L182">
        <v>0</v>
      </c>
      <c r="N182">
        <v>29</v>
      </c>
      <c r="O182" s="60" t="s">
        <v>1080</v>
      </c>
      <c r="P182" t="s">
        <v>750</v>
      </c>
      <c r="Q182" t="s">
        <v>2396</v>
      </c>
    </row>
    <row r="183" spans="1:17" x14ac:dyDescent="0.25">
      <c r="A183" t="s">
        <v>19</v>
      </c>
      <c r="B183">
        <v>140</v>
      </c>
      <c r="C183">
        <v>84.45</v>
      </c>
      <c r="D183">
        <v>1.8</v>
      </c>
      <c r="E183">
        <v>140</v>
      </c>
      <c r="F183">
        <v>85.8</v>
      </c>
      <c r="G183">
        <v>1.8</v>
      </c>
      <c r="H183">
        <v>1.2</v>
      </c>
      <c r="I183">
        <v>0.9</v>
      </c>
      <c r="J183">
        <v>0.60616596121595478</v>
      </c>
      <c r="K183">
        <v>1500</v>
      </c>
      <c r="L183">
        <v>0</v>
      </c>
      <c r="N183">
        <v>29</v>
      </c>
      <c r="O183" s="60" t="s">
        <v>1081</v>
      </c>
      <c r="P183" t="s">
        <v>751</v>
      </c>
      <c r="Q183" t="s">
        <v>1066</v>
      </c>
    </row>
    <row r="184" spans="1:17" x14ac:dyDescent="0.25">
      <c r="A184" t="s">
        <v>19</v>
      </c>
      <c r="B184">
        <v>140</v>
      </c>
      <c r="C184">
        <v>85.8</v>
      </c>
      <c r="D184">
        <v>1.8</v>
      </c>
      <c r="E184">
        <v>15</v>
      </c>
      <c r="F184">
        <v>85.8</v>
      </c>
      <c r="G184">
        <v>1.8</v>
      </c>
      <c r="H184">
        <v>1.2</v>
      </c>
      <c r="I184">
        <v>0.9</v>
      </c>
      <c r="J184">
        <v>56.126477890366417</v>
      </c>
      <c r="K184">
        <v>1500</v>
      </c>
      <c r="L184">
        <v>0</v>
      </c>
      <c r="N184">
        <v>29</v>
      </c>
      <c r="O184" s="60" t="s">
        <v>881</v>
      </c>
      <c r="P184" t="s">
        <v>752</v>
      </c>
      <c r="Q184" t="s">
        <v>2397</v>
      </c>
    </row>
    <row r="185" spans="1:17" x14ac:dyDescent="0.25">
      <c r="A185" t="s">
        <v>19</v>
      </c>
      <c r="B185">
        <v>15</v>
      </c>
      <c r="C185">
        <v>85.8</v>
      </c>
      <c r="D185">
        <v>1.8</v>
      </c>
      <c r="E185">
        <v>15</v>
      </c>
      <c r="F185">
        <v>89.85</v>
      </c>
      <c r="G185">
        <v>1.8</v>
      </c>
      <c r="H185">
        <v>1.2</v>
      </c>
      <c r="I185">
        <v>0.9</v>
      </c>
      <c r="J185">
        <v>1.8184978836478705</v>
      </c>
      <c r="K185">
        <v>1500</v>
      </c>
      <c r="L185">
        <v>0</v>
      </c>
      <c r="N185">
        <v>29</v>
      </c>
      <c r="O185" s="60" t="s">
        <v>1082</v>
      </c>
      <c r="P185" t="s">
        <v>823</v>
      </c>
      <c r="Q185" t="s">
        <v>1067</v>
      </c>
    </row>
    <row r="186" spans="1:17" x14ac:dyDescent="0.25">
      <c r="A186" t="s">
        <v>19</v>
      </c>
      <c r="B186">
        <v>15</v>
      </c>
      <c r="C186">
        <v>89.85</v>
      </c>
      <c r="D186">
        <v>1.8</v>
      </c>
      <c r="E186">
        <v>140</v>
      </c>
      <c r="F186">
        <v>89.85</v>
      </c>
      <c r="G186">
        <v>1.8</v>
      </c>
      <c r="H186">
        <v>1.2</v>
      </c>
      <c r="I186">
        <v>0.9</v>
      </c>
      <c r="J186">
        <v>56.126477890366417</v>
      </c>
      <c r="K186">
        <v>1500</v>
      </c>
      <c r="L186">
        <v>0</v>
      </c>
      <c r="N186">
        <v>29</v>
      </c>
      <c r="O186" s="60" t="s">
        <v>1083</v>
      </c>
      <c r="P186" t="s">
        <v>750</v>
      </c>
      <c r="Q186" t="s">
        <v>2396</v>
      </c>
    </row>
    <row r="187" spans="1:17" x14ac:dyDescent="0.25">
      <c r="A187" t="s">
        <v>19</v>
      </c>
      <c r="B187">
        <v>140</v>
      </c>
      <c r="C187">
        <v>89.85</v>
      </c>
      <c r="D187">
        <v>1.8</v>
      </c>
      <c r="E187">
        <v>140</v>
      </c>
      <c r="F187">
        <v>91.199999999999989</v>
      </c>
      <c r="G187">
        <v>1.8</v>
      </c>
      <c r="H187">
        <v>1.2</v>
      </c>
      <c r="I187">
        <v>0.9</v>
      </c>
      <c r="J187">
        <v>0.60616596121595478</v>
      </c>
      <c r="K187">
        <v>1500</v>
      </c>
      <c r="L187">
        <v>0</v>
      </c>
      <c r="N187">
        <v>29</v>
      </c>
      <c r="O187" s="60" t="s">
        <v>1084</v>
      </c>
      <c r="P187" t="s">
        <v>751</v>
      </c>
      <c r="Q187" t="s">
        <v>1068</v>
      </c>
    </row>
    <row r="188" spans="1:17" x14ac:dyDescent="0.25">
      <c r="A188" t="s">
        <v>19</v>
      </c>
      <c r="B188">
        <v>140</v>
      </c>
      <c r="C188">
        <v>91.199999999999989</v>
      </c>
      <c r="D188">
        <v>1.8</v>
      </c>
      <c r="E188">
        <v>15</v>
      </c>
      <c r="F188">
        <v>91.199999999999989</v>
      </c>
      <c r="G188">
        <v>1.8</v>
      </c>
      <c r="H188">
        <v>1.2</v>
      </c>
      <c r="I188">
        <v>0.9</v>
      </c>
      <c r="J188">
        <v>56.126477890366417</v>
      </c>
      <c r="K188">
        <v>1500</v>
      </c>
      <c r="L188">
        <v>0</v>
      </c>
      <c r="N188">
        <v>29</v>
      </c>
      <c r="O188" s="60" t="s">
        <v>882</v>
      </c>
      <c r="P188" t="s">
        <v>752</v>
      </c>
      <c r="Q188" t="s">
        <v>2397</v>
      </c>
    </row>
    <row r="189" spans="1:17" x14ac:dyDescent="0.25">
      <c r="A189" t="s">
        <v>19</v>
      </c>
      <c r="B189">
        <v>15</v>
      </c>
      <c r="C189">
        <v>91.2</v>
      </c>
      <c r="D189">
        <v>1.8</v>
      </c>
      <c r="E189">
        <v>15</v>
      </c>
      <c r="F189">
        <v>95.25</v>
      </c>
      <c r="G189">
        <v>1.8</v>
      </c>
      <c r="H189">
        <v>1.2</v>
      </c>
      <c r="I189">
        <v>0.9</v>
      </c>
      <c r="J189">
        <v>1.8184978836478705</v>
      </c>
      <c r="K189">
        <v>1500</v>
      </c>
      <c r="L189">
        <v>0</v>
      </c>
      <c r="N189">
        <v>29</v>
      </c>
      <c r="O189" s="60" t="s">
        <v>1085</v>
      </c>
      <c r="P189" t="s">
        <v>823</v>
      </c>
      <c r="Q189" t="s">
        <v>1069</v>
      </c>
    </row>
    <row r="190" spans="1:17" x14ac:dyDescent="0.25">
      <c r="A190" t="s">
        <v>19</v>
      </c>
      <c r="B190">
        <v>15</v>
      </c>
      <c r="C190">
        <v>95.25</v>
      </c>
      <c r="D190">
        <v>1.8</v>
      </c>
      <c r="E190">
        <v>140</v>
      </c>
      <c r="F190">
        <v>95.25</v>
      </c>
      <c r="G190">
        <v>1.8</v>
      </c>
      <c r="H190">
        <v>1.2</v>
      </c>
      <c r="I190">
        <v>0.9</v>
      </c>
      <c r="J190">
        <v>56.126477890366417</v>
      </c>
      <c r="K190">
        <v>1500</v>
      </c>
      <c r="L190">
        <v>0</v>
      </c>
      <c r="N190">
        <v>29</v>
      </c>
      <c r="O190" s="60" t="s">
        <v>1086</v>
      </c>
      <c r="P190" t="s">
        <v>750</v>
      </c>
      <c r="Q190" t="s">
        <v>2396</v>
      </c>
    </row>
    <row r="191" spans="1:17" x14ac:dyDescent="0.25">
      <c r="A191" t="s">
        <v>19</v>
      </c>
      <c r="B191">
        <v>140</v>
      </c>
      <c r="C191">
        <v>95.25</v>
      </c>
      <c r="D191">
        <v>1.8</v>
      </c>
      <c r="E191">
        <v>140</v>
      </c>
      <c r="F191">
        <v>96.6</v>
      </c>
      <c r="G191">
        <v>1.8</v>
      </c>
      <c r="H191">
        <v>1.2</v>
      </c>
      <c r="I191">
        <v>0.9</v>
      </c>
      <c r="J191">
        <v>0.60616596121595478</v>
      </c>
      <c r="K191">
        <v>1500</v>
      </c>
      <c r="L191">
        <v>0</v>
      </c>
      <c r="N191">
        <v>29</v>
      </c>
      <c r="O191" s="60" t="s">
        <v>1087</v>
      </c>
      <c r="P191" t="s">
        <v>751</v>
      </c>
      <c r="Q191" t="s">
        <v>1070</v>
      </c>
    </row>
    <row r="192" spans="1:17" x14ac:dyDescent="0.25">
      <c r="A192" t="s">
        <v>19</v>
      </c>
      <c r="B192">
        <v>140</v>
      </c>
      <c r="C192">
        <v>96.6</v>
      </c>
      <c r="D192">
        <v>1.8</v>
      </c>
      <c r="E192">
        <v>15</v>
      </c>
      <c r="F192">
        <v>96.6</v>
      </c>
      <c r="G192">
        <v>1.8</v>
      </c>
      <c r="H192">
        <v>1.2</v>
      </c>
      <c r="I192">
        <v>0.9</v>
      </c>
      <c r="J192">
        <v>56.126477890366417</v>
      </c>
      <c r="K192">
        <v>1500</v>
      </c>
      <c r="L192">
        <v>0</v>
      </c>
      <c r="N192">
        <v>29</v>
      </c>
      <c r="O192" s="60" t="s">
        <v>883</v>
      </c>
      <c r="P192" t="s">
        <v>752</v>
      </c>
      <c r="Q192" t="s">
        <v>2397</v>
      </c>
    </row>
    <row r="193" spans="1:17" x14ac:dyDescent="0.25">
      <c r="A193" t="s">
        <v>19</v>
      </c>
      <c r="B193">
        <v>15</v>
      </c>
      <c r="C193">
        <v>96.6</v>
      </c>
      <c r="D193">
        <v>1.8</v>
      </c>
      <c r="E193">
        <v>15</v>
      </c>
      <c r="F193">
        <v>100.65</v>
      </c>
      <c r="G193">
        <v>1.8</v>
      </c>
      <c r="H193">
        <v>1.2</v>
      </c>
      <c r="I193">
        <v>0.9</v>
      </c>
      <c r="J193">
        <v>1.8184978836478705</v>
      </c>
      <c r="K193">
        <v>1500</v>
      </c>
      <c r="L193">
        <v>0</v>
      </c>
      <c r="N193">
        <v>29</v>
      </c>
      <c r="O193" s="60" t="s">
        <v>1088</v>
      </c>
      <c r="P193" t="s">
        <v>823</v>
      </c>
      <c r="Q193" t="s">
        <v>1071</v>
      </c>
    </row>
    <row r="194" spans="1:17" x14ac:dyDescent="0.25">
      <c r="A194" t="s">
        <v>19</v>
      </c>
      <c r="B194">
        <v>15</v>
      </c>
      <c r="C194">
        <v>100.65</v>
      </c>
      <c r="D194">
        <v>1.8</v>
      </c>
      <c r="E194">
        <v>140</v>
      </c>
      <c r="F194">
        <v>100.65</v>
      </c>
      <c r="G194">
        <v>1.8</v>
      </c>
      <c r="H194">
        <v>1.2</v>
      </c>
      <c r="I194">
        <v>0.9</v>
      </c>
      <c r="J194">
        <v>56.126477890366417</v>
      </c>
      <c r="K194">
        <v>1500</v>
      </c>
      <c r="L194">
        <v>0</v>
      </c>
      <c r="N194">
        <v>29</v>
      </c>
      <c r="O194" s="60" t="s">
        <v>1089</v>
      </c>
      <c r="P194" t="s">
        <v>750</v>
      </c>
      <c r="Q194" t="s">
        <v>2396</v>
      </c>
    </row>
    <row r="195" spans="1:17" x14ac:dyDescent="0.25">
      <c r="A195" t="s">
        <v>19</v>
      </c>
      <c r="B195">
        <v>140</v>
      </c>
      <c r="C195">
        <v>100.65</v>
      </c>
      <c r="D195">
        <v>1.8</v>
      </c>
      <c r="E195">
        <v>140</v>
      </c>
      <c r="F195">
        <v>102</v>
      </c>
      <c r="G195">
        <v>1.8</v>
      </c>
      <c r="H195">
        <v>1.2</v>
      </c>
      <c r="I195">
        <v>0.9</v>
      </c>
      <c r="J195">
        <v>0.60616596121595478</v>
      </c>
      <c r="K195">
        <v>1500</v>
      </c>
      <c r="L195">
        <v>0</v>
      </c>
      <c r="N195">
        <v>29</v>
      </c>
      <c r="O195" s="60" t="s">
        <v>1090</v>
      </c>
      <c r="P195" t="s">
        <v>751</v>
      </c>
      <c r="Q195" t="s">
        <v>1072</v>
      </c>
    </row>
    <row r="196" spans="1:17" x14ac:dyDescent="0.25">
      <c r="A196" t="s">
        <v>19</v>
      </c>
      <c r="B196">
        <v>140</v>
      </c>
      <c r="C196">
        <v>102</v>
      </c>
      <c r="D196">
        <v>1.8</v>
      </c>
      <c r="E196">
        <v>15</v>
      </c>
      <c r="F196">
        <v>102</v>
      </c>
      <c r="G196">
        <v>1.8</v>
      </c>
      <c r="H196">
        <v>1.2</v>
      </c>
      <c r="I196">
        <v>0.9</v>
      </c>
      <c r="J196">
        <v>56.126477890366417</v>
      </c>
      <c r="K196">
        <v>1500</v>
      </c>
      <c r="L196">
        <v>0</v>
      </c>
      <c r="N196">
        <v>29</v>
      </c>
      <c r="O196" s="60" t="s">
        <v>884</v>
      </c>
      <c r="P196" t="s">
        <v>752</v>
      </c>
      <c r="Q196" t="s">
        <v>2397</v>
      </c>
    </row>
    <row r="197" spans="1:17" x14ac:dyDescent="0.25">
      <c r="A197" t="s">
        <v>19</v>
      </c>
      <c r="B197">
        <v>15</v>
      </c>
      <c r="C197">
        <v>102</v>
      </c>
      <c r="D197">
        <v>1.8</v>
      </c>
      <c r="E197">
        <v>15</v>
      </c>
      <c r="F197">
        <v>106.05</v>
      </c>
      <c r="G197">
        <v>1.8</v>
      </c>
      <c r="H197">
        <v>1.2</v>
      </c>
      <c r="I197">
        <v>0.9</v>
      </c>
      <c r="J197">
        <v>1.8184978836478705</v>
      </c>
      <c r="K197">
        <v>1500</v>
      </c>
      <c r="L197">
        <v>0</v>
      </c>
      <c r="N197">
        <v>29</v>
      </c>
      <c r="O197" s="60" t="s">
        <v>1091</v>
      </c>
      <c r="P197" t="s">
        <v>823</v>
      </c>
      <c r="Q197" t="s">
        <v>1073</v>
      </c>
    </row>
    <row r="198" spans="1:17" x14ac:dyDescent="0.25">
      <c r="A198" t="s">
        <v>19</v>
      </c>
      <c r="B198">
        <v>15</v>
      </c>
      <c r="C198">
        <v>106.05</v>
      </c>
      <c r="D198">
        <v>1.8</v>
      </c>
      <c r="E198">
        <v>140</v>
      </c>
      <c r="F198">
        <v>106.05</v>
      </c>
      <c r="G198">
        <v>1.8</v>
      </c>
      <c r="H198">
        <v>1.2</v>
      </c>
      <c r="I198">
        <v>0.9</v>
      </c>
      <c r="J198">
        <v>56.126477890366417</v>
      </c>
      <c r="K198">
        <v>1500</v>
      </c>
      <c r="L198">
        <v>0</v>
      </c>
      <c r="N198">
        <v>29</v>
      </c>
      <c r="O198" s="60" t="s">
        <v>1092</v>
      </c>
      <c r="P198" t="s">
        <v>750</v>
      </c>
      <c r="Q198" t="s">
        <v>2396</v>
      </c>
    </row>
    <row r="199" spans="1:17" x14ac:dyDescent="0.25">
      <c r="A199" t="s">
        <v>19</v>
      </c>
      <c r="B199">
        <v>140</v>
      </c>
      <c r="C199">
        <v>106.05</v>
      </c>
      <c r="D199">
        <v>1.8</v>
      </c>
      <c r="E199">
        <v>140</v>
      </c>
      <c r="F199">
        <v>107.39999999999999</v>
      </c>
      <c r="G199">
        <v>1.8</v>
      </c>
      <c r="H199">
        <v>1.2</v>
      </c>
      <c r="I199">
        <v>0.9</v>
      </c>
      <c r="J199">
        <v>0.60616596121595478</v>
      </c>
      <c r="K199">
        <v>1500</v>
      </c>
      <c r="L199">
        <v>0</v>
      </c>
      <c r="N199">
        <v>29</v>
      </c>
      <c r="O199" s="60" t="s">
        <v>1093</v>
      </c>
      <c r="P199" t="s">
        <v>751</v>
      </c>
      <c r="Q199" t="s">
        <v>1074</v>
      </c>
    </row>
    <row r="200" spans="1:17" x14ac:dyDescent="0.25">
      <c r="A200" t="s">
        <v>19</v>
      </c>
      <c r="B200">
        <v>140</v>
      </c>
      <c r="C200">
        <v>107.39999999999999</v>
      </c>
      <c r="D200">
        <v>1.8</v>
      </c>
      <c r="E200">
        <v>15</v>
      </c>
      <c r="F200">
        <v>107.39999999999999</v>
      </c>
      <c r="G200">
        <v>1.8</v>
      </c>
      <c r="H200">
        <v>1.2</v>
      </c>
      <c r="I200">
        <v>0.9</v>
      </c>
      <c r="J200">
        <v>56.126477890366417</v>
      </c>
      <c r="K200">
        <v>1500</v>
      </c>
      <c r="L200">
        <v>0</v>
      </c>
      <c r="N200">
        <v>29</v>
      </c>
      <c r="O200" s="60" t="s">
        <v>885</v>
      </c>
      <c r="P200" t="s">
        <v>752</v>
      </c>
      <c r="Q200" t="s">
        <v>2397</v>
      </c>
    </row>
    <row r="201" spans="1:17" x14ac:dyDescent="0.25">
      <c r="A201" t="s">
        <v>19</v>
      </c>
      <c r="B201">
        <v>15</v>
      </c>
      <c r="C201">
        <v>107.4</v>
      </c>
      <c r="D201">
        <v>1.8</v>
      </c>
      <c r="E201">
        <v>15</v>
      </c>
      <c r="F201">
        <v>111.45</v>
      </c>
      <c r="G201">
        <v>1.8</v>
      </c>
      <c r="H201">
        <v>1.2</v>
      </c>
      <c r="I201">
        <v>0.9</v>
      </c>
      <c r="J201">
        <v>1.8184978836478705</v>
      </c>
      <c r="K201">
        <v>1500</v>
      </c>
      <c r="L201">
        <v>0</v>
      </c>
      <c r="N201">
        <v>29</v>
      </c>
      <c r="O201" s="60" t="s">
        <v>1094</v>
      </c>
      <c r="P201" t="s">
        <v>823</v>
      </c>
      <c r="Q201" t="s">
        <v>1075</v>
      </c>
    </row>
    <row r="202" spans="1:17" x14ac:dyDescent="0.25">
      <c r="A202" t="s">
        <v>19</v>
      </c>
      <c r="B202">
        <v>15</v>
      </c>
      <c r="C202">
        <v>111.45</v>
      </c>
      <c r="D202">
        <v>1.8</v>
      </c>
      <c r="E202">
        <v>140</v>
      </c>
      <c r="F202">
        <v>111.45</v>
      </c>
      <c r="G202">
        <v>1.8</v>
      </c>
      <c r="H202">
        <v>1.2</v>
      </c>
      <c r="I202">
        <v>0.9</v>
      </c>
      <c r="J202">
        <v>56.126477890366417</v>
      </c>
      <c r="K202">
        <v>1500</v>
      </c>
      <c r="L202">
        <v>0</v>
      </c>
      <c r="N202">
        <v>29</v>
      </c>
      <c r="O202" s="60" t="s">
        <v>1095</v>
      </c>
      <c r="P202" t="s">
        <v>750</v>
      </c>
      <c r="Q202" t="s">
        <v>2396</v>
      </c>
    </row>
    <row r="203" spans="1:17" x14ac:dyDescent="0.25">
      <c r="A203" t="s">
        <v>19</v>
      </c>
      <c r="B203">
        <v>140</v>
      </c>
      <c r="C203">
        <v>111.45</v>
      </c>
      <c r="D203">
        <v>1.8</v>
      </c>
      <c r="E203">
        <v>140</v>
      </c>
      <c r="F203">
        <v>112.8</v>
      </c>
      <c r="G203">
        <v>1.8</v>
      </c>
      <c r="H203">
        <v>1.2</v>
      </c>
      <c r="I203">
        <v>0.9</v>
      </c>
      <c r="J203">
        <v>0.60616596121595478</v>
      </c>
      <c r="K203">
        <v>1500</v>
      </c>
      <c r="L203">
        <v>0</v>
      </c>
      <c r="N203">
        <v>29</v>
      </c>
      <c r="O203" s="60" t="s">
        <v>1096</v>
      </c>
      <c r="P203" t="s">
        <v>751</v>
      </c>
      <c r="Q203" t="s">
        <v>1076</v>
      </c>
    </row>
    <row r="204" spans="1:17" x14ac:dyDescent="0.25">
      <c r="A204" t="s">
        <v>19</v>
      </c>
      <c r="B204">
        <v>140</v>
      </c>
      <c r="C204">
        <v>112.8</v>
      </c>
      <c r="D204">
        <v>1.8</v>
      </c>
      <c r="E204">
        <v>15</v>
      </c>
      <c r="F204">
        <v>112.8</v>
      </c>
      <c r="G204">
        <v>1.8</v>
      </c>
      <c r="H204">
        <v>1.2</v>
      </c>
      <c r="I204">
        <v>0.9</v>
      </c>
      <c r="J204">
        <v>56.126477890366417</v>
      </c>
      <c r="K204">
        <v>1500</v>
      </c>
      <c r="L204">
        <v>0</v>
      </c>
      <c r="N204">
        <v>29</v>
      </c>
      <c r="O204" s="60" t="s">
        <v>886</v>
      </c>
      <c r="P204" t="s">
        <v>752</v>
      </c>
      <c r="Q204" t="s">
        <v>2397</v>
      </c>
    </row>
    <row r="205" spans="1:17" x14ac:dyDescent="0.25">
      <c r="A205" t="s">
        <v>19</v>
      </c>
      <c r="B205">
        <v>15</v>
      </c>
      <c r="C205">
        <v>112.8</v>
      </c>
      <c r="D205">
        <v>1.8</v>
      </c>
      <c r="E205">
        <v>15</v>
      </c>
      <c r="F205">
        <v>116.85</v>
      </c>
      <c r="G205">
        <v>1.8</v>
      </c>
      <c r="H205">
        <v>1.2</v>
      </c>
      <c r="I205">
        <v>0.9</v>
      </c>
      <c r="J205">
        <v>1.8184978836478705</v>
      </c>
      <c r="K205">
        <v>1500</v>
      </c>
      <c r="L205">
        <v>0</v>
      </c>
      <c r="N205">
        <v>29</v>
      </c>
      <c r="O205" s="60" t="s">
        <v>1097</v>
      </c>
      <c r="P205" t="s">
        <v>823</v>
      </c>
      <c r="Q205" t="s">
        <v>1077</v>
      </c>
    </row>
    <row r="206" spans="1:17" x14ac:dyDescent="0.25">
      <c r="A206" t="s">
        <v>19</v>
      </c>
      <c r="B206">
        <v>15</v>
      </c>
      <c r="C206">
        <v>116.85</v>
      </c>
      <c r="D206">
        <v>1.8</v>
      </c>
      <c r="E206">
        <v>140</v>
      </c>
      <c r="F206">
        <v>116.85</v>
      </c>
      <c r="G206">
        <v>1.8</v>
      </c>
      <c r="H206">
        <v>1.2</v>
      </c>
      <c r="I206">
        <v>0.9</v>
      </c>
      <c r="J206">
        <v>56.126477890366417</v>
      </c>
      <c r="K206">
        <v>1500</v>
      </c>
      <c r="L206">
        <v>0</v>
      </c>
      <c r="N206">
        <v>29</v>
      </c>
      <c r="O206" s="60" t="s">
        <v>1098</v>
      </c>
      <c r="P206" t="s">
        <v>750</v>
      </c>
      <c r="Q206" t="s">
        <v>2396</v>
      </c>
    </row>
    <row r="207" spans="1:17" x14ac:dyDescent="0.25">
      <c r="A207" t="s">
        <v>19</v>
      </c>
      <c r="B207">
        <v>140</v>
      </c>
      <c r="C207">
        <v>116.85</v>
      </c>
      <c r="D207">
        <v>1.8</v>
      </c>
      <c r="E207">
        <v>140</v>
      </c>
      <c r="F207">
        <v>118.19999999999999</v>
      </c>
      <c r="G207">
        <v>1.8</v>
      </c>
      <c r="H207">
        <v>1.2</v>
      </c>
      <c r="I207">
        <v>0.9</v>
      </c>
      <c r="J207">
        <v>0.60616596121595478</v>
      </c>
      <c r="K207">
        <v>1500</v>
      </c>
      <c r="L207">
        <v>0</v>
      </c>
      <c r="N207">
        <v>29</v>
      </c>
      <c r="O207" s="60" t="s">
        <v>1099</v>
      </c>
      <c r="P207" t="s">
        <v>751</v>
      </c>
      <c r="Q207" t="s">
        <v>1078</v>
      </c>
    </row>
    <row r="208" spans="1:17" x14ac:dyDescent="0.25">
      <c r="A208" t="s">
        <v>19</v>
      </c>
      <c r="B208">
        <v>140</v>
      </c>
      <c r="C208">
        <v>118.19999999999999</v>
      </c>
      <c r="D208">
        <v>1.8</v>
      </c>
      <c r="E208">
        <v>15</v>
      </c>
      <c r="F208">
        <v>118.19999999999999</v>
      </c>
      <c r="G208">
        <v>1.8</v>
      </c>
      <c r="H208">
        <v>1.2</v>
      </c>
      <c r="I208">
        <v>0.9</v>
      </c>
      <c r="J208">
        <v>56.126477890366417</v>
      </c>
      <c r="K208">
        <v>1500</v>
      </c>
      <c r="L208">
        <v>0</v>
      </c>
      <c r="N208">
        <v>29</v>
      </c>
      <c r="O208" s="60" t="s">
        <v>887</v>
      </c>
      <c r="P208" t="s">
        <v>752</v>
      </c>
      <c r="Q208" t="s">
        <v>2397</v>
      </c>
    </row>
    <row r="209" spans="1:17" x14ac:dyDescent="0.25">
      <c r="A209" t="s">
        <v>19</v>
      </c>
      <c r="B209">
        <v>15</v>
      </c>
      <c r="C209">
        <v>118.2</v>
      </c>
      <c r="D209">
        <v>1.8</v>
      </c>
      <c r="E209">
        <v>15</v>
      </c>
      <c r="F209">
        <v>122.25</v>
      </c>
      <c r="G209">
        <v>1.8</v>
      </c>
      <c r="H209">
        <v>1.2</v>
      </c>
      <c r="I209">
        <v>0.9</v>
      </c>
      <c r="J209">
        <v>1.8184978836478705</v>
      </c>
      <c r="K209">
        <v>1500</v>
      </c>
      <c r="L209">
        <v>0</v>
      </c>
      <c r="N209">
        <v>29</v>
      </c>
      <c r="O209" s="60" t="s">
        <v>1975</v>
      </c>
      <c r="P209" t="s">
        <v>823</v>
      </c>
      <c r="Q209" t="s">
        <v>1955</v>
      </c>
    </row>
    <row r="210" spans="1:17" x14ac:dyDescent="0.25">
      <c r="A210" t="s">
        <v>19</v>
      </c>
      <c r="B210">
        <v>15</v>
      </c>
      <c r="C210">
        <v>122.25</v>
      </c>
      <c r="D210">
        <v>1.8</v>
      </c>
      <c r="E210">
        <v>140</v>
      </c>
      <c r="F210">
        <v>122.25</v>
      </c>
      <c r="G210">
        <v>1.8</v>
      </c>
      <c r="H210">
        <v>1.2</v>
      </c>
      <c r="I210">
        <v>0.9</v>
      </c>
      <c r="J210">
        <v>56.126477890366417</v>
      </c>
      <c r="K210">
        <v>1500</v>
      </c>
      <c r="L210">
        <v>0</v>
      </c>
      <c r="N210">
        <v>29</v>
      </c>
      <c r="O210" s="60" t="s">
        <v>1976</v>
      </c>
      <c r="P210" t="s">
        <v>750</v>
      </c>
      <c r="Q210" t="s">
        <v>2396</v>
      </c>
    </row>
    <row r="211" spans="1:17" x14ac:dyDescent="0.25">
      <c r="A211" t="s">
        <v>19</v>
      </c>
      <c r="B211">
        <v>140</v>
      </c>
      <c r="C211">
        <v>122.25</v>
      </c>
      <c r="D211">
        <v>1.8</v>
      </c>
      <c r="E211">
        <v>140</v>
      </c>
      <c r="F211">
        <v>123.6</v>
      </c>
      <c r="G211">
        <v>1.8</v>
      </c>
      <c r="H211">
        <v>1.2</v>
      </c>
      <c r="I211">
        <v>0.9</v>
      </c>
      <c r="J211">
        <v>0.60616596121595478</v>
      </c>
      <c r="K211">
        <v>1500</v>
      </c>
      <c r="L211">
        <v>0</v>
      </c>
      <c r="N211">
        <v>29</v>
      </c>
      <c r="O211" s="60" t="s">
        <v>1977</v>
      </c>
      <c r="P211" t="s">
        <v>751</v>
      </c>
      <c r="Q211" t="s">
        <v>1958</v>
      </c>
    </row>
    <row r="212" spans="1:17" x14ac:dyDescent="0.25">
      <c r="A212" t="s">
        <v>19</v>
      </c>
      <c r="B212">
        <v>140</v>
      </c>
      <c r="C212">
        <v>123.6</v>
      </c>
      <c r="D212">
        <v>1.8</v>
      </c>
      <c r="E212">
        <v>15</v>
      </c>
      <c r="F212">
        <v>123.6</v>
      </c>
      <c r="G212">
        <v>1.8</v>
      </c>
      <c r="H212">
        <v>1.2</v>
      </c>
      <c r="I212">
        <v>0.9</v>
      </c>
      <c r="J212">
        <v>56.126477890366417</v>
      </c>
      <c r="K212">
        <v>1500</v>
      </c>
      <c r="L212">
        <v>0</v>
      </c>
      <c r="N212">
        <v>29</v>
      </c>
      <c r="O212" s="60" t="s">
        <v>1978</v>
      </c>
      <c r="P212" t="s">
        <v>752</v>
      </c>
      <c r="Q212" t="s">
        <v>2397</v>
      </c>
    </row>
    <row r="213" spans="1:17" x14ac:dyDescent="0.25">
      <c r="A213" t="s">
        <v>19</v>
      </c>
      <c r="B213">
        <v>15</v>
      </c>
      <c r="C213">
        <v>123.60000000000001</v>
      </c>
      <c r="D213">
        <v>1.8</v>
      </c>
      <c r="E213">
        <v>15</v>
      </c>
      <c r="F213">
        <v>127.65</v>
      </c>
      <c r="G213">
        <v>1.8</v>
      </c>
      <c r="H213">
        <v>1.2</v>
      </c>
      <c r="I213">
        <v>0.9</v>
      </c>
      <c r="J213">
        <v>1.8184978836478705</v>
      </c>
      <c r="K213">
        <v>1500</v>
      </c>
      <c r="L213">
        <v>0</v>
      </c>
      <c r="N213">
        <v>29</v>
      </c>
      <c r="O213" s="60" t="s">
        <v>1979</v>
      </c>
      <c r="P213" t="s">
        <v>823</v>
      </c>
      <c r="Q213" t="s">
        <v>1961</v>
      </c>
    </row>
    <row r="214" spans="1:17" x14ac:dyDescent="0.25">
      <c r="A214" t="s">
        <v>19</v>
      </c>
      <c r="B214">
        <v>15</v>
      </c>
      <c r="C214">
        <v>127.65</v>
      </c>
      <c r="D214">
        <v>1.8</v>
      </c>
      <c r="E214">
        <v>140</v>
      </c>
      <c r="F214">
        <v>127.65</v>
      </c>
      <c r="G214">
        <v>1.8</v>
      </c>
      <c r="H214">
        <v>1.2</v>
      </c>
      <c r="I214">
        <v>0.9</v>
      </c>
      <c r="J214">
        <v>56.126477890366417</v>
      </c>
      <c r="K214">
        <v>1500</v>
      </c>
      <c r="L214">
        <v>0</v>
      </c>
      <c r="N214">
        <v>29</v>
      </c>
      <c r="O214" s="60" t="s">
        <v>1980</v>
      </c>
      <c r="P214" t="s">
        <v>750</v>
      </c>
      <c r="Q214" t="s">
        <v>2396</v>
      </c>
    </row>
    <row r="215" spans="1:17" x14ac:dyDescent="0.25">
      <c r="A215" t="s">
        <v>19</v>
      </c>
      <c r="B215">
        <v>140</v>
      </c>
      <c r="C215">
        <v>127.65</v>
      </c>
      <c r="D215">
        <v>1.8</v>
      </c>
      <c r="E215">
        <v>140</v>
      </c>
      <c r="F215">
        <v>129</v>
      </c>
      <c r="G215">
        <v>1.8</v>
      </c>
      <c r="H215">
        <v>1.2</v>
      </c>
      <c r="I215">
        <v>0.9</v>
      </c>
      <c r="J215">
        <v>0.60616596121595478</v>
      </c>
      <c r="K215">
        <v>1500</v>
      </c>
      <c r="L215">
        <v>0</v>
      </c>
      <c r="N215">
        <v>29</v>
      </c>
      <c r="O215" s="60" t="s">
        <v>1981</v>
      </c>
      <c r="P215" t="s">
        <v>751</v>
      </c>
      <c r="Q215" t="s">
        <v>1964</v>
      </c>
    </row>
    <row r="216" spans="1:17" x14ac:dyDescent="0.25">
      <c r="A216" t="s">
        <v>19</v>
      </c>
      <c r="B216">
        <v>140</v>
      </c>
      <c r="C216">
        <v>129</v>
      </c>
      <c r="D216">
        <v>1.8</v>
      </c>
      <c r="E216">
        <v>15</v>
      </c>
      <c r="F216">
        <v>129</v>
      </c>
      <c r="G216">
        <v>1.8</v>
      </c>
      <c r="H216">
        <v>1.2</v>
      </c>
      <c r="I216">
        <v>0.9</v>
      </c>
      <c r="J216">
        <v>56.126477890366417</v>
      </c>
      <c r="K216">
        <v>1500</v>
      </c>
      <c r="L216">
        <v>0</v>
      </c>
      <c r="N216">
        <v>29</v>
      </c>
      <c r="O216" s="60" t="s">
        <v>1982</v>
      </c>
      <c r="P216" t="s">
        <v>752</v>
      </c>
      <c r="Q216" t="s">
        <v>2397</v>
      </c>
    </row>
    <row r="217" spans="1:17" x14ac:dyDescent="0.25">
      <c r="A217" t="s">
        <v>49</v>
      </c>
      <c r="B217" t="s">
        <v>811</v>
      </c>
      <c r="N217">
        <v>29</v>
      </c>
      <c r="O217" s="60" t="s">
        <v>888</v>
      </c>
      <c r="P217" t="s">
        <v>749</v>
      </c>
      <c r="Q217" t="s">
        <v>811</v>
      </c>
    </row>
    <row r="218" spans="1:17" x14ac:dyDescent="0.25">
      <c r="A218" t="s">
        <v>49</v>
      </c>
      <c r="B218" t="s">
        <v>203</v>
      </c>
      <c r="C218">
        <v>1</v>
      </c>
      <c r="N218">
        <v>29</v>
      </c>
      <c r="O218" s="60" t="s">
        <v>889</v>
      </c>
      <c r="P218" t="s">
        <v>754</v>
      </c>
      <c r="Q218" t="s">
        <v>468</v>
      </c>
    </row>
    <row r="219" spans="1:17" x14ac:dyDescent="0.25">
      <c r="A219" t="s">
        <v>49</v>
      </c>
      <c r="B219" t="s">
        <v>634</v>
      </c>
      <c r="N219">
        <v>29</v>
      </c>
      <c r="O219" s="60" t="s">
        <v>890</v>
      </c>
      <c r="P219" t="s">
        <v>758</v>
      </c>
      <c r="Q219" t="s">
        <v>634</v>
      </c>
    </row>
    <row r="220" spans="1:17" x14ac:dyDescent="0.25">
      <c r="A220" t="s">
        <v>23</v>
      </c>
      <c r="B220">
        <v>15</v>
      </c>
      <c r="C220">
        <v>129</v>
      </c>
      <c r="D220">
        <v>1.8</v>
      </c>
      <c r="E220">
        <v>141.35</v>
      </c>
      <c r="F220">
        <v>76.349999999999994</v>
      </c>
      <c r="G220">
        <v>1.8001</v>
      </c>
      <c r="H220">
        <v>0</v>
      </c>
      <c r="I220">
        <v>0</v>
      </c>
      <c r="K220">
        <v>48000</v>
      </c>
      <c r="N220">
        <v>0</v>
      </c>
      <c r="O220" s="60">
        <v>0</v>
      </c>
      <c r="P220" t="s">
        <v>661</v>
      </c>
      <c r="Q220" t="s">
        <v>2398</v>
      </c>
    </row>
    <row r="221" spans="1:17" x14ac:dyDescent="0.25">
      <c r="A221" t="s">
        <v>19</v>
      </c>
      <c r="B221">
        <v>141.35</v>
      </c>
      <c r="C221">
        <v>76.349999999999994</v>
      </c>
      <c r="D221">
        <v>1.8001</v>
      </c>
      <c r="E221">
        <v>16.349999999999994</v>
      </c>
      <c r="F221">
        <v>76.349999999999994</v>
      </c>
      <c r="G221">
        <v>1.8001</v>
      </c>
      <c r="H221">
        <v>1.2</v>
      </c>
      <c r="I221">
        <v>0.9</v>
      </c>
      <c r="J221">
        <v>56.126477890366417</v>
      </c>
      <c r="K221">
        <v>1500</v>
      </c>
      <c r="L221">
        <v>0</v>
      </c>
      <c r="N221">
        <v>29</v>
      </c>
      <c r="O221" s="60" t="s">
        <v>1983</v>
      </c>
      <c r="P221" t="s">
        <v>1984</v>
      </c>
      <c r="Q221" t="s">
        <v>2393</v>
      </c>
    </row>
    <row r="222" spans="1:17" x14ac:dyDescent="0.25">
      <c r="A222" t="s">
        <v>19</v>
      </c>
      <c r="B222">
        <v>16.349999999999994</v>
      </c>
      <c r="C222">
        <v>76.349999999999994</v>
      </c>
      <c r="D222">
        <v>1.8001</v>
      </c>
      <c r="E222">
        <v>16.349999999999994</v>
      </c>
      <c r="F222">
        <v>77.699999999999989</v>
      </c>
      <c r="G222">
        <v>1.8001</v>
      </c>
      <c r="H222">
        <v>1.2</v>
      </c>
      <c r="I222">
        <v>0.9</v>
      </c>
      <c r="J222">
        <v>0.60616596121595478</v>
      </c>
      <c r="K222">
        <v>1500</v>
      </c>
      <c r="L222">
        <v>0</v>
      </c>
      <c r="N222">
        <v>29</v>
      </c>
      <c r="O222" s="60" t="s">
        <v>1985</v>
      </c>
      <c r="P222" t="s">
        <v>1986</v>
      </c>
      <c r="Q222" t="s">
        <v>876</v>
      </c>
    </row>
    <row r="223" spans="1:17" x14ac:dyDescent="0.25">
      <c r="A223" t="s">
        <v>19</v>
      </c>
      <c r="B223">
        <v>16.349999999999994</v>
      </c>
      <c r="C223">
        <v>77.699999999999989</v>
      </c>
      <c r="D223">
        <v>1.8001</v>
      </c>
      <c r="E223">
        <v>141.35</v>
      </c>
      <c r="F223">
        <v>77.699999999999989</v>
      </c>
      <c r="G223">
        <v>1.8001</v>
      </c>
      <c r="H223">
        <v>1.2</v>
      </c>
      <c r="I223">
        <v>0.9</v>
      </c>
      <c r="J223">
        <v>56.126477890366417</v>
      </c>
      <c r="K223">
        <v>1500</v>
      </c>
      <c r="L223">
        <v>0</v>
      </c>
      <c r="N223">
        <v>29</v>
      </c>
      <c r="O223" s="60" t="s">
        <v>1987</v>
      </c>
      <c r="P223" t="s">
        <v>1988</v>
      </c>
      <c r="Q223" t="s">
        <v>2394</v>
      </c>
    </row>
    <row r="224" spans="1:17" x14ac:dyDescent="0.25">
      <c r="A224" t="s">
        <v>19</v>
      </c>
      <c r="B224">
        <v>141.35</v>
      </c>
      <c r="C224">
        <v>77.699999999999989</v>
      </c>
      <c r="D224">
        <v>1.8001</v>
      </c>
      <c r="E224">
        <v>141.35</v>
      </c>
      <c r="F224">
        <v>81.749999999999986</v>
      </c>
      <c r="G224">
        <v>1.8001</v>
      </c>
      <c r="H224">
        <v>1.2</v>
      </c>
      <c r="I224">
        <v>0.9</v>
      </c>
      <c r="J224">
        <v>1.8184978836478705</v>
      </c>
      <c r="K224">
        <v>1500</v>
      </c>
      <c r="L224">
        <v>0</v>
      </c>
      <c r="N224">
        <v>29</v>
      </c>
      <c r="O224" s="60" t="s">
        <v>1989</v>
      </c>
      <c r="P224" t="s">
        <v>1990</v>
      </c>
      <c r="Q224" t="s">
        <v>877</v>
      </c>
    </row>
    <row r="225" spans="1:17" x14ac:dyDescent="0.25">
      <c r="A225" t="s">
        <v>19</v>
      </c>
      <c r="B225">
        <v>141.35</v>
      </c>
      <c r="C225">
        <v>81.75</v>
      </c>
      <c r="D225">
        <v>1.8001</v>
      </c>
      <c r="E225">
        <v>16.349999999999994</v>
      </c>
      <c r="F225">
        <v>81.75</v>
      </c>
      <c r="G225">
        <v>1.8001</v>
      </c>
      <c r="H225">
        <v>1.2</v>
      </c>
      <c r="I225">
        <v>0.9</v>
      </c>
      <c r="J225">
        <v>56.126477890366417</v>
      </c>
      <c r="K225">
        <v>1500</v>
      </c>
      <c r="L225">
        <v>0</v>
      </c>
      <c r="N225">
        <v>29</v>
      </c>
      <c r="O225" s="60" t="s">
        <v>1100</v>
      </c>
      <c r="P225" t="s">
        <v>824</v>
      </c>
      <c r="Q225" t="s">
        <v>2395</v>
      </c>
    </row>
    <row r="226" spans="1:17" x14ac:dyDescent="0.25">
      <c r="A226" t="s">
        <v>19</v>
      </c>
      <c r="B226">
        <v>16.349999999999994</v>
      </c>
      <c r="C226">
        <v>81.75</v>
      </c>
      <c r="D226">
        <v>1.8001</v>
      </c>
      <c r="E226">
        <v>16.349999999999994</v>
      </c>
      <c r="F226">
        <v>83.1</v>
      </c>
      <c r="G226">
        <v>1.8001</v>
      </c>
      <c r="H226">
        <v>1.2</v>
      </c>
      <c r="I226">
        <v>0.9</v>
      </c>
      <c r="J226">
        <v>0.60616596121595478</v>
      </c>
      <c r="K226">
        <v>1500</v>
      </c>
      <c r="L226">
        <v>0</v>
      </c>
      <c r="N226">
        <v>29</v>
      </c>
      <c r="O226" s="60" t="s">
        <v>1101</v>
      </c>
      <c r="P226" t="s">
        <v>825</v>
      </c>
      <c r="Q226" t="s">
        <v>1024</v>
      </c>
    </row>
    <row r="227" spans="1:17" x14ac:dyDescent="0.25">
      <c r="A227" t="s">
        <v>19</v>
      </c>
      <c r="B227">
        <v>16.349999999999994</v>
      </c>
      <c r="C227">
        <v>83.1</v>
      </c>
      <c r="D227">
        <v>1.8001</v>
      </c>
      <c r="E227">
        <v>141.35</v>
      </c>
      <c r="F227">
        <v>83.1</v>
      </c>
      <c r="G227">
        <v>1.8001</v>
      </c>
      <c r="H227">
        <v>1.2</v>
      </c>
      <c r="I227">
        <v>0.9</v>
      </c>
      <c r="J227">
        <v>56.126477890366417</v>
      </c>
      <c r="K227">
        <v>1500</v>
      </c>
      <c r="L227">
        <v>0</v>
      </c>
      <c r="N227">
        <v>29</v>
      </c>
      <c r="O227" s="60" t="s">
        <v>1102</v>
      </c>
      <c r="P227" t="s">
        <v>755</v>
      </c>
      <c r="Q227" t="s">
        <v>2394</v>
      </c>
    </row>
    <row r="228" spans="1:17" x14ac:dyDescent="0.25">
      <c r="A228" t="s">
        <v>19</v>
      </c>
      <c r="B228">
        <v>141.35</v>
      </c>
      <c r="C228">
        <v>83.1</v>
      </c>
      <c r="D228">
        <v>1.8001</v>
      </c>
      <c r="E228">
        <v>141.35</v>
      </c>
      <c r="F228">
        <v>87.149999999999991</v>
      </c>
      <c r="G228">
        <v>1.8001</v>
      </c>
      <c r="H228">
        <v>1.2</v>
      </c>
      <c r="I228">
        <v>0.9</v>
      </c>
      <c r="J228">
        <v>1.8184978836478705</v>
      </c>
      <c r="K228">
        <v>1500</v>
      </c>
      <c r="L228">
        <v>0</v>
      </c>
      <c r="N228">
        <v>29</v>
      </c>
      <c r="O228" s="60" t="s">
        <v>1103</v>
      </c>
      <c r="P228" t="s">
        <v>756</v>
      </c>
      <c r="Q228" t="s">
        <v>1025</v>
      </c>
    </row>
    <row r="229" spans="1:17" x14ac:dyDescent="0.25">
      <c r="A229" t="s">
        <v>19</v>
      </c>
      <c r="B229">
        <v>141.35</v>
      </c>
      <c r="C229">
        <v>87.149999999999991</v>
      </c>
      <c r="D229">
        <v>1.8001</v>
      </c>
      <c r="E229">
        <v>16.349999999999994</v>
      </c>
      <c r="F229">
        <v>87.149999999999991</v>
      </c>
      <c r="G229">
        <v>1.8001</v>
      </c>
      <c r="H229">
        <v>1.2</v>
      </c>
      <c r="I229">
        <v>0.9</v>
      </c>
      <c r="J229">
        <v>56.126477890366417</v>
      </c>
      <c r="K229">
        <v>1500</v>
      </c>
      <c r="L229">
        <v>0</v>
      </c>
      <c r="N229">
        <v>29</v>
      </c>
      <c r="O229" s="60" t="s">
        <v>1104</v>
      </c>
      <c r="P229" t="s">
        <v>824</v>
      </c>
      <c r="Q229" t="s">
        <v>2395</v>
      </c>
    </row>
    <row r="230" spans="1:17" x14ac:dyDescent="0.25">
      <c r="A230" t="s">
        <v>19</v>
      </c>
      <c r="B230">
        <v>16.349999999999994</v>
      </c>
      <c r="C230">
        <v>87.149999999999991</v>
      </c>
      <c r="D230">
        <v>1.8001</v>
      </c>
      <c r="E230">
        <v>16.349999999999994</v>
      </c>
      <c r="F230">
        <v>88.499999999999986</v>
      </c>
      <c r="G230">
        <v>1.8001</v>
      </c>
      <c r="H230">
        <v>1.2</v>
      </c>
      <c r="I230">
        <v>0.9</v>
      </c>
      <c r="J230">
        <v>0.60616596121595478</v>
      </c>
      <c r="K230">
        <v>1500</v>
      </c>
      <c r="L230">
        <v>0</v>
      </c>
      <c r="N230">
        <v>29</v>
      </c>
      <c r="O230" s="60" t="s">
        <v>1105</v>
      </c>
      <c r="P230" t="s">
        <v>825</v>
      </c>
      <c r="Q230" t="s">
        <v>1026</v>
      </c>
    </row>
    <row r="231" spans="1:17" x14ac:dyDescent="0.25">
      <c r="A231" t="s">
        <v>19</v>
      </c>
      <c r="B231">
        <v>16.349999999999994</v>
      </c>
      <c r="C231">
        <v>88.499999999999986</v>
      </c>
      <c r="D231">
        <v>1.8001</v>
      </c>
      <c r="E231">
        <v>141.35</v>
      </c>
      <c r="F231">
        <v>88.499999999999986</v>
      </c>
      <c r="G231">
        <v>1.8001</v>
      </c>
      <c r="H231">
        <v>1.2</v>
      </c>
      <c r="I231">
        <v>0.9</v>
      </c>
      <c r="J231">
        <v>56.126477890366417</v>
      </c>
      <c r="K231">
        <v>1500</v>
      </c>
      <c r="L231">
        <v>0</v>
      </c>
      <c r="N231">
        <v>29</v>
      </c>
      <c r="O231" s="60" t="s">
        <v>1106</v>
      </c>
      <c r="P231" t="s">
        <v>755</v>
      </c>
      <c r="Q231" t="s">
        <v>2394</v>
      </c>
    </row>
    <row r="232" spans="1:17" x14ac:dyDescent="0.25">
      <c r="A232" t="s">
        <v>19</v>
      </c>
      <c r="B232">
        <v>141.35</v>
      </c>
      <c r="C232">
        <v>88.499999999999986</v>
      </c>
      <c r="D232">
        <v>1.8001</v>
      </c>
      <c r="E232">
        <v>141.35</v>
      </c>
      <c r="F232">
        <v>92.549999999999983</v>
      </c>
      <c r="G232">
        <v>1.8001</v>
      </c>
      <c r="H232">
        <v>1.2</v>
      </c>
      <c r="I232">
        <v>0.9</v>
      </c>
      <c r="J232">
        <v>1.8184978836478705</v>
      </c>
      <c r="K232">
        <v>1500</v>
      </c>
      <c r="L232">
        <v>0</v>
      </c>
      <c r="N232">
        <v>29</v>
      </c>
      <c r="O232" s="60" t="s">
        <v>1107</v>
      </c>
      <c r="P232" t="s">
        <v>756</v>
      </c>
      <c r="Q232" t="s">
        <v>1027</v>
      </c>
    </row>
    <row r="233" spans="1:17" x14ac:dyDescent="0.25">
      <c r="A233" t="s">
        <v>19</v>
      </c>
      <c r="B233">
        <v>141.35</v>
      </c>
      <c r="C233">
        <v>92.55</v>
      </c>
      <c r="D233">
        <v>1.8001</v>
      </c>
      <c r="E233">
        <v>16.349999999999994</v>
      </c>
      <c r="F233">
        <v>92.55</v>
      </c>
      <c r="G233">
        <v>1.8001</v>
      </c>
      <c r="H233">
        <v>1.2</v>
      </c>
      <c r="I233">
        <v>0.9</v>
      </c>
      <c r="J233">
        <v>56.126477890366417</v>
      </c>
      <c r="K233">
        <v>1500</v>
      </c>
      <c r="L233">
        <v>0</v>
      </c>
      <c r="N233">
        <v>29</v>
      </c>
      <c r="O233" s="60" t="s">
        <v>1108</v>
      </c>
      <c r="P233" t="s">
        <v>824</v>
      </c>
      <c r="Q233" t="s">
        <v>2395</v>
      </c>
    </row>
    <row r="234" spans="1:17" x14ac:dyDescent="0.25">
      <c r="A234" t="s">
        <v>19</v>
      </c>
      <c r="B234">
        <v>16.349999999999994</v>
      </c>
      <c r="C234">
        <v>92.55</v>
      </c>
      <c r="D234">
        <v>1.8001</v>
      </c>
      <c r="E234">
        <v>16.349999999999994</v>
      </c>
      <c r="F234">
        <v>93.899999999999991</v>
      </c>
      <c r="G234">
        <v>1.8001</v>
      </c>
      <c r="H234">
        <v>1.2</v>
      </c>
      <c r="I234">
        <v>0.9</v>
      </c>
      <c r="J234">
        <v>0.60616596121595478</v>
      </c>
      <c r="K234">
        <v>1500</v>
      </c>
      <c r="L234">
        <v>0</v>
      </c>
      <c r="N234">
        <v>29</v>
      </c>
      <c r="O234" s="60" t="s">
        <v>1109</v>
      </c>
      <c r="P234" t="s">
        <v>825</v>
      </c>
      <c r="Q234" t="s">
        <v>1028</v>
      </c>
    </row>
    <row r="235" spans="1:17" x14ac:dyDescent="0.25">
      <c r="A235" t="s">
        <v>19</v>
      </c>
      <c r="B235">
        <v>16.349999999999994</v>
      </c>
      <c r="C235">
        <v>93.899999999999991</v>
      </c>
      <c r="D235">
        <v>1.8001</v>
      </c>
      <c r="E235">
        <v>141.35</v>
      </c>
      <c r="F235">
        <v>93.899999999999991</v>
      </c>
      <c r="G235">
        <v>1.8001</v>
      </c>
      <c r="H235">
        <v>1.2</v>
      </c>
      <c r="I235">
        <v>0.9</v>
      </c>
      <c r="J235">
        <v>56.126477890366417</v>
      </c>
      <c r="K235">
        <v>1500</v>
      </c>
      <c r="L235">
        <v>0</v>
      </c>
      <c r="N235">
        <v>29</v>
      </c>
      <c r="O235" s="60" t="s">
        <v>1110</v>
      </c>
      <c r="P235" t="s">
        <v>755</v>
      </c>
      <c r="Q235" t="s">
        <v>2394</v>
      </c>
    </row>
    <row r="236" spans="1:17" x14ac:dyDescent="0.25">
      <c r="A236" t="s">
        <v>19</v>
      </c>
      <c r="B236">
        <v>141.35</v>
      </c>
      <c r="C236">
        <v>93.899999999999991</v>
      </c>
      <c r="D236">
        <v>1.8001</v>
      </c>
      <c r="E236">
        <v>141.35</v>
      </c>
      <c r="F236">
        <v>97.949999999999989</v>
      </c>
      <c r="G236">
        <v>1.8001</v>
      </c>
      <c r="H236">
        <v>1.2</v>
      </c>
      <c r="I236">
        <v>0.9</v>
      </c>
      <c r="J236">
        <v>1.8184978836478705</v>
      </c>
      <c r="K236">
        <v>1500</v>
      </c>
      <c r="L236">
        <v>0</v>
      </c>
      <c r="N236">
        <v>29</v>
      </c>
      <c r="O236" s="60" t="s">
        <v>1111</v>
      </c>
      <c r="P236" t="s">
        <v>756</v>
      </c>
      <c r="Q236" t="s">
        <v>1029</v>
      </c>
    </row>
    <row r="237" spans="1:17" x14ac:dyDescent="0.25">
      <c r="A237" t="s">
        <v>19</v>
      </c>
      <c r="B237">
        <v>141.35</v>
      </c>
      <c r="C237">
        <v>97.949999999999989</v>
      </c>
      <c r="D237">
        <v>1.8001</v>
      </c>
      <c r="E237">
        <v>16.349999999999994</v>
      </c>
      <c r="F237">
        <v>97.949999999999989</v>
      </c>
      <c r="G237">
        <v>1.8001</v>
      </c>
      <c r="H237">
        <v>1.2</v>
      </c>
      <c r="I237">
        <v>0.9</v>
      </c>
      <c r="J237">
        <v>56.126477890366417</v>
      </c>
      <c r="K237">
        <v>1500</v>
      </c>
      <c r="L237">
        <v>0</v>
      </c>
      <c r="N237">
        <v>29</v>
      </c>
      <c r="O237" s="60" t="s">
        <v>1112</v>
      </c>
      <c r="P237" t="s">
        <v>824</v>
      </c>
      <c r="Q237" t="s">
        <v>2395</v>
      </c>
    </row>
    <row r="238" spans="1:17" x14ac:dyDescent="0.25">
      <c r="A238" t="s">
        <v>19</v>
      </c>
      <c r="B238">
        <v>16.349999999999994</v>
      </c>
      <c r="C238">
        <v>97.949999999999989</v>
      </c>
      <c r="D238">
        <v>1.8001</v>
      </c>
      <c r="E238">
        <v>16.349999999999994</v>
      </c>
      <c r="F238">
        <v>99.299999999999983</v>
      </c>
      <c r="G238">
        <v>1.8001</v>
      </c>
      <c r="H238">
        <v>1.2</v>
      </c>
      <c r="I238">
        <v>0.9</v>
      </c>
      <c r="J238">
        <v>0.60616596121595478</v>
      </c>
      <c r="K238">
        <v>1500</v>
      </c>
      <c r="L238">
        <v>0</v>
      </c>
      <c r="N238">
        <v>29</v>
      </c>
      <c r="O238" s="60" t="s">
        <v>1113</v>
      </c>
      <c r="P238" t="s">
        <v>825</v>
      </c>
      <c r="Q238" t="s">
        <v>1030</v>
      </c>
    </row>
    <row r="239" spans="1:17" x14ac:dyDescent="0.25">
      <c r="A239" t="s">
        <v>19</v>
      </c>
      <c r="B239">
        <v>16.349999999999994</v>
      </c>
      <c r="C239">
        <v>99.299999999999983</v>
      </c>
      <c r="D239">
        <v>1.8001</v>
      </c>
      <c r="E239">
        <v>141.35</v>
      </c>
      <c r="F239">
        <v>99.299999999999983</v>
      </c>
      <c r="G239">
        <v>1.8001</v>
      </c>
      <c r="H239">
        <v>1.2</v>
      </c>
      <c r="I239">
        <v>0.9</v>
      </c>
      <c r="J239">
        <v>56.126477890366417</v>
      </c>
      <c r="K239">
        <v>1500</v>
      </c>
      <c r="L239">
        <v>0</v>
      </c>
      <c r="N239">
        <v>29</v>
      </c>
      <c r="O239" s="60" t="s">
        <v>1114</v>
      </c>
      <c r="P239" t="s">
        <v>755</v>
      </c>
      <c r="Q239" t="s">
        <v>2394</v>
      </c>
    </row>
    <row r="240" spans="1:17" x14ac:dyDescent="0.25">
      <c r="A240" t="s">
        <v>19</v>
      </c>
      <c r="B240">
        <v>141.35</v>
      </c>
      <c r="C240">
        <v>99.299999999999983</v>
      </c>
      <c r="D240">
        <v>1.8001</v>
      </c>
      <c r="E240">
        <v>141.35</v>
      </c>
      <c r="F240">
        <v>103.35</v>
      </c>
      <c r="G240">
        <v>1.8001</v>
      </c>
      <c r="H240">
        <v>1.2</v>
      </c>
      <c r="I240">
        <v>0.9</v>
      </c>
      <c r="J240">
        <v>1.8184978836478705</v>
      </c>
      <c r="K240">
        <v>1500</v>
      </c>
      <c r="L240">
        <v>0</v>
      </c>
      <c r="N240">
        <v>29</v>
      </c>
      <c r="O240" s="60" t="s">
        <v>1115</v>
      </c>
      <c r="P240" t="s">
        <v>756</v>
      </c>
      <c r="Q240" t="s">
        <v>1031</v>
      </c>
    </row>
    <row r="241" spans="1:17" x14ac:dyDescent="0.25">
      <c r="A241" t="s">
        <v>19</v>
      </c>
      <c r="B241">
        <v>141.35</v>
      </c>
      <c r="C241">
        <v>103.35</v>
      </c>
      <c r="D241">
        <v>1.8001</v>
      </c>
      <c r="E241">
        <v>16.349999999999994</v>
      </c>
      <c r="F241">
        <v>103.35</v>
      </c>
      <c r="G241">
        <v>1.8001</v>
      </c>
      <c r="H241">
        <v>1.2</v>
      </c>
      <c r="I241">
        <v>0.9</v>
      </c>
      <c r="J241">
        <v>56.126477890366417</v>
      </c>
      <c r="K241">
        <v>1500</v>
      </c>
      <c r="L241">
        <v>0</v>
      </c>
      <c r="N241">
        <v>29</v>
      </c>
      <c r="O241" s="60" t="s">
        <v>1116</v>
      </c>
      <c r="P241" t="s">
        <v>824</v>
      </c>
      <c r="Q241" t="s">
        <v>2395</v>
      </c>
    </row>
    <row r="242" spans="1:17" x14ac:dyDescent="0.25">
      <c r="A242" t="s">
        <v>19</v>
      </c>
      <c r="B242">
        <v>16.349999999999994</v>
      </c>
      <c r="C242">
        <v>103.35</v>
      </c>
      <c r="D242">
        <v>1.8001</v>
      </c>
      <c r="E242">
        <v>16.349999999999994</v>
      </c>
      <c r="F242">
        <v>104.69999999999999</v>
      </c>
      <c r="G242">
        <v>1.8001</v>
      </c>
      <c r="H242">
        <v>1.2</v>
      </c>
      <c r="I242">
        <v>0.9</v>
      </c>
      <c r="J242">
        <v>0.60616596121595478</v>
      </c>
      <c r="K242">
        <v>1500</v>
      </c>
      <c r="L242">
        <v>0</v>
      </c>
      <c r="N242">
        <v>29</v>
      </c>
      <c r="O242" s="60" t="s">
        <v>1117</v>
      </c>
      <c r="P242" t="s">
        <v>825</v>
      </c>
      <c r="Q242" t="s">
        <v>1032</v>
      </c>
    </row>
    <row r="243" spans="1:17" x14ac:dyDescent="0.25">
      <c r="A243" t="s">
        <v>19</v>
      </c>
      <c r="B243">
        <v>16.349999999999994</v>
      </c>
      <c r="C243">
        <v>104.69999999999999</v>
      </c>
      <c r="D243">
        <v>1.8001</v>
      </c>
      <c r="E243">
        <v>141.35</v>
      </c>
      <c r="F243">
        <v>104.69999999999999</v>
      </c>
      <c r="G243">
        <v>1.8001</v>
      </c>
      <c r="H243">
        <v>1.2</v>
      </c>
      <c r="I243">
        <v>0.9</v>
      </c>
      <c r="J243">
        <v>56.126477890366417</v>
      </c>
      <c r="K243">
        <v>1500</v>
      </c>
      <c r="L243">
        <v>0</v>
      </c>
      <c r="N243">
        <v>29</v>
      </c>
      <c r="O243" s="60" t="s">
        <v>1118</v>
      </c>
      <c r="P243" t="s">
        <v>755</v>
      </c>
      <c r="Q243" t="s">
        <v>2394</v>
      </c>
    </row>
    <row r="244" spans="1:17" x14ac:dyDescent="0.25">
      <c r="A244" t="s">
        <v>19</v>
      </c>
      <c r="B244">
        <v>141.35</v>
      </c>
      <c r="C244">
        <v>104.69999999999999</v>
      </c>
      <c r="D244">
        <v>1.8001</v>
      </c>
      <c r="E244">
        <v>141.35</v>
      </c>
      <c r="F244">
        <v>108.74999999999999</v>
      </c>
      <c r="G244">
        <v>1.8001</v>
      </c>
      <c r="H244">
        <v>1.2</v>
      </c>
      <c r="I244">
        <v>0.9</v>
      </c>
      <c r="J244">
        <v>1.8184978836478705</v>
      </c>
      <c r="K244">
        <v>1500</v>
      </c>
      <c r="L244">
        <v>0</v>
      </c>
      <c r="N244">
        <v>29</v>
      </c>
      <c r="O244" s="60" t="s">
        <v>1119</v>
      </c>
      <c r="P244" t="s">
        <v>756</v>
      </c>
      <c r="Q244" t="s">
        <v>1033</v>
      </c>
    </row>
    <row r="245" spans="1:17" x14ac:dyDescent="0.25">
      <c r="A245" t="s">
        <v>19</v>
      </c>
      <c r="B245">
        <v>141.35</v>
      </c>
      <c r="C245">
        <v>108.75</v>
      </c>
      <c r="D245">
        <v>1.8001</v>
      </c>
      <c r="E245">
        <v>16.349999999999994</v>
      </c>
      <c r="F245">
        <v>108.75</v>
      </c>
      <c r="G245">
        <v>1.8001</v>
      </c>
      <c r="H245">
        <v>1.2</v>
      </c>
      <c r="I245">
        <v>0.9</v>
      </c>
      <c r="J245">
        <v>56.126477890366417</v>
      </c>
      <c r="K245">
        <v>1500</v>
      </c>
      <c r="L245">
        <v>0</v>
      </c>
      <c r="N245">
        <v>29</v>
      </c>
      <c r="O245" s="60" t="s">
        <v>1120</v>
      </c>
      <c r="P245" t="s">
        <v>824</v>
      </c>
      <c r="Q245" t="s">
        <v>2395</v>
      </c>
    </row>
    <row r="246" spans="1:17" x14ac:dyDescent="0.25">
      <c r="A246" t="s">
        <v>19</v>
      </c>
      <c r="B246">
        <v>16.349999999999994</v>
      </c>
      <c r="C246">
        <v>108.75</v>
      </c>
      <c r="D246">
        <v>1.8001</v>
      </c>
      <c r="E246">
        <v>16.349999999999994</v>
      </c>
      <c r="F246">
        <v>110.1</v>
      </c>
      <c r="G246">
        <v>1.8001</v>
      </c>
      <c r="H246">
        <v>1.2</v>
      </c>
      <c r="I246">
        <v>0.9</v>
      </c>
      <c r="J246">
        <v>0.60616596121595478</v>
      </c>
      <c r="K246">
        <v>1500</v>
      </c>
      <c r="L246">
        <v>0</v>
      </c>
      <c r="N246">
        <v>29</v>
      </c>
      <c r="O246" s="60" t="s">
        <v>1121</v>
      </c>
      <c r="P246" t="s">
        <v>825</v>
      </c>
      <c r="Q246" t="s">
        <v>1034</v>
      </c>
    </row>
    <row r="247" spans="1:17" x14ac:dyDescent="0.25">
      <c r="A247" t="s">
        <v>19</v>
      </c>
      <c r="B247">
        <v>16.349999999999994</v>
      </c>
      <c r="C247">
        <v>110.1</v>
      </c>
      <c r="D247">
        <v>1.8001</v>
      </c>
      <c r="E247">
        <v>141.35</v>
      </c>
      <c r="F247">
        <v>110.1</v>
      </c>
      <c r="G247">
        <v>1.8001</v>
      </c>
      <c r="H247">
        <v>1.2</v>
      </c>
      <c r="I247">
        <v>0.9</v>
      </c>
      <c r="J247">
        <v>56.126477890366417</v>
      </c>
      <c r="K247">
        <v>1500</v>
      </c>
      <c r="L247">
        <v>0</v>
      </c>
      <c r="N247">
        <v>29</v>
      </c>
      <c r="O247" s="60" t="s">
        <v>1122</v>
      </c>
      <c r="P247" t="s">
        <v>755</v>
      </c>
      <c r="Q247" t="s">
        <v>2394</v>
      </c>
    </row>
    <row r="248" spans="1:17" x14ac:dyDescent="0.25">
      <c r="A248" t="s">
        <v>19</v>
      </c>
      <c r="B248">
        <v>141.35</v>
      </c>
      <c r="C248">
        <v>110.1</v>
      </c>
      <c r="D248">
        <v>1.8001</v>
      </c>
      <c r="E248">
        <v>141.35</v>
      </c>
      <c r="F248">
        <v>114.14999999999999</v>
      </c>
      <c r="G248">
        <v>1.8001</v>
      </c>
      <c r="H248">
        <v>1.2</v>
      </c>
      <c r="I248">
        <v>0.9</v>
      </c>
      <c r="J248">
        <v>1.8184978836478705</v>
      </c>
      <c r="K248">
        <v>1500</v>
      </c>
      <c r="L248">
        <v>0</v>
      </c>
      <c r="N248">
        <v>29</v>
      </c>
      <c r="O248" s="60" t="s">
        <v>1123</v>
      </c>
      <c r="P248" t="s">
        <v>756</v>
      </c>
      <c r="Q248" t="s">
        <v>1035</v>
      </c>
    </row>
    <row r="249" spans="1:17" x14ac:dyDescent="0.25">
      <c r="A249" t="s">
        <v>19</v>
      </c>
      <c r="B249">
        <v>141.35</v>
      </c>
      <c r="C249">
        <v>114.14999999999999</v>
      </c>
      <c r="D249">
        <v>1.8001</v>
      </c>
      <c r="E249">
        <v>16.349999999999994</v>
      </c>
      <c r="F249">
        <v>114.14999999999999</v>
      </c>
      <c r="G249">
        <v>1.8001</v>
      </c>
      <c r="H249">
        <v>1.2</v>
      </c>
      <c r="I249">
        <v>0.9</v>
      </c>
      <c r="J249">
        <v>56.126477890366417</v>
      </c>
      <c r="K249">
        <v>1500</v>
      </c>
      <c r="L249">
        <v>0</v>
      </c>
      <c r="N249">
        <v>29</v>
      </c>
      <c r="O249" s="60" t="s">
        <v>1124</v>
      </c>
      <c r="P249" t="s">
        <v>824</v>
      </c>
      <c r="Q249" t="s">
        <v>2395</v>
      </c>
    </row>
    <row r="250" spans="1:17" x14ac:dyDescent="0.25">
      <c r="A250" t="s">
        <v>19</v>
      </c>
      <c r="B250">
        <v>16.349999999999994</v>
      </c>
      <c r="C250">
        <v>114.14999999999999</v>
      </c>
      <c r="D250">
        <v>1.8001</v>
      </c>
      <c r="E250">
        <v>16.349999999999994</v>
      </c>
      <c r="F250">
        <v>115.49999999999999</v>
      </c>
      <c r="G250">
        <v>1.8001</v>
      </c>
      <c r="H250">
        <v>1.2</v>
      </c>
      <c r="I250">
        <v>0.9</v>
      </c>
      <c r="J250">
        <v>0.60616596121595478</v>
      </c>
      <c r="K250">
        <v>1500</v>
      </c>
      <c r="L250">
        <v>0</v>
      </c>
      <c r="N250">
        <v>29</v>
      </c>
      <c r="O250" s="60" t="s">
        <v>1125</v>
      </c>
      <c r="P250" t="s">
        <v>825</v>
      </c>
      <c r="Q250" t="s">
        <v>1036</v>
      </c>
    </row>
    <row r="251" spans="1:17" x14ac:dyDescent="0.25">
      <c r="A251" t="s">
        <v>19</v>
      </c>
      <c r="B251">
        <v>16.349999999999994</v>
      </c>
      <c r="C251">
        <v>115.49999999999999</v>
      </c>
      <c r="D251">
        <v>1.8001</v>
      </c>
      <c r="E251">
        <v>141.35</v>
      </c>
      <c r="F251">
        <v>115.49999999999999</v>
      </c>
      <c r="G251">
        <v>1.8001</v>
      </c>
      <c r="H251">
        <v>1.2</v>
      </c>
      <c r="I251">
        <v>0.9</v>
      </c>
      <c r="J251">
        <v>56.126477890366417</v>
      </c>
      <c r="K251">
        <v>1500</v>
      </c>
      <c r="L251">
        <v>0</v>
      </c>
      <c r="N251">
        <v>29</v>
      </c>
      <c r="O251" s="60" t="s">
        <v>1126</v>
      </c>
      <c r="P251" t="s">
        <v>755</v>
      </c>
      <c r="Q251" t="s">
        <v>2394</v>
      </c>
    </row>
    <row r="252" spans="1:17" x14ac:dyDescent="0.25">
      <c r="A252" t="s">
        <v>19</v>
      </c>
      <c r="B252">
        <v>141.35</v>
      </c>
      <c r="C252">
        <v>115.49999999999999</v>
      </c>
      <c r="D252">
        <v>1.8001</v>
      </c>
      <c r="E252">
        <v>141.35</v>
      </c>
      <c r="F252">
        <v>119.54999999999998</v>
      </c>
      <c r="G252">
        <v>1.8001</v>
      </c>
      <c r="H252">
        <v>1.2</v>
      </c>
      <c r="I252">
        <v>0.9</v>
      </c>
      <c r="J252">
        <v>1.8184978836478705</v>
      </c>
      <c r="K252">
        <v>1500</v>
      </c>
      <c r="L252">
        <v>0</v>
      </c>
      <c r="N252">
        <v>29</v>
      </c>
      <c r="O252" s="60" t="s">
        <v>1127</v>
      </c>
      <c r="P252" t="s">
        <v>756</v>
      </c>
      <c r="Q252" t="s">
        <v>1037</v>
      </c>
    </row>
    <row r="253" spans="1:17" x14ac:dyDescent="0.25">
      <c r="A253" t="s">
        <v>19</v>
      </c>
      <c r="B253">
        <v>141.35</v>
      </c>
      <c r="C253">
        <v>119.55</v>
      </c>
      <c r="D253">
        <v>1.8001</v>
      </c>
      <c r="E253">
        <v>16.349999999999994</v>
      </c>
      <c r="F253">
        <v>119.55</v>
      </c>
      <c r="G253">
        <v>1.8001</v>
      </c>
      <c r="H253">
        <v>1.2</v>
      </c>
      <c r="I253">
        <v>0.9</v>
      </c>
      <c r="J253">
        <v>56.126477890366417</v>
      </c>
      <c r="K253">
        <v>1500</v>
      </c>
      <c r="L253">
        <v>0</v>
      </c>
      <c r="N253">
        <v>29</v>
      </c>
      <c r="O253" s="60" t="s">
        <v>1991</v>
      </c>
      <c r="P253" t="s">
        <v>824</v>
      </c>
      <c r="Q253" t="s">
        <v>2395</v>
      </c>
    </row>
    <row r="254" spans="1:17" x14ac:dyDescent="0.25">
      <c r="A254" t="s">
        <v>19</v>
      </c>
      <c r="B254">
        <v>16.349999999999994</v>
      </c>
      <c r="C254">
        <v>119.55</v>
      </c>
      <c r="D254">
        <v>1.8001</v>
      </c>
      <c r="E254">
        <v>16.349999999999994</v>
      </c>
      <c r="F254">
        <v>120.89999999999999</v>
      </c>
      <c r="G254">
        <v>1.8001</v>
      </c>
      <c r="H254">
        <v>1.2</v>
      </c>
      <c r="I254">
        <v>0.9</v>
      </c>
      <c r="J254">
        <v>0.60616596121595478</v>
      </c>
      <c r="K254">
        <v>1500</v>
      </c>
      <c r="L254">
        <v>0</v>
      </c>
      <c r="N254">
        <v>29</v>
      </c>
      <c r="O254" s="60" t="s">
        <v>1992</v>
      </c>
      <c r="P254" t="s">
        <v>825</v>
      </c>
      <c r="Q254" t="s">
        <v>1935</v>
      </c>
    </row>
    <row r="255" spans="1:17" x14ac:dyDescent="0.25">
      <c r="A255" t="s">
        <v>19</v>
      </c>
      <c r="B255">
        <v>16.349999999999994</v>
      </c>
      <c r="C255">
        <v>120.89999999999999</v>
      </c>
      <c r="D255">
        <v>1.8001</v>
      </c>
      <c r="E255">
        <v>141.35</v>
      </c>
      <c r="F255">
        <v>120.89999999999999</v>
      </c>
      <c r="G255">
        <v>1.8001</v>
      </c>
      <c r="H255">
        <v>1.2</v>
      </c>
      <c r="I255">
        <v>0.9</v>
      </c>
      <c r="J255">
        <v>56.126477890366417</v>
      </c>
      <c r="K255">
        <v>1500</v>
      </c>
      <c r="L255">
        <v>0</v>
      </c>
      <c r="N255">
        <v>29</v>
      </c>
      <c r="O255" s="60" t="s">
        <v>1993</v>
      </c>
      <c r="P255" t="s">
        <v>755</v>
      </c>
      <c r="Q255" t="s">
        <v>2394</v>
      </c>
    </row>
    <row r="256" spans="1:17" x14ac:dyDescent="0.25">
      <c r="A256" t="s">
        <v>19</v>
      </c>
      <c r="B256">
        <v>141.35</v>
      </c>
      <c r="C256">
        <v>120.89999999999999</v>
      </c>
      <c r="D256">
        <v>1.8001</v>
      </c>
      <c r="E256">
        <v>141.35</v>
      </c>
      <c r="F256">
        <v>124.94999999999999</v>
      </c>
      <c r="G256">
        <v>1.8001</v>
      </c>
      <c r="H256">
        <v>1.2</v>
      </c>
      <c r="I256">
        <v>0.9</v>
      </c>
      <c r="J256">
        <v>1.8184978836478705</v>
      </c>
      <c r="K256">
        <v>1500</v>
      </c>
      <c r="L256">
        <v>0</v>
      </c>
      <c r="N256">
        <v>29</v>
      </c>
      <c r="O256" s="60" t="s">
        <v>1994</v>
      </c>
      <c r="P256" t="s">
        <v>756</v>
      </c>
      <c r="Q256" t="s">
        <v>1938</v>
      </c>
    </row>
    <row r="257" spans="1:17" x14ac:dyDescent="0.25">
      <c r="A257" t="s">
        <v>19</v>
      </c>
      <c r="B257">
        <v>141.35</v>
      </c>
      <c r="C257">
        <v>124.95</v>
      </c>
      <c r="D257">
        <v>1.8001</v>
      </c>
      <c r="E257">
        <v>16.349999999999994</v>
      </c>
      <c r="F257">
        <v>124.95</v>
      </c>
      <c r="G257">
        <v>1.8001</v>
      </c>
      <c r="H257">
        <v>1.2</v>
      </c>
      <c r="I257">
        <v>0.9</v>
      </c>
      <c r="J257">
        <v>56.126477890366417</v>
      </c>
      <c r="K257">
        <v>1500</v>
      </c>
      <c r="L257">
        <v>0</v>
      </c>
      <c r="N257">
        <v>29</v>
      </c>
      <c r="O257" s="60" t="s">
        <v>1995</v>
      </c>
      <c r="P257" t="s">
        <v>824</v>
      </c>
      <c r="Q257" t="s">
        <v>2395</v>
      </c>
    </row>
    <row r="258" spans="1:17" x14ac:dyDescent="0.25">
      <c r="A258" t="s">
        <v>19</v>
      </c>
      <c r="B258">
        <v>16.349999999999994</v>
      </c>
      <c r="C258">
        <v>124.95</v>
      </c>
      <c r="D258">
        <v>1.8001</v>
      </c>
      <c r="E258">
        <v>16.349999999999994</v>
      </c>
      <c r="F258">
        <v>126.3</v>
      </c>
      <c r="G258">
        <v>1.8001</v>
      </c>
      <c r="H258">
        <v>1.2</v>
      </c>
      <c r="I258">
        <v>0.9</v>
      </c>
      <c r="J258">
        <v>0.60616596121595478</v>
      </c>
      <c r="K258">
        <v>1500</v>
      </c>
      <c r="L258">
        <v>0</v>
      </c>
      <c r="N258">
        <v>29</v>
      </c>
      <c r="O258" s="60" t="s">
        <v>1996</v>
      </c>
      <c r="P258" t="s">
        <v>825</v>
      </c>
      <c r="Q258" t="s">
        <v>1941</v>
      </c>
    </row>
    <row r="259" spans="1:17" x14ac:dyDescent="0.25">
      <c r="A259" t="s">
        <v>19</v>
      </c>
      <c r="B259">
        <v>16.349999999999994</v>
      </c>
      <c r="C259">
        <v>126.3</v>
      </c>
      <c r="D259">
        <v>1.8001</v>
      </c>
      <c r="E259">
        <v>141.35</v>
      </c>
      <c r="F259">
        <v>126.3</v>
      </c>
      <c r="G259">
        <v>1.8001</v>
      </c>
      <c r="H259">
        <v>1.2</v>
      </c>
      <c r="I259">
        <v>0.9</v>
      </c>
      <c r="J259">
        <v>56.126477890366417</v>
      </c>
      <c r="K259">
        <v>1500</v>
      </c>
      <c r="L259">
        <v>0</v>
      </c>
      <c r="N259">
        <v>29</v>
      </c>
      <c r="O259" s="60" t="s">
        <v>1997</v>
      </c>
      <c r="P259" t="s">
        <v>755</v>
      </c>
      <c r="Q259" t="s">
        <v>2394</v>
      </c>
    </row>
    <row r="260" spans="1:17" x14ac:dyDescent="0.25">
      <c r="A260" t="s">
        <v>19</v>
      </c>
      <c r="B260">
        <v>141.35</v>
      </c>
      <c r="C260">
        <v>126.3</v>
      </c>
      <c r="D260">
        <v>1.8001</v>
      </c>
      <c r="E260">
        <v>141.35</v>
      </c>
      <c r="F260">
        <v>130.35</v>
      </c>
      <c r="G260">
        <v>1.8001</v>
      </c>
      <c r="H260">
        <v>1.2</v>
      </c>
      <c r="I260">
        <v>0.9</v>
      </c>
      <c r="J260">
        <v>1.8184978836478705</v>
      </c>
      <c r="K260">
        <v>1500</v>
      </c>
      <c r="L260">
        <v>0</v>
      </c>
      <c r="N260">
        <v>29</v>
      </c>
      <c r="O260" s="60" t="s">
        <v>1998</v>
      </c>
      <c r="P260" t="s">
        <v>756</v>
      </c>
      <c r="Q260" t="s">
        <v>1944</v>
      </c>
    </row>
    <row r="261" spans="1:17" x14ac:dyDescent="0.25">
      <c r="A261" t="s">
        <v>39</v>
      </c>
      <c r="B261">
        <v>-1.25</v>
      </c>
      <c r="C261">
        <v>2100</v>
      </c>
      <c r="N261">
        <v>29</v>
      </c>
      <c r="O261" s="60" t="s">
        <v>891</v>
      </c>
      <c r="P261" t="s">
        <v>753</v>
      </c>
      <c r="Q261" t="s">
        <v>845</v>
      </c>
    </row>
    <row r="262" spans="1:17" x14ac:dyDescent="0.25">
      <c r="A262" t="s">
        <v>660</v>
      </c>
      <c r="B262">
        <v>0.9</v>
      </c>
      <c r="C262">
        <v>10000</v>
      </c>
      <c r="N262">
        <v>29</v>
      </c>
      <c r="O262" s="60" t="s">
        <v>891</v>
      </c>
      <c r="P262" t="s">
        <v>753</v>
      </c>
      <c r="Q262" t="s">
        <v>832</v>
      </c>
    </row>
    <row r="263" spans="1:17" x14ac:dyDescent="0.25">
      <c r="A263" t="s">
        <v>23</v>
      </c>
      <c r="B263">
        <v>141.35</v>
      </c>
      <c r="C263">
        <v>130.35</v>
      </c>
      <c r="D263">
        <v>1.8001</v>
      </c>
      <c r="E263">
        <v>141.35</v>
      </c>
      <c r="F263">
        <v>76.349999999999994</v>
      </c>
      <c r="G263">
        <v>2.7000999999999999</v>
      </c>
      <c r="H263">
        <v>0</v>
      </c>
      <c r="I263">
        <v>0</v>
      </c>
      <c r="K263">
        <v>48000</v>
      </c>
      <c r="N263">
        <v>0</v>
      </c>
      <c r="O263" s="60">
        <v>0</v>
      </c>
      <c r="P263" t="s">
        <v>661</v>
      </c>
      <c r="Q263" t="s">
        <v>1999</v>
      </c>
    </row>
    <row r="264" spans="1:17" x14ac:dyDescent="0.25">
      <c r="A264" t="s">
        <v>19</v>
      </c>
      <c r="B264">
        <v>141.35</v>
      </c>
      <c r="C264">
        <v>76.349999999999994</v>
      </c>
      <c r="D264">
        <v>2.7000999999999999</v>
      </c>
      <c r="E264">
        <v>16.349999999999994</v>
      </c>
      <c r="F264">
        <v>76.349999999999994</v>
      </c>
      <c r="G264">
        <v>2.7000999999999999</v>
      </c>
      <c r="H264">
        <v>1.2</v>
      </c>
      <c r="I264">
        <v>0.9</v>
      </c>
      <c r="J264">
        <v>56.126477890366417</v>
      </c>
      <c r="K264">
        <v>1500</v>
      </c>
      <c r="L264">
        <v>0</v>
      </c>
      <c r="N264">
        <v>29</v>
      </c>
      <c r="O264" s="60" t="s">
        <v>2000</v>
      </c>
      <c r="P264" t="s">
        <v>2001</v>
      </c>
      <c r="Q264" t="s">
        <v>2393</v>
      </c>
    </row>
    <row r="265" spans="1:17" x14ac:dyDescent="0.25">
      <c r="A265" t="s">
        <v>19</v>
      </c>
      <c r="B265">
        <v>16.349999999999994</v>
      </c>
      <c r="C265">
        <v>76.349999999999994</v>
      </c>
      <c r="D265">
        <v>2.7000999999999999</v>
      </c>
      <c r="E265">
        <v>16.349999999999994</v>
      </c>
      <c r="F265">
        <v>77.699999999999989</v>
      </c>
      <c r="G265">
        <v>2.7000999999999999</v>
      </c>
      <c r="H265">
        <v>1.2</v>
      </c>
      <c r="I265">
        <v>0.9</v>
      </c>
      <c r="J265">
        <v>0.60616596121595478</v>
      </c>
      <c r="K265">
        <v>1500</v>
      </c>
      <c r="L265">
        <v>0</v>
      </c>
      <c r="N265">
        <v>29</v>
      </c>
      <c r="O265" s="60" t="s">
        <v>2002</v>
      </c>
      <c r="P265" t="s">
        <v>2003</v>
      </c>
      <c r="Q265" t="s">
        <v>876</v>
      </c>
    </row>
    <row r="266" spans="1:17" x14ac:dyDescent="0.25">
      <c r="A266" t="s">
        <v>19</v>
      </c>
      <c r="B266">
        <v>16.349999999999994</v>
      </c>
      <c r="C266">
        <v>77.699999999999989</v>
      </c>
      <c r="D266">
        <v>2.7000999999999999</v>
      </c>
      <c r="E266">
        <v>141.35</v>
      </c>
      <c r="F266">
        <v>77.699999999999989</v>
      </c>
      <c r="G266">
        <v>2.7000999999999999</v>
      </c>
      <c r="H266">
        <v>1.2</v>
      </c>
      <c r="I266">
        <v>0.9</v>
      </c>
      <c r="J266">
        <v>56.126477890366417</v>
      </c>
      <c r="K266">
        <v>1500</v>
      </c>
      <c r="L266">
        <v>0</v>
      </c>
      <c r="N266">
        <v>29</v>
      </c>
      <c r="O266" s="60" t="s">
        <v>2004</v>
      </c>
      <c r="P266" t="s">
        <v>2005</v>
      </c>
      <c r="Q266" t="s">
        <v>2394</v>
      </c>
    </row>
    <row r="267" spans="1:17" x14ac:dyDescent="0.25">
      <c r="A267" t="s">
        <v>19</v>
      </c>
      <c r="B267">
        <v>141.35</v>
      </c>
      <c r="C267">
        <v>77.699999999999989</v>
      </c>
      <c r="D267">
        <v>2.7000999999999999</v>
      </c>
      <c r="E267">
        <v>141.35</v>
      </c>
      <c r="F267">
        <v>81.749999999999986</v>
      </c>
      <c r="G267">
        <v>2.7000999999999999</v>
      </c>
      <c r="H267">
        <v>1.2</v>
      </c>
      <c r="I267">
        <v>0.9</v>
      </c>
      <c r="J267">
        <v>1.8184978836478705</v>
      </c>
      <c r="K267">
        <v>1500</v>
      </c>
      <c r="L267">
        <v>0</v>
      </c>
      <c r="N267">
        <v>29</v>
      </c>
      <c r="O267" s="60" t="s">
        <v>2006</v>
      </c>
      <c r="P267" t="s">
        <v>2007</v>
      </c>
      <c r="Q267" t="s">
        <v>877</v>
      </c>
    </row>
    <row r="268" spans="1:17" x14ac:dyDescent="0.25">
      <c r="A268" t="s">
        <v>19</v>
      </c>
      <c r="B268">
        <v>141.35</v>
      </c>
      <c r="C268">
        <v>81.75</v>
      </c>
      <c r="D268">
        <v>2.7000999999999999</v>
      </c>
      <c r="E268">
        <v>16.349999999999994</v>
      </c>
      <c r="F268">
        <v>81.75</v>
      </c>
      <c r="G268">
        <v>2.7000999999999999</v>
      </c>
      <c r="H268">
        <v>1.2</v>
      </c>
      <c r="I268">
        <v>0.9</v>
      </c>
      <c r="J268">
        <v>56.126477890366417</v>
      </c>
      <c r="K268">
        <v>1500</v>
      </c>
      <c r="L268">
        <v>0</v>
      </c>
      <c r="N268">
        <v>29</v>
      </c>
      <c r="O268" s="60" t="s">
        <v>1128</v>
      </c>
      <c r="P268" t="s">
        <v>805</v>
      </c>
      <c r="Q268" t="s">
        <v>2395</v>
      </c>
    </row>
    <row r="269" spans="1:17" x14ac:dyDescent="0.25">
      <c r="A269" t="s">
        <v>19</v>
      </c>
      <c r="B269">
        <v>16.349999999999994</v>
      </c>
      <c r="C269">
        <v>81.75</v>
      </c>
      <c r="D269">
        <v>2.7000999999999999</v>
      </c>
      <c r="E269">
        <v>16.349999999999994</v>
      </c>
      <c r="F269">
        <v>83.1</v>
      </c>
      <c r="G269">
        <v>2.7000999999999999</v>
      </c>
      <c r="H269">
        <v>1.2</v>
      </c>
      <c r="I269">
        <v>0.9</v>
      </c>
      <c r="J269">
        <v>0.60616596121595478</v>
      </c>
      <c r="K269">
        <v>1500</v>
      </c>
      <c r="L269">
        <v>0</v>
      </c>
      <c r="N269">
        <v>29</v>
      </c>
      <c r="O269" s="60" t="s">
        <v>1129</v>
      </c>
      <c r="P269" t="s">
        <v>806</v>
      </c>
      <c r="Q269" t="s">
        <v>1024</v>
      </c>
    </row>
    <row r="270" spans="1:17" x14ac:dyDescent="0.25">
      <c r="A270" t="s">
        <v>19</v>
      </c>
      <c r="B270">
        <v>16.349999999999994</v>
      </c>
      <c r="C270">
        <v>83.1</v>
      </c>
      <c r="D270">
        <v>2.7000999999999999</v>
      </c>
      <c r="E270">
        <v>141.35</v>
      </c>
      <c r="F270">
        <v>83.1</v>
      </c>
      <c r="G270">
        <v>2.7000999999999999</v>
      </c>
      <c r="H270">
        <v>1.2</v>
      </c>
      <c r="I270">
        <v>0.9</v>
      </c>
      <c r="J270">
        <v>56.126477890366417</v>
      </c>
      <c r="K270">
        <v>1500</v>
      </c>
      <c r="L270">
        <v>0</v>
      </c>
      <c r="N270">
        <v>29</v>
      </c>
      <c r="O270" s="60" t="s">
        <v>1130</v>
      </c>
      <c r="P270" t="s">
        <v>826</v>
      </c>
      <c r="Q270" t="s">
        <v>2394</v>
      </c>
    </row>
    <row r="271" spans="1:17" x14ac:dyDescent="0.25">
      <c r="A271" t="s">
        <v>19</v>
      </c>
      <c r="B271">
        <v>141.35</v>
      </c>
      <c r="C271">
        <v>83.1</v>
      </c>
      <c r="D271">
        <v>2.7000999999999999</v>
      </c>
      <c r="E271">
        <v>141.35</v>
      </c>
      <c r="F271">
        <v>87.149999999999991</v>
      </c>
      <c r="G271">
        <v>2.7000999999999999</v>
      </c>
      <c r="H271">
        <v>1.2</v>
      </c>
      <c r="I271">
        <v>0.9</v>
      </c>
      <c r="J271">
        <v>1.8184978836478705</v>
      </c>
      <c r="K271">
        <v>1500</v>
      </c>
      <c r="L271">
        <v>0</v>
      </c>
      <c r="N271">
        <v>29</v>
      </c>
      <c r="O271" s="60" t="s">
        <v>1131</v>
      </c>
      <c r="P271" t="s">
        <v>761</v>
      </c>
      <c r="Q271" t="s">
        <v>1025</v>
      </c>
    </row>
    <row r="272" spans="1:17" x14ac:dyDescent="0.25">
      <c r="A272" t="s">
        <v>19</v>
      </c>
      <c r="B272">
        <v>141.35</v>
      </c>
      <c r="C272">
        <v>87.149999999999991</v>
      </c>
      <c r="D272">
        <v>2.7000999999999999</v>
      </c>
      <c r="E272">
        <v>16.349999999999994</v>
      </c>
      <c r="F272">
        <v>87.149999999999991</v>
      </c>
      <c r="G272">
        <v>2.7000999999999999</v>
      </c>
      <c r="H272">
        <v>1.2</v>
      </c>
      <c r="I272">
        <v>0.9</v>
      </c>
      <c r="J272">
        <v>56.126477890366417</v>
      </c>
      <c r="K272">
        <v>1500</v>
      </c>
      <c r="L272">
        <v>0</v>
      </c>
      <c r="N272">
        <v>29</v>
      </c>
      <c r="O272" s="60" t="s">
        <v>1132</v>
      </c>
      <c r="P272" t="s">
        <v>805</v>
      </c>
      <c r="Q272" t="s">
        <v>2395</v>
      </c>
    </row>
    <row r="273" spans="1:17" x14ac:dyDescent="0.25">
      <c r="A273" t="s">
        <v>19</v>
      </c>
      <c r="B273">
        <v>16.349999999999994</v>
      </c>
      <c r="C273">
        <v>87.149999999999991</v>
      </c>
      <c r="D273">
        <v>2.7000999999999999</v>
      </c>
      <c r="E273">
        <v>16.349999999999994</v>
      </c>
      <c r="F273">
        <v>88.499999999999986</v>
      </c>
      <c r="G273">
        <v>2.7000999999999999</v>
      </c>
      <c r="H273">
        <v>1.2</v>
      </c>
      <c r="I273">
        <v>0.9</v>
      </c>
      <c r="J273">
        <v>0.60616596121595478</v>
      </c>
      <c r="K273">
        <v>1500</v>
      </c>
      <c r="L273">
        <v>0</v>
      </c>
      <c r="N273">
        <v>29</v>
      </c>
      <c r="O273" s="60" t="s">
        <v>1133</v>
      </c>
      <c r="P273" t="s">
        <v>806</v>
      </c>
      <c r="Q273" t="s">
        <v>1026</v>
      </c>
    </row>
    <row r="274" spans="1:17" x14ac:dyDescent="0.25">
      <c r="A274" t="s">
        <v>19</v>
      </c>
      <c r="B274">
        <v>16.349999999999994</v>
      </c>
      <c r="C274">
        <v>88.499999999999986</v>
      </c>
      <c r="D274">
        <v>2.7000999999999999</v>
      </c>
      <c r="E274">
        <v>141.35</v>
      </c>
      <c r="F274">
        <v>88.499999999999986</v>
      </c>
      <c r="G274">
        <v>2.7000999999999999</v>
      </c>
      <c r="H274">
        <v>1.2</v>
      </c>
      <c r="I274">
        <v>0.9</v>
      </c>
      <c r="J274">
        <v>56.126477890366417</v>
      </c>
      <c r="K274">
        <v>1500</v>
      </c>
      <c r="L274">
        <v>0</v>
      </c>
      <c r="N274">
        <v>29</v>
      </c>
      <c r="O274" s="60" t="s">
        <v>1134</v>
      </c>
      <c r="P274" t="s">
        <v>826</v>
      </c>
      <c r="Q274" t="s">
        <v>2394</v>
      </c>
    </row>
    <row r="275" spans="1:17" x14ac:dyDescent="0.25">
      <c r="A275" t="s">
        <v>19</v>
      </c>
      <c r="B275">
        <v>141.35</v>
      </c>
      <c r="C275">
        <v>88.499999999999986</v>
      </c>
      <c r="D275">
        <v>2.7000999999999999</v>
      </c>
      <c r="E275">
        <v>141.35</v>
      </c>
      <c r="F275">
        <v>92.549999999999983</v>
      </c>
      <c r="G275">
        <v>2.7000999999999999</v>
      </c>
      <c r="H275">
        <v>1.2</v>
      </c>
      <c r="I275">
        <v>0.9</v>
      </c>
      <c r="J275">
        <v>1.8184978836478705</v>
      </c>
      <c r="K275">
        <v>1500</v>
      </c>
      <c r="L275">
        <v>0</v>
      </c>
      <c r="N275">
        <v>29</v>
      </c>
      <c r="O275" s="60" t="s">
        <v>1135</v>
      </c>
      <c r="P275" t="s">
        <v>761</v>
      </c>
      <c r="Q275" t="s">
        <v>1027</v>
      </c>
    </row>
    <row r="276" spans="1:17" x14ac:dyDescent="0.25">
      <c r="A276" t="s">
        <v>19</v>
      </c>
      <c r="B276">
        <v>141.35</v>
      </c>
      <c r="C276">
        <v>92.55</v>
      </c>
      <c r="D276">
        <v>2.7000999999999999</v>
      </c>
      <c r="E276">
        <v>16.349999999999994</v>
      </c>
      <c r="F276">
        <v>92.55</v>
      </c>
      <c r="G276">
        <v>2.7000999999999999</v>
      </c>
      <c r="H276">
        <v>1.2</v>
      </c>
      <c r="I276">
        <v>0.9</v>
      </c>
      <c r="J276">
        <v>56.126477890366417</v>
      </c>
      <c r="K276">
        <v>1500</v>
      </c>
      <c r="L276">
        <v>0</v>
      </c>
      <c r="N276">
        <v>29</v>
      </c>
      <c r="O276" s="60" t="s">
        <v>1136</v>
      </c>
      <c r="P276" t="s">
        <v>805</v>
      </c>
      <c r="Q276" t="s">
        <v>2395</v>
      </c>
    </row>
    <row r="277" spans="1:17" x14ac:dyDescent="0.25">
      <c r="A277" t="s">
        <v>19</v>
      </c>
      <c r="B277">
        <v>16.349999999999994</v>
      </c>
      <c r="C277">
        <v>92.55</v>
      </c>
      <c r="D277">
        <v>2.7000999999999999</v>
      </c>
      <c r="E277">
        <v>16.349999999999994</v>
      </c>
      <c r="F277">
        <v>93.899999999999991</v>
      </c>
      <c r="G277">
        <v>2.7000999999999999</v>
      </c>
      <c r="H277">
        <v>1.2</v>
      </c>
      <c r="I277">
        <v>0.9</v>
      </c>
      <c r="J277">
        <v>0.60616596121595478</v>
      </c>
      <c r="K277">
        <v>1500</v>
      </c>
      <c r="L277">
        <v>0</v>
      </c>
      <c r="N277">
        <v>29</v>
      </c>
      <c r="O277" s="60" t="s">
        <v>1137</v>
      </c>
      <c r="P277" t="s">
        <v>806</v>
      </c>
      <c r="Q277" t="s">
        <v>1028</v>
      </c>
    </row>
    <row r="278" spans="1:17" x14ac:dyDescent="0.25">
      <c r="A278" t="s">
        <v>19</v>
      </c>
      <c r="B278">
        <v>16.349999999999994</v>
      </c>
      <c r="C278">
        <v>93.899999999999991</v>
      </c>
      <c r="D278">
        <v>2.7000999999999999</v>
      </c>
      <c r="E278">
        <v>141.35</v>
      </c>
      <c r="F278">
        <v>93.899999999999991</v>
      </c>
      <c r="G278">
        <v>2.7000999999999999</v>
      </c>
      <c r="H278">
        <v>1.2</v>
      </c>
      <c r="I278">
        <v>0.9</v>
      </c>
      <c r="J278">
        <v>56.126477890366417</v>
      </c>
      <c r="K278">
        <v>1500</v>
      </c>
      <c r="L278">
        <v>0</v>
      </c>
      <c r="N278">
        <v>29</v>
      </c>
      <c r="O278" s="60" t="s">
        <v>1138</v>
      </c>
      <c r="P278" t="s">
        <v>826</v>
      </c>
      <c r="Q278" t="s">
        <v>2394</v>
      </c>
    </row>
    <row r="279" spans="1:17" x14ac:dyDescent="0.25">
      <c r="A279" t="s">
        <v>19</v>
      </c>
      <c r="B279">
        <v>141.35</v>
      </c>
      <c r="C279">
        <v>93.899999999999991</v>
      </c>
      <c r="D279">
        <v>2.7000999999999999</v>
      </c>
      <c r="E279">
        <v>141.35</v>
      </c>
      <c r="F279">
        <v>97.949999999999989</v>
      </c>
      <c r="G279">
        <v>2.7000999999999999</v>
      </c>
      <c r="H279">
        <v>1.2</v>
      </c>
      <c r="I279">
        <v>0.9</v>
      </c>
      <c r="J279">
        <v>1.8184978836478705</v>
      </c>
      <c r="K279">
        <v>1500</v>
      </c>
      <c r="L279">
        <v>0</v>
      </c>
      <c r="N279">
        <v>29</v>
      </c>
      <c r="O279" s="60" t="s">
        <v>1139</v>
      </c>
      <c r="P279" t="s">
        <v>761</v>
      </c>
      <c r="Q279" t="s">
        <v>1029</v>
      </c>
    </row>
    <row r="280" spans="1:17" x14ac:dyDescent="0.25">
      <c r="A280" t="s">
        <v>19</v>
      </c>
      <c r="B280">
        <v>141.35</v>
      </c>
      <c r="C280">
        <v>97.949999999999989</v>
      </c>
      <c r="D280">
        <v>2.7000999999999999</v>
      </c>
      <c r="E280">
        <v>16.349999999999994</v>
      </c>
      <c r="F280">
        <v>97.949999999999989</v>
      </c>
      <c r="G280">
        <v>2.7000999999999999</v>
      </c>
      <c r="H280">
        <v>1.2</v>
      </c>
      <c r="I280">
        <v>0.9</v>
      </c>
      <c r="J280">
        <v>56.126477890366417</v>
      </c>
      <c r="K280">
        <v>1500</v>
      </c>
      <c r="L280">
        <v>0</v>
      </c>
      <c r="N280">
        <v>29</v>
      </c>
      <c r="O280" s="60" t="s">
        <v>1140</v>
      </c>
      <c r="P280" t="s">
        <v>805</v>
      </c>
      <c r="Q280" t="s">
        <v>2395</v>
      </c>
    </row>
    <row r="281" spans="1:17" x14ac:dyDescent="0.25">
      <c r="A281" t="s">
        <v>19</v>
      </c>
      <c r="B281">
        <v>16.349999999999994</v>
      </c>
      <c r="C281">
        <v>97.949999999999989</v>
      </c>
      <c r="D281">
        <v>2.7000999999999999</v>
      </c>
      <c r="E281">
        <v>16.349999999999994</v>
      </c>
      <c r="F281">
        <v>99.299999999999983</v>
      </c>
      <c r="G281">
        <v>2.7000999999999999</v>
      </c>
      <c r="H281">
        <v>1.2</v>
      </c>
      <c r="I281">
        <v>0.9</v>
      </c>
      <c r="J281">
        <v>0.60616596121595478</v>
      </c>
      <c r="K281">
        <v>1500</v>
      </c>
      <c r="L281">
        <v>0</v>
      </c>
      <c r="N281">
        <v>29</v>
      </c>
      <c r="O281" s="60" t="s">
        <v>1141</v>
      </c>
      <c r="P281" t="s">
        <v>806</v>
      </c>
      <c r="Q281" t="s">
        <v>1030</v>
      </c>
    </row>
    <row r="282" spans="1:17" x14ac:dyDescent="0.25">
      <c r="A282" t="s">
        <v>19</v>
      </c>
      <c r="B282">
        <v>16.349999999999994</v>
      </c>
      <c r="C282">
        <v>99.299999999999983</v>
      </c>
      <c r="D282">
        <v>2.7000999999999999</v>
      </c>
      <c r="E282">
        <v>141.35</v>
      </c>
      <c r="F282">
        <v>99.299999999999983</v>
      </c>
      <c r="G282">
        <v>2.7000999999999999</v>
      </c>
      <c r="H282">
        <v>1.2</v>
      </c>
      <c r="I282">
        <v>0.9</v>
      </c>
      <c r="J282">
        <v>56.126477890366417</v>
      </c>
      <c r="K282">
        <v>1500</v>
      </c>
      <c r="L282">
        <v>0</v>
      </c>
      <c r="N282">
        <v>29</v>
      </c>
      <c r="O282" s="60" t="s">
        <v>1142</v>
      </c>
      <c r="P282" t="s">
        <v>826</v>
      </c>
      <c r="Q282" t="s">
        <v>2394</v>
      </c>
    </row>
    <row r="283" spans="1:17" x14ac:dyDescent="0.25">
      <c r="A283" t="s">
        <v>19</v>
      </c>
      <c r="B283">
        <v>141.35</v>
      </c>
      <c r="C283">
        <v>99.299999999999983</v>
      </c>
      <c r="D283">
        <v>2.7000999999999999</v>
      </c>
      <c r="E283">
        <v>141.35</v>
      </c>
      <c r="F283">
        <v>103.35</v>
      </c>
      <c r="G283">
        <v>2.7000999999999999</v>
      </c>
      <c r="H283">
        <v>1.2</v>
      </c>
      <c r="I283">
        <v>0.9</v>
      </c>
      <c r="J283">
        <v>1.8184978836478705</v>
      </c>
      <c r="K283">
        <v>1500</v>
      </c>
      <c r="L283">
        <v>0</v>
      </c>
      <c r="N283">
        <v>29</v>
      </c>
      <c r="O283" s="60" t="s">
        <v>1143</v>
      </c>
      <c r="P283" t="s">
        <v>761</v>
      </c>
      <c r="Q283" t="s">
        <v>1031</v>
      </c>
    </row>
    <row r="284" spans="1:17" x14ac:dyDescent="0.25">
      <c r="A284" t="s">
        <v>19</v>
      </c>
      <c r="B284">
        <v>141.35</v>
      </c>
      <c r="C284">
        <v>103.35</v>
      </c>
      <c r="D284">
        <v>2.7000999999999999</v>
      </c>
      <c r="E284">
        <v>16.349999999999994</v>
      </c>
      <c r="F284">
        <v>103.35</v>
      </c>
      <c r="G284">
        <v>2.7000999999999999</v>
      </c>
      <c r="H284">
        <v>1.2</v>
      </c>
      <c r="I284">
        <v>0.9</v>
      </c>
      <c r="J284">
        <v>56.126477890366417</v>
      </c>
      <c r="K284">
        <v>1500</v>
      </c>
      <c r="L284">
        <v>0</v>
      </c>
      <c r="N284">
        <v>29</v>
      </c>
      <c r="O284" s="60" t="s">
        <v>1144</v>
      </c>
      <c r="P284" t="s">
        <v>805</v>
      </c>
      <c r="Q284" t="s">
        <v>2395</v>
      </c>
    </row>
    <row r="285" spans="1:17" x14ac:dyDescent="0.25">
      <c r="A285" t="s">
        <v>19</v>
      </c>
      <c r="B285">
        <v>16.349999999999994</v>
      </c>
      <c r="C285">
        <v>103.35</v>
      </c>
      <c r="D285">
        <v>2.7000999999999999</v>
      </c>
      <c r="E285">
        <v>16.349999999999994</v>
      </c>
      <c r="F285">
        <v>104.69999999999999</v>
      </c>
      <c r="G285">
        <v>2.7000999999999999</v>
      </c>
      <c r="H285">
        <v>1.2</v>
      </c>
      <c r="I285">
        <v>0.9</v>
      </c>
      <c r="J285">
        <v>0.60616596121595478</v>
      </c>
      <c r="K285">
        <v>1500</v>
      </c>
      <c r="L285">
        <v>0</v>
      </c>
      <c r="N285">
        <v>29</v>
      </c>
      <c r="O285" s="60" t="s">
        <v>1145</v>
      </c>
      <c r="P285" t="s">
        <v>806</v>
      </c>
      <c r="Q285" t="s">
        <v>1032</v>
      </c>
    </row>
    <row r="286" spans="1:17" x14ac:dyDescent="0.25">
      <c r="A286" t="s">
        <v>19</v>
      </c>
      <c r="B286">
        <v>16.349999999999994</v>
      </c>
      <c r="C286">
        <v>104.69999999999999</v>
      </c>
      <c r="D286">
        <v>2.7000999999999999</v>
      </c>
      <c r="E286">
        <v>141.35</v>
      </c>
      <c r="F286">
        <v>104.69999999999999</v>
      </c>
      <c r="G286">
        <v>2.7000999999999999</v>
      </c>
      <c r="H286">
        <v>1.2</v>
      </c>
      <c r="I286">
        <v>0.9</v>
      </c>
      <c r="J286">
        <v>56.126477890366417</v>
      </c>
      <c r="K286">
        <v>1500</v>
      </c>
      <c r="L286">
        <v>0</v>
      </c>
      <c r="N286">
        <v>29</v>
      </c>
      <c r="O286" s="60" t="s">
        <v>1146</v>
      </c>
      <c r="P286" t="s">
        <v>826</v>
      </c>
      <c r="Q286" t="s">
        <v>2394</v>
      </c>
    </row>
    <row r="287" spans="1:17" x14ac:dyDescent="0.25">
      <c r="A287" t="s">
        <v>19</v>
      </c>
      <c r="B287">
        <v>141.35</v>
      </c>
      <c r="C287">
        <v>104.69999999999999</v>
      </c>
      <c r="D287">
        <v>2.7000999999999999</v>
      </c>
      <c r="E287">
        <v>141.35</v>
      </c>
      <c r="F287">
        <v>108.74999999999999</v>
      </c>
      <c r="G287">
        <v>2.7000999999999999</v>
      </c>
      <c r="H287">
        <v>1.2</v>
      </c>
      <c r="I287">
        <v>0.9</v>
      </c>
      <c r="J287">
        <v>1.8184978836478705</v>
      </c>
      <c r="K287">
        <v>1500</v>
      </c>
      <c r="L287">
        <v>0</v>
      </c>
      <c r="N287">
        <v>29</v>
      </c>
      <c r="O287" s="60" t="s">
        <v>1147</v>
      </c>
      <c r="P287" t="s">
        <v>761</v>
      </c>
      <c r="Q287" t="s">
        <v>1033</v>
      </c>
    </row>
    <row r="288" spans="1:17" x14ac:dyDescent="0.25">
      <c r="A288" t="s">
        <v>19</v>
      </c>
      <c r="B288">
        <v>141.35</v>
      </c>
      <c r="C288">
        <v>108.75</v>
      </c>
      <c r="D288">
        <v>2.7000999999999999</v>
      </c>
      <c r="E288">
        <v>16.349999999999994</v>
      </c>
      <c r="F288">
        <v>108.75</v>
      </c>
      <c r="G288">
        <v>2.7000999999999999</v>
      </c>
      <c r="H288">
        <v>1.2</v>
      </c>
      <c r="I288">
        <v>0.9</v>
      </c>
      <c r="J288">
        <v>56.126477890366417</v>
      </c>
      <c r="K288">
        <v>1500</v>
      </c>
      <c r="L288">
        <v>0</v>
      </c>
      <c r="N288">
        <v>29</v>
      </c>
      <c r="O288" s="60" t="s">
        <v>1148</v>
      </c>
      <c r="P288" t="s">
        <v>805</v>
      </c>
      <c r="Q288" t="s">
        <v>2395</v>
      </c>
    </row>
    <row r="289" spans="1:17" x14ac:dyDescent="0.25">
      <c r="A289" t="s">
        <v>19</v>
      </c>
      <c r="B289">
        <v>16.349999999999994</v>
      </c>
      <c r="C289">
        <v>108.75</v>
      </c>
      <c r="D289">
        <v>2.7000999999999999</v>
      </c>
      <c r="E289">
        <v>16.349999999999994</v>
      </c>
      <c r="F289">
        <v>110.1</v>
      </c>
      <c r="G289">
        <v>2.7000999999999999</v>
      </c>
      <c r="H289">
        <v>1.2</v>
      </c>
      <c r="I289">
        <v>0.9</v>
      </c>
      <c r="J289">
        <v>0.60616596121595478</v>
      </c>
      <c r="K289">
        <v>1500</v>
      </c>
      <c r="L289">
        <v>0</v>
      </c>
      <c r="N289">
        <v>29</v>
      </c>
      <c r="O289" s="60" t="s">
        <v>1149</v>
      </c>
      <c r="P289" t="s">
        <v>806</v>
      </c>
      <c r="Q289" t="s">
        <v>1034</v>
      </c>
    </row>
    <row r="290" spans="1:17" x14ac:dyDescent="0.25">
      <c r="A290" t="s">
        <v>19</v>
      </c>
      <c r="B290">
        <v>16.349999999999994</v>
      </c>
      <c r="C290">
        <v>110.1</v>
      </c>
      <c r="D290">
        <v>2.7000999999999999</v>
      </c>
      <c r="E290">
        <v>141.35</v>
      </c>
      <c r="F290">
        <v>110.1</v>
      </c>
      <c r="G290">
        <v>2.7000999999999999</v>
      </c>
      <c r="H290">
        <v>1.2</v>
      </c>
      <c r="I290">
        <v>0.9</v>
      </c>
      <c r="J290">
        <v>56.126477890366417</v>
      </c>
      <c r="K290">
        <v>1500</v>
      </c>
      <c r="L290">
        <v>0</v>
      </c>
      <c r="N290">
        <v>29</v>
      </c>
      <c r="O290" s="60" t="s">
        <v>1150</v>
      </c>
      <c r="P290" t="s">
        <v>826</v>
      </c>
      <c r="Q290" t="s">
        <v>2394</v>
      </c>
    </row>
    <row r="291" spans="1:17" x14ac:dyDescent="0.25">
      <c r="A291" t="s">
        <v>19</v>
      </c>
      <c r="B291">
        <v>141.35</v>
      </c>
      <c r="C291">
        <v>110.1</v>
      </c>
      <c r="D291">
        <v>2.7000999999999999</v>
      </c>
      <c r="E291">
        <v>141.35</v>
      </c>
      <c r="F291">
        <v>114.14999999999999</v>
      </c>
      <c r="G291">
        <v>2.7000999999999999</v>
      </c>
      <c r="H291">
        <v>1.2</v>
      </c>
      <c r="I291">
        <v>0.9</v>
      </c>
      <c r="J291">
        <v>1.8184978836478705</v>
      </c>
      <c r="K291">
        <v>1500</v>
      </c>
      <c r="L291">
        <v>0</v>
      </c>
      <c r="N291">
        <v>29</v>
      </c>
      <c r="O291" s="60" t="s">
        <v>1151</v>
      </c>
      <c r="P291" t="s">
        <v>761</v>
      </c>
      <c r="Q291" t="s">
        <v>1035</v>
      </c>
    </row>
    <row r="292" spans="1:17" x14ac:dyDescent="0.25">
      <c r="A292" t="s">
        <v>19</v>
      </c>
      <c r="B292">
        <v>141.35</v>
      </c>
      <c r="C292">
        <v>114.14999999999999</v>
      </c>
      <c r="D292">
        <v>2.7000999999999999</v>
      </c>
      <c r="E292">
        <v>16.349999999999994</v>
      </c>
      <c r="F292">
        <v>114.14999999999999</v>
      </c>
      <c r="G292">
        <v>2.7000999999999999</v>
      </c>
      <c r="H292">
        <v>1.2</v>
      </c>
      <c r="I292">
        <v>0.9</v>
      </c>
      <c r="J292">
        <v>56.126477890366417</v>
      </c>
      <c r="K292">
        <v>1500</v>
      </c>
      <c r="L292">
        <v>0</v>
      </c>
      <c r="N292">
        <v>29</v>
      </c>
      <c r="O292" s="60" t="s">
        <v>1152</v>
      </c>
      <c r="P292" t="s">
        <v>805</v>
      </c>
      <c r="Q292" t="s">
        <v>2395</v>
      </c>
    </row>
    <row r="293" spans="1:17" x14ac:dyDescent="0.25">
      <c r="A293" t="s">
        <v>19</v>
      </c>
      <c r="B293">
        <v>16.349999999999994</v>
      </c>
      <c r="C293">
        <v>114.14999999999999</v>
      </c>
      <c r="D293">
        <v>2.7000999999999999</v>
      </c>
      <c r="E293">
        <v>16.349999999999994</v>
      </c>
      <c r="F293">
        <v>115.49999999999999</v>
      </c>
      <c r="G293">
        <v>2.7000999999999999</v>
      </c>
      <c r="H293">
        <v>1.2</v>
      </c>
      <c r="I293">
        <v>0.9</v>
      </c>
      <c r="J293">
        <v>0.60616596121595478</v>
      </c>
      <c r="K293">
        <v>1500</v>
      </c>
      <c r="L293">
        <v>0</v>
      </c>
      <c r="N293">
        <v>29</v>
      </c>
      <c r="O293" s="60" t="s">
        <v>1153</v>
      </c>
      <c r="P293" t="s">
        <v>806</v>
      </c>
      <c r="Q293" t="s">
        <v>1036</v>
      </c>
    </row>
    <row r="294" spans="1:17" x14ac:dyDescent="0.25">
      <c r="A294" t="s">
        <v>19</v>
      </c>
      <c r="B294">
        <v>16.349999999999994</v>
      </c>
      <c r="C294">
        <v>115.49999999999999</v>
      </c>
      <c r="D294">
        <v>2.7000999999999999</v>
      </c>
      <c r="E294">
        <v>141.35</v>
      </c>
      <c r="F294">
        <v>115.49999999999999</v>
      </c>
      <c r="G294">
        <v>2.7000999999999999</v>
      </c>
      <c r="H294">
        <v>1.2</v>
      </c>
      <c r="I294">
        <v>0.9</v>
      </c>
      <c r="J294">
        <v>56.126477890366417</v>
      </c>
      <c r="K294">
        <v>1500</v>
      </c>
      <c r="L294">
        <v>0</v>
      </c>
      <c r="N294">
        <v>29</v>
      </c>
      <c r="O294" s="60" t="s">
        <v>1154</v>
      </c>
      <c r="P294" t="s">
        <v>826</v>
      </c>
      <c r="Q294" t="s">
        <v>2394</v>
      </c>
    </row>
    <row r="295" spans="1:17" x14ac:dyDescent="0.25">
      <c r="A295" t="s">
        <v>19</v>
      </c>
      <c r="B295">
        <v>141.35</v>
      </c>
      <c r="C295">
        <v>115.49999999999999</v>
      </c>
      <c r="D295">
        <v>2.7000999999999999</v>
      </c>
      <c r="E295">
        <v>141.35</v>
      </c>
      <c r="F295">
        <v>119.54999999999998</v>
      </c>
      <c r="G295">
        <v>2.7000999999999999</v>
      </c>
      <c r="H295">
        <v>1.2</v>
      </c>
      <c r="I295">
        <v>0.9</v>
      </c>
      <c r="J295">
        <v>1.8184978836478705</v>
      </c>
      <c r="K295">
        <v>1500</v>
      </c>
      <c r="L295">
        <v>0</v>
      </c>
      <c r="N295">
        <v>29</v>
      </c>
      <c r="O295" s="60" t="s">
        <v>1155</v>
      </c>
      <c r="P295" t="s">
        <v>761</v>
      </c>
      <c r="Q295" t="s">
        <v>1037</v>
      </c>
    </row>
    <row r="296" spans="1:17" x14ac:dyDescent="0.25">
      <c r="A296" t="s">
        <v>19</v>
      </c>
      <c r="B296">
        <v>141.35</v>
      </c>
      <c r="C296">
        <v>119.55</v>
      </c>
      <c r="D296">
        <v>2.7000999999999999</v>
      </c>
      <c r="E296">
        <v>16.349999999999994</v>
      </c>
      <c r="F296">
        <v>119.55</v>
      </c>
      <c r="G296">
        <v>2.7000999999999999</v>
      </c>
      <c r="H296">
        <v>1.2</v>
      </c>
      <c r="I296">
        <v>0.9</v>
      </c>
      <c r="J296">
        <v>56.126477890366417</v>
      </c>
      <c r="K296">
        <v>1500</v>
      </c>
      <c r="L296">
        <v>0</v>
      </c>
      <c r="N296">
        <v>29</v>
      </c>
      <c r="O296" s="60" t="s">
        <v>2008</v>
      </c>
      <c r="P296" t="s">
        <v>805</v>
      </c>
      <c r="Q296" t="s">
        <v>2395</v>
      </c>
    </row>
    <row r="297" spans="1:17" x14ac:dyDescent="0.25">
      <c r="A297" t="s">
        <v>19</v>
      </c>
      <c r="B297">
        <v>16.349999999999994</v>
      </c>
      <c r="C297">
        <v>119.55</v>
      </c>
      <c r="D297">
        <v>2.7000999999999999</v>
      </c>
      <c r="E297">
        <v>16.349999999999994</v>
      </c>
      <c r="F297">
        <v>120.89999999999999</v>
      </c>
      <c r="G297">
        <v>2.7000999999999999</v>
      </c>
      <c r="H297">
        <v>1.2</v>
      </c>
      <c r="I297">
        <v>0.9</v>
      </c>
      <c r="J297">
        <v>0.60616596121595478</v>
      </c>
      <c r="K297">
        <v>1500</v>
      </c>
      <c r="L297">
        <v>0</v>
      </c>
      <c r="N297">
        <v>29</v>
      </c>
      <c r="O297" s="60" t="s">
        <v>2009</v>
      </c>
      <c r="P297" t="s">
        <v>806</v>
      </c>
      <c r="Q297" t="s">
        <v>1935</v>
      </c>
    </row>
    <row r="298" spans="1:17" x14ac:dyDescent="0.25">
      <c r="A298" t="s">
        <v>19</v>
      </c>
      <c r="B298">
        <v>16.349999999999994</v>
      </c>
      <c r="C298">
        <v>120.89999999999999</v>
      </c>
      <c r="D298">
        <v>2.7000999999999999</v>
      </c>
      <c r="E298">
        <v>141.35</v>
      </c>
      <c r="F298">
        <v>120.89999999999999</v>
      </c>
      <c r="G298">
        <v>2.7000999999999999</v>
      </c>
      <c r="H298">
        <v>1.2</v>
      </c>
      <c r="I298">
        <v>0.9</v>
      </c>
      <c r="J298">
        <v>56.126477890366417</v>
      </c>
      <c r="K298">
        <v>1500</v>
      </c>
      <c r="L298">
        <v>0</v>
      </c>
      <c r="N298">
        <v>29</v>
      </c>
      <c r="O298" s="60" t="s">
        <v>2010</v>
      </c>
      <c r="P298" t="s">
        <v>826</v>
      </c>
      <c r="Q298" t="s">
        <v>2394</v>
      </c>
    </row>
    <row r="299" spans="1:17" x14ac:dyDescent="0.25">
      <c r="A299" t="s">
        <v>19</v>
      </c>
      <c r="B299">
        <v>141.35</v>
      </c>
      <c r="C299">
        <v>120.89999999999999</v>
      </c>
      <c r="D299">
        <v>2.7000999999999999</v>
      </c>
      <c r="E299">
        <v>141.35</v>
      </c>
      <c r="F299">
        <v>124.94999999999999</v>
      </c>
      <c r="G299">
        <v>2.7000999999999999</v>
      </c>
      <c r="H299">
        <v>1.2</v>
      </c>
      <c r="I299">
        <v>0.9</v>
      </c>
      <c r="J299">
        <v>1.8184978836478705</v>
      </c>
      <c r="K299">
        <v>1500</v>
      </c>
      <c r="L299">
        <v>0</v>
      </c>
      <c r="N299">
        <v>29</v>
      </c>
      <c r="O299" s="60" t="s">
        <v>2011</v>
      </c>
      <c r="P299" t="s">
        <v>761</v>
      </c>
      <c r="Q299" t="s">
        <v>1938</v>
      </c>
    </row>
    <row r="300" spans="1:17" x14ac:dyDescent="0.25">
      <c r="A300" t="s">
        <v>19</v>
      </c>
      <c r="B300">
        <v>141.35</v>
      </c>
      <c r="C300">
        <v>124.95</v>
      </c>
      <c r="D300">
        <v>2.7000999999999999</v>
      </c>
      <c r="E300">
        <v>16.349999999999994</v>
      </c>
      <c r="F300">
        <v>124.95</v>
      </c>
      <c r="G300">
        <v>2.7000999999999999</v>
      </c>
      <c r="H300">
        <v>1.2</v>
      </c>
      <c r="I300">
        <v>0.9</v>
      </c>
      <c r="J300">
        <v>56.126477890366417</v>
      </c>
      <c r="K300">
        <v>1500</v>
      </c>
      <c r="L300">
        <v>0</v>
      </c>
      <c r="N300">
        <v>29</v>
      </c>
      <c r="O300" s="60" t="s">
        <v>2012</v>
      </c>
      <c r="P300" t="s">
        <v>805</v>
      </c>
      <c r="Q300" t="s">
        <v>2395</v>
      </c>
    </row>
    <row r="301" spans="1:17" x14ac:dyDescent="0.25">
      <c r="A301" t="s">
        <v>19</v>
      </c>
      <c r="B301">
        <v>16.349999999999994</v>
      </c>
      <c r="C301">
        <v>124.95</v>
      </c>
      <c r="D301">
        <v>2.7000999999999999</v>
      </c>
      <c r="E301">
        <v>16.349999999999994</v>
      </c>
      <c r="F301">
        <v>126.3</v>
      </c>
      <c r="G301">
        <v>2.7000999999999999</v>
      </c>
      <c r="H301">
        <v>1.2</v>
      </c>
      <c r="I301">
        <v>0.9</v>
      </c>
      <c r="J301">
        <v>0.60616596121595478</v>
      </c>
      <c r="K301">
        <v>1500</v>
      </c>
      <c r="L301">
        <v>0</v>
      </c>
      <c r="N301">
        <v>29</v>
      </c>
      <c r="O301" s="60" t="s">
        <v>2013</v>
      </c>
      <c r="P301" t="s">
        <v>806</v>
      </c>
      <c r="Q301" t="s">
        <v>1941</v>
      </c>
    </row>
    <row r="302" spans="1:17" x14ac:dyDescent="0.25">
      <c r="A302" t="s">
        <v>19</v>
      </c>
      <c r="B302">
        <v>16.349999999999994</v>
      </c>
      <c r="C302">
        <v>126.3</v>
      </c>
      <c r="D302">
        <v>2.7000999999999999</v>
      </c>
      <c r="E302">
        <v>141.35</v>
      </c>
      <c r="F302">
        <v>126.3</v>
      </c>
      <c r="G302">
        <v>2.7000999999999999</v>
      </c>
      <c r="H302">
        <v>1.2</v>
      </c>
      <c r="I302">
        <v>0.9</v>
      </c>
      <c r="J302">
        <v>56.126477890366417</v>
      </c>
      <c r="K302">
        <v>1500</v>
      </c>
      <c r="L302">
        <v>0</v>
      </c>
      <c r="N302">
        <v>29</v>
      </c>
      <c r="O302" s="60" t="s">
        <v>2014</v>
      </c>
      <c r="P302" t="s">
        <v>826</v>
      </c>
      <c r="Q302" t="s">
        <v>2394</v>
      </c>
    </row>
    <row r="303" spans="1:17" x14ac:dyDescent="0.25">
      <c r="A303" t="s">
        <v>19</v>
      </c>
      <c r="B303">
        <v>141.35</v>
      </c>
      <c r="C303">
        <v>126.3</v>
      </c>
      <c r="D303">
        <v>2.7000999999999999</v>
      </c>
      <c r="E303">
        <v>141.35</v>
      </c>
      <c r="F303">
        <v>130.35</v>
      </c>
      <c r="G303">
        <v>2.7000999999999999</v>
      </c>
      <c r="H303">
        <v>1.2</v>
      </c>
      <c r="I303">
        <v>0.9</v>
      </c>
      <c r="J303">
        <v>1.8184978836478705</v>
      </c>
      <c r="K303">
        <v>1500</v>
      </c>
      <c r="L303">
        <v>0</v>
      </c>
      <c r="N303">
        <v>29</v>
      </c>
      <c r="O303" s="60" t="s">
        <v>2015</v>
      </c>
      <c r="P303" t="s">
        <v>761</v>
      </c>
      <c r="Q303" t="s">
        <v>1944</v>
      </c>
    </row>
    <row r="304" spans="1:17" x14ac:dyDescent="0.25">
      <c r="A304" t="s">
        <v>49</v>
      </c>
      <c r="B304" t="s">
        <v>811</v>
      </c>
      <c r="N304">
        <v>29</v>
      </c>
      <c r="O304" s="60" t="s">
        <v>892</v>
      </c>
      <c r="P304" t="s">
        <v>759</v>
      </c>
      <c r="Q304" t="s">
        <v>811</v>
      </c>
    </row>
    <row r="305" spans="1:17" x14ac:dyDescent="0.25">
      <c r="A305" t="s">
        <v>49</v>
      </c>
      <c r="B305" t="s">
        <v>203</v>
      </c>
      <c r="C305">
        <v>0</v>
      </c>
      <c r="N305">
        <v>29</v>
      </c>
      <c r="O305" s="60" t="s">
        <v>893</v>
      </c>
      <c r="P305" t="s">
        <v>764</v>
      </c>
      <c r="Q305" t="s">
        <v>467</v>
      </c>
    </row>
    <row r="306" spans="1:17" x14ac:dyDescent="0.25">
      <c r="A306" t="s">
        <v>49</v>
      </c>
      <c r="B306" t="s">
        <v>634</v>
      </c>
      <c r="N306">
        <v>29</v>
      </c>
      <c r="O306" s="60" t="s">
        <v>894</v>
      </c>
      <c r="P306" t="s">
        <v>813</v>
      </c>
      <c r="Q306" t="s">
        <v>634</v>
      </c>
    </row>
    <row r="307" spans="1:17" x14ac:dyDescent="0.25">
      <c r="A307" t="s">
        <v>23</v>
      </c>
      <c r="B307">
        <v>141.35</v>
      </c>
      <c r="C307">
        <v>130.35</v>
      </c>
      <c r="D307">
        <v>2.7000999999999999</v>
      </c>
      <c r="E307">
        <v>15</v>
      </c>
      <c r="F307">
        <v>75</v>
      </c>
      <c r="G307">
        <v>2.7</v>
      </c>
      <c r="H307">
        <v>0</v>
      </c>
      <c r="I307">
        <v>0</v>
      </c>
      <c r="K307">
        <v>48000</v>
      </c>
      <c r="N307">
        <v>0</v>
      </c>
      <c r="O307" s="60">
        <v>0</v>
      </c>
      <c r="P307" t="s">
        <v>661</v>
      </c>
      <c r="Q307" t="s">
        <v>2016</v>
      </c>
    </row>
    <row r="308" spans="1:17" x14ac:dyDescent="0.25">
      <c r="A308" t="s">
        <v>19</v>
      </c>
      <c r="B308">
        <v>15</v>
      </c>
      <c r="C308">
        <v>75</v>
      </c>
      <c r="D308">
        <v>2.7</v>
      </c>
      <c r="E308">
        <v>15</v>
      </c>
      <c r="F308">
        <v>79.05</v>
      </c>
      <c r="G308">
        <v>2.7</v>
      </c>
      <c r="H308">
        <v>1.2</v>
      </c>
      <c r="I308">
        <v>0.9</v>
      </c>
      <c r="J308">
        <v>1.8184978836478705</v>
      </c>
      <c r="K308">
        <v>1500</v>
      </c>
      <c r="L308">
        <v>0</v>
      </c>
      <c r="N308">
        <v>29</v>
      </c>
      <c r="O308" s="60" t="s">
        <v>2017</v>
      </c>
      <c r="P308" t="s">
        <v>2018</v>
      </c>
      <c r="Q308" t="s">
        <v>879</v>
      </c>
    </row>
    <row r="309" spans="1:17" x14ac:dyDescent="0.25">
      <c r="A309" t="s">
        <v>19</v>
      </c>
      <c r="B309">
        <v>15</v>
      </c>
      <c r="C309">
        <v>79.05</v>
      </c>
      <c r="D309">
        <v>2.7</v>
      </c>
      <c r="E309">
        <v>140</v>
      </c>
      <c r="F309">
        <v>79.05</v>
      </c>
      <c r="G309">
        <v>2.7</v>
      </c>
      <c r="H309">
        <v>1.2</v>
      </c>
      <c r="I309">
        <v>0.9</v>
      </c>
      <c r="J309">
        <v>56.126477890366417</v>
      </c>
      <c r="K309">
        <v>1500</v>
      </c>
      <c r="L309">
        <v>0</v>
      </c>
      <c r="N309">
        <v>29</v>
      </c>
      <c r="O309" s="60" t="s">
        <v>2019</v>
      </c>
      <c r="P309" t="s">
        <v>2020</v>
      </c>
      <c r="Q309" t="s">
        <v>2396</v>
      </c>
    </row>
    <row r="310" spans="1:17" x14ac:dyDescent="0.25">
      <c r="A310" t="s">
        <v>19</v>
      </c>
      <c r="B310">
        <v>140</v>
      </c>
      <c r="C310">
        <v>79.05</v>
      </c>
      <c r="D310">
        <v>2.7</v>
      </c>
      <c r="E310">
        <v>140</v>
      </c>
      <c r="F310">
        <v>80.399999999999991</v>
      </c>
      <c r="G310">
        <v>2.7</v>
      </c>
      <c r="H310">
        <v>1.2</v>
      </c>
      <c r="I310">
        <v>0.9</v>
      </c>
      <c r="J310">
        <v>0.60616596121595478</v>
      </c>
      <c r="K310">
        <v>1500</v>
      </c>
      <c r="L310">
        <v>0</v>
      </c>
      <c r="N310">
        <v>29</v>
      </c>
      <c r="O310" s="60" t="s">
        <v>2021</v>
      </c>
      <c r="P310" t="s">
        <v>2022</v>
      </c>
      <c r="Q310" t="s">
        <v>880</v>
      </c>
    </row>
    <row r="311" spans="1:17" x14ac:dyDescent="0.25">
      <c r="A311" t="s">
        <v>19</v>
      </c>
      <c r="B311">
        <v>140</v>
      </c>
      <c r="C311">
        <v>80.399999999999991</v>
      </c>
      <c r="D311">
        <v>2.7</v>
      </c>
      <c r="E311">
        <v>15</v>
      </c>
      <c r="F311">
        <v>80.399999999999991</v>
      </c>
      <c r="G311">
        <v>2.7</v>
      </c>
      <c r="H311">
        <v>1.2</v>
      </c>
      <c r="I311">
        <v>0.9</v>
      </c>
      <c r="J311">
        <v>56.126477890366417</v>
      </c>
      <c r="K311">
        <v>1500</v>
      </c>
      <c r="L311">
        <v>0</v>
      </c>
      <c r="N311">
        <v>29</v>
      </c>
      <c r="O311" s="60" t="s">
        <v>2023</v>
      </c>
      <c r="P311" t="s">
        <v>2024</v>
      </c>
      <c r="Q311" t="s">
        <v>2397</v>
      </c>
    </row>
    <row r="312" spans="1:17" x14ac:dyDescent="0.25">
      <c r="A312" t="s">
        <v>19</v>
      </c>
      <c r="B312">
        <v>15</v>
      </c>
      <c r="C312">
        <v>80.400000000000006</v>
      </c>
      <c r="D312">
        <v>2.7</v>
      </c>
      <c r="E312">
        <v>15</v>
      </c>
      <c r="F312">
        <v>84.45</v>
      </c>
      <c r="G312">
        <v>2.7</v>
      </c>
      <c r="H312">
        <v>1.2</v>
      </c>
      <c r="I312">
        <v>0.9</v>
      </c>
      <c r="J312">
        <v>1.8184978836478705</v>
      </c>
      <c r="K312">
        <v>1500</v>
      </c>
      <c r="L312">
        <v>0</v>
      </c>
      <c r="N312">
        <v>29</v>
      </c>
      <c r="O312" s="60" t="s">
        <v>1156</v>
      </c>
      <c r="P312" t="s">
        <v>827</v>
      </c>
      <c r="Q312" t="s">
        <v>1065</v>
      </c>
    </row>
    <row r="313" spans="1:17" x14ac:dyDescent="0.25">
      <c r="A313" t="s">
        <v>19</v>
      </c>
      <c r="B313">
        <v>15</v>
      </c>
      <c r="C313">
        <v>84.45</v>
      </c>
      <c r="D313">
        <v>2.7</v>
      </c>
      <c r="E313">
        <v>140</v>
      </c>
      <c r="F313">
        <v>84.45</v>
      </c>
      <c r="G313">
        <v>2.7</v>
      </c>
      <c r="H313">
        <v>1.2</v>
      </c>
      <c r="I313">
        <v>0.9</v>
      </c>
      <c r="J313">
        <v>56.126477890366417</v>
      </c>
      <c r="K313">
        <v>1500</v>
      </c>
      <c r="L313">
        <v>0</v>
      </c>
      <c r="N313">
        <v>29</v>
      </c>
      <c r="O313" s="60" t="s">
        <v>1157</v>
      </c>
      <c r="P313" t="s">
        <v>828</v>
      </c>
      <c r="Q313" t="s">
        <v>2396</v>
      </c>
    </row>
    <row r="314" spans="1:17" x14ac:dyDescent="0.25">
      <c r="A314" t="s">
        <v>19</v>
      </c>
      <c r="B314">
        <v>140</v>
      </c>
      <c r="C314">
        <v>84.45</v>
      </c>
      <c r="D314">
        <v>2.7</v>
      </c>
      <c r="E314">
        <v>140</v>
      </c>
      <c r="F314">
        <v>85.8</v>
      </c>
      <c r="G314">
        <v>2.7</v>
      </c>
      <c r="H314">
        <v>1.2</v>
      </c>
      <c r="I314">
        <v>0.9</v>
      </c>
      <c r="J314">
        <v>0.60616596121595478</v>
      </c>
      <c r="K314">
        <v>1500</v>
      </c>
      <c r="L314">
        <v>0</v>
      </c>
      <c r="N314">
        <v>29</v>
      </c>
      <c r="O314" s="60" t="s">
        <v>1158</v>
      </c>
      <c r="P314" t="s">
        <v>829</v>
      </c>
      <c r="Q314" t="s">
        <v>1066</v>
      </c>
    </row>
    <row r="315" spans="1:17" x14ac:dyDescent="0.25">
      <c r="A315" t="s">
        <v>19</v>
      </c>
      <c r="B315">
        <v>140</v>
      </c>
      <c r="C315">
        <v>85.8</v>
      </c>
      <c r="D315">
        <v>2.7</v>
      </c>
      <c r="E315">
        <v>15</v>
      </c>
      <c r="F315">
        <v>85.8</v>
      </c>
      <c r="G315">
        <v>2.7</v>
      </c>
      <c r="H315">
        <v>1.2</v>
      </c>
      <c r="I315">
        <v>0.9</v>
      </c>
      <c r="J315">
        <v>56.126477890366417</v>
      </c>
      <c r="K315">
        <v>1500</v>
      </c>
      <c r="L315">
        <v>0</v>
      </c>
      <c r="N315">
        <v>29</v>
      </c>
      <c r="O315" s="60" t="s">
        <v>1159</v>
      </c>
      <c r="P315" t="s">
        <v>814</v>
      </c>
      <c r="Q315" t="s">
        <v>2397</v>
      </c>
    </row>
    <row r="316" spans="1:17" x14ac:dyDescent="0.25">
      <c r="A316" t="s">
        <v>19</v>
      </c>
      <c r="B316">
        <v>15</v>
      </c>
      <c r="C316">
        <v>85.8</v>
      </c>
      <c r="D316">
        <v>2.7</v>
      </c>
      <c r="E316">
        <v>15</v>
      </c>
      <c r="F316">
        <v>89.85</v>
      </c>
      <c r="G316">
        <v>2.7</v>
      </c>
      <c r="H316">
        <v>1.2</v>
      </c>
      <c r="I316">
        <v>0.9</v>
      </c>
      <c r="J316">
        <v>1.8184978836478705</v>
      </c>
      <c r="K316">
        <v>1500</v>
      </c>
      <c r="L316">
        <v>0</v>
      </c>
      <c r="N316">
        <v>29</v>
      </c>
      <c r="O316" s="60" t="s">
        <v>1160</v>
      </c>
      <c r="P316" t="s">
        <v>827</v>
      </c>
      <c r="Q316" t="s">
        <v>1067</v>
      </c>
    </row>
    <row r="317" spans="1:17" x14ac:dyDescent="0.25">
      <c r="A317" t="s">
        <v>19</v>
      </c>
      <c r="B317">
        <v>15</v>
      </c>
      <c r="C317">
        <v>89.85</v>
      </c>
      <c r="D317">
        <v>2.7</v>
      </c>
      <c r="E317">
        <v>140</v>
      </c>
      <c r="F317">
        <v>89.85</v>
      </c>
      <c r="G317">
        <v>2.7</v>
      </c>
      <c r="H317">
        <v>1.2</v>
      </c>
      <c r="I317">
        <v>0.9</v>
      </c>
      <c r="J317">
        <v>56.126477890366417</v>
      </c>
      <c r="K317">
        <v>1500</v>
      </c>
      <c r="L317">
        <v>0</v>
      </c>
      <c r="N317">
        <v>29</v>
      </c>
      <c r="O317" s="60" t="s">
        <v>1161</v>
      </c>
      <c r="P317" t="s">
        <v>828</v>
      </c>
      <c r="Q317" t="s">
        <v>2396</v>
      </c>
    </row>
    <row r="318" spans="1:17" x14ac:dyDescent="0.25">
      <c r="A318" t="s">
        <v>19</v>
      </c>
      <c r="B318">
        <v>140</v>
      </c>
      <c r="C318">
        <v>89.85</v>
      </c>
      <c r="D318">
        <v>2.7</v>
      </c>
      <c r="E318">
        <v>140</v>
      </c>
      <c r="F318">
        <v>91.199999999999989</v>
      </c>
      <c r="G318">
        <v>2.7</v>
      </c>
      <c r="H318">
        <v>1.2</v>
      </c>
      <c r="I318">
        <v>0.9</v>
      </c>
      <c r="J318">
        <v>0.60616596121595478</v>
      </c>
      <c r="K318">
        <v>1500</v>
      </c>
      <c r="L318">
        <v>0</v>
      </c>
      <c r="N318">
        <v>29</v>
      </c>
      <c r="O318" s="60" t="s">
        <v>1162</v>
      </c>
      <c r="P318" t="s">
        <v>829</v>
      </c>
      <c r="Q318" t="s">
        <v>1068</v>
      </c>
    </row>
    <row r="319" spans="1:17" x14ac:dyDescent="0.25">
      <c r="A319" t="s">
        <v>19</v>
      </c>
      <c r="B319">
        <v>140</v>
      </c>
      <c r="C319">
        <v>91.199999999999989</v>
      </c>
      <c r="D319">
        <v>2.7</v>
      </c>
      <c r="E319">
        <v>15</v>
      </c>
      <c r="F319">
        <v>91.199999999999989</v>
      </c>
      <c r="G319">
        <v>2.7</v>
      </c>
      <c r="H319">
        <v>1.2</v>
      </c>
      <c r="I319">
        <v>0.9</v>
      </c>
      <c r="J319">
        <v>56.126477890366417</v>
      </c>
      <c r="K319">
        <v>1500</v>
      </c>
      <c r="L319">
        <v>0</v>
      </c>
      <c r="N319">
        <v>29</v>
      </c>
      <c r="O319" s="60" t="s">
        <v>1163</v>
      </c>
      <c r="P319" t="s">
        <v>814</v>
      </c>
      <c r="Q319" t="s">
        <v>2397</v>
      </c>
    </row>
    <row r="320" spans="1:17" x14ac:dyDescent="0.25">
      <c r="A320" t="s">
        <v>19</v>
      </c>
      <c r="B320">
        <v>15</v>
      </c>
      <c r="C320">
        <v>91.2</v>
      </c>
      <c r="D320">
        <v>2.7</v>
      </c>
      <c r="E320">
        <v>15</v>
      </c>
      <c r="F320">
        <v>95.25</v>
      </c>
      <c r="G320">
        <v>2.7</v>
      </c>
      <c r="H320">
        <v>1.2</v>
      </c>
      <c r="I320">
        <v>0.9</v>
      </c>
      <c r="J320">
        <v>1.8184978836478705</v>
      </c>
      <c r="K320">
        <v>1500</v>
      </c>
      <c r="L320">
        <v>0</v>
      </c>
      <c r="N320">
        <v>29</v>
      </c>
      <c r="O320" s="60" t="s">
        <v>1164</v>
      </c>
      <c r="P320" t="s">
        <v>827</v>
      </c>
      <c r="Q320" t="s">
        <v>1069</v>
      </c>
    </row>
    <row r="321" spans="1:17" x14ac:dyDescent="0.25">
      <c r="A321" t="s">
        <v>19</v>
      </c>
      <c r="B321">
        <v>15</v>
      </c>
      <c r="C321">
        <v>95.25</v>
      </c>
      <c r="D321">
        <v>2.7</v>
      </c>
      <c r="E321">
        <v>140</v>
      </c>
      <c r="F321">
        <v>95.25</v>
      </c>
      <c r="G321">
        <v>2.7</v>
      </c>
      <c r="H321">
        <v>1.2</v>
      </c>
      <c r="I321">
        <v>0.9</v>
      </c>
      <c r="J321">
        <v>56.126477890366417</v>
      </c>
      <c r="K321">
        <v>1500</v>
      </c>
      <c r="L321">
        <v>0</v>
      </c>
      <c r="N321">
        <v>29</v>
      </c>
      <c r="O321" s="60" t="s">
        <v>1165</v>
      </c>
      <c r="P321" t="s">
        <v>828</v>
      </c>
      <c r="Q321" t="s">
        <v>2396</v>
      </c>
    </row>
    <row r="322" spans="1:17" x14ac:dyDescent="0.25">
      <c r="A322" t="s">
        <v>19</v>
      </c>
      <c r="B322">
        <v>140</v>
      </c>
      <c r="C322">
        <v>95.25</v>
      </c>
      <c r="D322">
        <v>2.7</v>
      </c>
      <c r="E322">
        <v>140</v>
      </c>
      <c r="F322">
        <v>96.6</v>
      </c>
      <c r="G322">
        <v>2.7</v>
      </c>
      <c r="H322">
        <v>1.2</v>
      </c>
      <c r="I322">
        <v>0.9</v>
      </c>
      <c r="J322">
        <v>0.60616596121595478</v>
      </c>
      <c r="K322">
        <v>1500</v>
      </c>
      <c r="L322">
        <v>0</v>
      </c>
      <c r="N322">
        <v>29</v>
      </c>
      <c r="O322" s="60" t="s">
        <v>1166</v>
      </c>
      <c r="P322" t="s">
        <v>829</v>
      </c>
      <c r="Q322" t="s">
        <v>1070</v>
      </c>
    </row>
    <row r="323" spans="1:17" x14ac:dyDescent="0.25">
      <c r="A323" t="s">
        <v>19</v>
      </c>
      <c r="B323">
        <v>140</v>
      </c>
      <c r="C323">
        <v>96.6</v>
      </c>
      <c r="D323">
        <v>2.7</v>
      </c>
      <c r="E323">
        <v>15</v>
      </c>
      <c r="F323">
        <v>96.6</v>
      </c>
      <c r="G323">
        <v>2.7</v>
      </c>
      <c r="H323">
        <v>1.2</v>
      </c>
      <c r="I323">
        <v>0.9</v>
      </c>
      <c r="J323">
        <v>56.126477890366417</v>
      </c>
      <c r="K323">
        <v>1500</v>
      </c>
      <c r="L323">
        <v>0</v>
      </c>
      <c r="N323">
        <v>29</v>
      </c>
      <c r="O323" s="60" t="s">
        <v>1167</v>
      </c>
      <c r="P323" t="s">
        <v>814</v>
      </c>
      <c r="Q323" t="s">
        <v>2397</v>
      </c>
    </row>
    <row r="324" spans="1:17" x14ac:dyDescent="0.25">
      <c r="A324" t="s">
        <v>19</v>
      </c>
      <c r="B324">
        <v>15</v>
      </c>
      <c r="C324">
        <v>96.6</v>
      </c>
      <c r="D324">
        <v>2.7</v>
      </c>
      <c r="E324">
        <v>15</v>
      </c>
      <c r="F324">
        <v>100.65</v>
      </c>
      <c r="G324">
        <v>2.7</v>
      </c>
      <c r="H324">
        <v>1.2</v>
      </c>
      <c r="I324">
        <v>0.9</v>
      </c>
      <c r="J324">
        <v>1.8184978836478705</v>
      </c>
      <c r="K324">
        <v>1500</v>
      </c>
      <c r="L324">
        <v>0</v>
      </c>
      <c r="N324">
        <v>29</v>
      </c>
      <c r="O324" s="60" t="s">
        <v>1168</v>
      </c>
      <c r="P324" t="s">
        <v>827</v>
      </c>
      <c r="Q324" t="s">
        <v>1071</v>
      </c>
    </row>
    <row r="325" spans="1:17" x14ac:dyDescent="0.25">
      <c r="A325" t="s">
        <v>19</v>
      </c>
      <c r="B325">
        <v>15</v>
      </c>
      <c r="C325">
        <v>100.65</v>
      </c>
      <c r="D325">
        <v>2.7</v>
      </c>
      <c r="E325">
        <v>140</v>
      </c>
      <c r="F325">
        <v>100.65</v>
      </c>
      <c r="G325">
        <v>2.7</v>
      </c>
      <c r="H325">
        <v>1.2</v>
      </c>
      <c r="I325">
        <v>0.9</v>
      </c>
      <c r="J325">
        <v>56.126477890366417</v>
      </c>
      <c r="K325">
        <v>1500</v>
      </c>
      <c r="L325">
        <v>0</v>
      </c>
      <c r="N325">
        <v>29</v>
      </c>
      <c r="O325" s="60" t="s">
        <v>1169</v>
      </c>
      <c r="P325" t="s">
        <v>828</v>
      </c>
      <c r="Q325" t="s">
        <v>2396</v>
      </c>
    </row>
    <row r="326" spans="1:17" x14ac:dyDescent="0.25">
      <c r="A326" t="s">
        <v>19</v>
      </c>
      <c r="B326">
        <v>140</v>
      </c>
      <c r="C326">
        <v>100.65</v>
      </c>
      <c r="D326">
        <v>2.7</v>
      </c>
      <c r="E326">
        <v>140</v>
      </c>
      <c r="F326">
        <v>102</v>
      </c>
      <c r="G326">
        <v>2.7</v>
      </c>
      <c r="H326">
        <v>1.2</v>
      </c>
      <c r="I326">
        <v>0.9</v>
      </c>
      <c r="J326">
        <v>0.60616596121595478</v>
      </c>
      <c r="K326">
        <v>1500</v>
      </c>
      <c r="L326">
        <v>0</v>
      </c>
      <c r="N326">
        <v>29</v>
      </c>
      <c r="O326" s="60" t="s">
        <v>1170</v>
      </c>
      <c r="P326" t="s">
        <v>829</v>
      </c>
      <c r="Q326" t="s">
        <v>1072</v>
      </c>
    </row>
    <row r="327" spans="1:17" x14ac:dyDescent="0.25">
      <c r="A327" t="s">
        <v>19</v>
      </c>
      <c r="B327">
        <v>140</v>
      </c>
      <c r="C327">
        <v>102</v>
      </c>
      <c r="D327">
        <v>2.7</v>
      </c>
      <c r="E327">
        <v>15</v>
      </c>
      <c r="F327">
        <v>102</v>
      </c>
      <c r="G327">
        <v>2.7</v>
      </c>
      <c r="H327">
        <v>1.2</v>
      </c>
      <c r="I327">
        <v>0.9</v>
      </c>
      <c r="J327">
        <v>56.126477890366417</v>
      </c>
      <c r="K327">
        <v>1500</v>
      </c>
      <c r="L327">
        <v>0</v>
      </c>
      <c r="N327">
        <v>29</v>
      </c>
      <c r="O327" s="60" t="s">
        <v>1171</v>
      </c>
      <c r="P327" t="s">
        <v>814</v>
      </c>
      <c r="Q327" t="s">
        <v>2397</v>
      </c>
    </row>
    <row r="328" spans="1:17" x14ac:dyDescent="0.25">
      <c r="A328" t="s">
        <v>19</v>
      </c>
      <c r="B328">
        <v>15</v>
      </c>
      <c r="C328">
        <v>102</v>
      </c>
      <c r="D328">
        <v>2.7</v>
      </c>
      <c r="E328">
        <v>15</v>
      </c>
      <c r="F328">
        <v>106.05</v>
      </c>
      <c r="G328">
        <v>2.7</v>
      </c>
      <c r="H328">
        <v>1.2</v>
      </c>
      <c r="I328">
        <v>0.9</v>
      </c>
      <c r="J328">
        <v>1.8184978836478705</v>
      </c>
      <c r="K328">
        <v>1500</v>
      </c>
      <c r="L328">
        <v>0</v>
      </c>
      <c r="N328">
        <v>29</v>
      </c>
      <c r="O328" s="60" t="s">
        <v>1172</v>
      </c>
      <c r="P328" t="s">
        <v>827</v>
      </c>
      <c r="Q328" t="s">
        <v>1073</v>
      </c>
    </row>
    <row r="329" spans="1:17" x14ac:dyDescent="0.25">
      <c r="A329" t="s">
        <v>19</v>
      </c>
      <c r="B329">
        <v>15</v>
      </c>
      <c r="C329">
        <v>106.05</v>
      </c>
      <c r="D329">
        <v>2.7</v>
      </c>
      <c r="E329">
        <v>140</v>
      </c>
      <c r="F329">
        <v>106.05</v>
      </c>
      <c r="G329">
        <v>2.7</v>
      </c>
      <c r="H329">
        <v>1.2</v>
      </c>
      <c r="I329">
        <v>0.9</v>
      </c>
      <c r="J329">
        <v>56.126477890366417</v>
      </c>
      <c r="K329">
        <v>1500</v>
      </c>
      <c r="L329">
        <v>0</v>
      </c>
      <c r="N329">
        <v>29</v>
      </c>
      <c r="O329" s="60" t="s">
        <v>1173</v>
      </c>
      <c r="P329" t="s">
        <v>828</v>
      </c>
      <c r="Q329" t="s">
        <v>2396</v>
      </c>
    </row>
    <row r="330" spans="1:17" x14ac:dyDescent="0.25">
      <c r="A330" t="s">
        <v>19</v>
      </c>
      <c r="B330">
        <v>140</v>
      </c>
      <c r="C330">
        <v>106.05</v>
      </c>
      <c r="D330">
        <v>2.7</v>
      </c>
      <c r="E330">
        <v>140</v>
      </c>
      <c r="F330">
        <v>107.39999999999999</v>
      </c>
      <c r="G330">
        <v>2.7</v>
      </c>
      <c r="H330">
        <v>1.2</v>
      </c>
      <c r="I330">
        <v>0.9</v>
      </c>
      <c r="J330">
        <v>0.60616596121595478</v>
      </c>
      <c r="K330">
        <v>1500</v>
      </c>
      <c r="L330">
        <v>0</v>
      </c>
      <c r="N330">
        <v>29</v>
      </c>
      <c r="O330" s="60" t="s">
        <v>1174</v>
      </c>
      <c r="P330" t="s">
        <v>829</v>
      </c>
      <c r="Q330" t="s">
        <v>1074</v>
      </c>
    </row>
    <row r="331" spans="1:17" x14ac:dyDescent="0.25">
      <c r="A331" t="s">
        <v>19</v>
      </c>
      <c r="B331">
        <v>140</v>
      </c>
      <c r="C331">
        <v>107.39999999999999</v>
      </c>
      <c r="D331">
        <v>2.7</v>
      </c>
      <c r="E331">
        <v>15</v>
      </c>
      <c r="F331">
        <v>107.39999999999999</v>
      </c>
      <c r="G331">
        <v>2.7</v>
      </c>
      <c r="H331">
        <v>1.2</v>
      </c>
      <c r="I331">
        <v>0.9</v>
      </c>
      <c r="J331">
        <v>56.126477890366417</v>
      </c>
      <c r="K331">
        <v>1500</v>
      </c>
      <c r="L331">
        <v>0</v>
      </c>
      <c r="N331">
        <v>29</v>
      </c>
      <c r="O331" s="60" t="s">
        <v>1175</v>
      </c>
      <c r="P331" t="s">
        <v>814</v>
      </c>
      <c r="Q331" t="s">
        <v>2397</v>
      </c>
    </row>
    <row r="332" spans="1:17" x14ac:dyDescent="0.25">
      <c r="A332" t="s">
        <v>19</v>
      </c>
      <c r="B332">
        <v>15</v>
      </c>
      <c r="C332">
        <v>107.4</v>
      </c>
      <c r="D332">
        <v>2.7</v>
      </c>
      <c r="E332">
        <v>15</v>
      </c>
      <c r="F332">
        <v>111.45</v>
      </c>
      <c r="G332">
        <v>2.7</v>
      </c>
      <c r="H332">
        <v>1.2</v>
      </c>
      <c r="I332">
        <v>0.9</v>
      </c>
      <c r="J332">
        <v>1.8184978836478705</v>
      </c>
      <c r="K332">
        <v>1500</v>
      </c>
      <c r="L332">
        <v>0</v>
      </c>
      <c r="N332">
        <v>29</v>
      </c>
      <c r="O332" s="60" t="s">
        <v>1176</v>
      </c>
      <c r="P332" t="s">
        <v>827</v>
      </c>
      <c r="Q332" t="s">
        <v>1075</v>
      </c>
    </row>
    <row r="333" spans="1:17" x14ac:dyDescent="0.25">
      <c r="A333" t="s">
        <v>19</v>
      </c>
      <c r="B333">
        <v>15</v>
      </c>
      <c r="C333">
        <v>111.45</v>
      </c>
      <c r="D333">
        <v>2.7</v>
      </c>
      <c r="E333">
        <v>140</v>
      </c>
      <c r="F333">
        <v>111.45</v>
      </c>
      <c r="G333">
        <v>2.7</v>
      </c>
      <c r="H333">
        <v>1.2</v>
      </c>
      <c r="I333">
        <v>0.9</v>
      </c>
      <c r="J333">
        <v>56.126477890366417</v>
      </c>
      <c r="K333">
        <v>1500</v>
      </c>
      <c r="L333">
        <v>0</v>
      </c>
      <c r="N333">
        <v>29</v>
      </c>
      <c r="O333" s="60" t="s">
        <v>1177</v>
      </c>
      <c r="P333" t="s">
        <v>828</v>
      </c>
      <c r="Q333" t="s">
        <v>2396</v>
      </c>
    </row>
    <row r="334" spans="1:17" x14ac:dyDescent="0.25">
      <c r="A334" t="s">
        <v>19</v>
      </c>
      <c r="B334">
        <v>140</v>
      </c>
      <c r="C334">
        <v>111.45</v>
      </c>
      <c r="D334">
        <v>2.7</v>
      </c>
      <c r="E334">
        <v>140</v>
      </c>
      <c r="F334">
        <v>112.8</v>
      </c>
      <c r="G334">
        <v>2.7</v>
      </c>
      <c r="H334">
        <v>1.2</v>
      </c>
      <c r="I334">
        <v>0.9</v>
      </c>
      <c r="J334">
        <v>0.60616596121595478</v>
      </c>
      <c r="K334">
        <v>1500</v>
      </c>
      <c r="L334">
        <v>0</v>
      </c>
      <c r="N334">
        <v>29</v>
      </c>
      <c r="O334" s="60" t="s">
        <v>1178</v>
      </c>
      <c r="P334" t="s">
        <v>829</v>
      </c>
      <c r="Q334" t="s">
        <v>1076</v>
      </c>
    </row>
    <row r="335" spans="1:17" x14ac:dyDescent="0.25">
      <c r="A335" t="s">
        <v>19</v>
      </c>
      <c r="B335">
        <v>140</v>
      </c>
      <c r="C335">
        <v>112.8</v>
      </c>
      <c r="D335">
        <v>2.7</v>
      </c>
      <c r="E335">
        <v>15</v>
      </c>
      <c r="F335">
        <v>112.8</v>
      </c>
      <c r="G335">
        <v>2.7</v>
      </c>
      <c r="H335">
        <v>1.2</v>
      </c>
      <c r="I335">
        <v>0.9</v>
      </c>
      <c r="J335">
        <v>56.126477890366417</v>
      </c>
      <c r="K335">
        <v>1500</v>
      </c>
      <c r="L335">
        <v>0</v>
      </c>
      <c r="N335">
        <v>29</v>
      </c>
      <c r="O335" s="60" t="s">
        <v>1179</v>
      </c>
      <c r="P335" t="s">
        <v>814</v>
      </c>
      <c r="Q335" t="s">
        <v>2397</v>
      </c>
    </row>
    <row r="336" spans="1:17" x14ac:dyDescent="0.25">
      <c r="A336" t="s">
        <v>19</v>
      </c>
      <c r="B336">
        <v>15</v>
      </c>
      <c r="C336">
        <v>112.8</v>
      </c>
      <c r="D336">
        <v>2.7</v>
      </c>
      <c r="E336">
        <v>15</v>
      </c>
      <c r="F336">
        <v>116.85</v>
      </c>
      <c r="G336">
        <v>2.7</v>
      </c>
      <c r="H336">
        <v>1.2</v>
      </c>
      <c r="I336">
        <v>0.9</v>
      </c>
      <c r="J336">
        <v>1.8184978836478705</v>
      </c>
      <c r="K336">
        <v>1500</v>
      </c>
      <c r="L336">
        <v>0</v>
      </c>
      <c r="N336">
        <v>29</v>
      </c>
      <c r="O336" s="60" t="s">
        <v>1180</v>
      </c>
      <c r="P336" t="s">
        <v>827</v>
      </c>
      <c r="Q336" t="s">
        <v>1077</v>
      </c>
    </row>
    <row r="337" spans="1:17" x14ac:dyDescent="0.25">
      <c r="A337" t="s">
        <v>19</v>
      </c>
      <c r="B337">
        <v>15</v>
      </c>
      <c r="C337">
        <v>116.85</v>
      </c>
      <c r="D337">
        <v>2.7</v>
      </c>
      <c r="E337">
        <v>140</v>
      </c>
      <c r="F337">
        <v>116.85</v>
      </c>
      <c r="G337">
        <v>2.7</v>
      </c>
      <c r="H337">
        <v>1.2</v>
      </c>
      <c r="I337">
        <v>0.9</v>
      </c>
      <c r="J337">
        <v>56.126477890366417</v>
      </c>
      <c r="K337">
        <v>1500</v>
      </c>
      <c r="L337">
        <v>0</v>
      </c>
      <c r="N337">
        <v>29</v>
      </c>
      <c r="O337" s="60" t="s">
        <v>1181</v>
      </c>
      <c r="P337" t="s">
        <v>828</v>
      </c>
      <c r="Q337" t="s">
        <v>2396</v>
      </c>
    </row>
    <row r="338" spans="1:17" x14ac:dyDescent="0.25">
      <c r="A338" t="s">
        <v>19</v>
      </c>
      <c r="B338">
        <v>140</v>
      </c>
      <c r="C338">
        <v>116.85</v>
      </c>
      <c r="D338">
        <v>2.7</v>
      </c>
      <c r="E338">
        <v>140</v>
      </c>
      <c r="F338">
        <v>118.19999999999999</v>
      </c>
      <c r="G338">
        <v>2.7</v>
      </c>
      <c r="H338">
        <v>1.2</v>
      </c>
      <c r="I338">
        <v>0.9</v>
      </c>
      <c r="J338">
        <v>0.60616596121595478</v>
      </c>
      <c r="K338">
        <v>1500</v>
      </c>
      <c r="L338">
        <v>0</v>
      </c>
      <c r="N338">
        <v>29</v>
      </c>
      <c r="O338" s="60" t="s">
        <v>1182</v>
      </c>
      <c r="P338" t="s">
        <v>829</v>
      </c>
      <c r="Q338" t="s">
        <v>1078</v>
      </c>
    </row>
    <row r="339" spans="1:17" x14ac:dyDescent="0.25">
      <c r="A339" t="s">
        <v>19</v>
      </c>
      <c r="B339">
        <v>140</v>
      </c>
      <c r="C339">
        <v>118.19999999999999</v>
      </c>
      <c r="D339">
        <v>2.7</v>
      </c>
      <c r="E339">
        <v>15</v>
      </c>
      <c r="F339">
        <v>118.19999999999999</v>
      </c>
      <c r="G339">
        <v>2.7</v>
      </c>
      <c r="H339">
        <v>1.2</v>
      </c>
      <c r="I339">
        <v>0.9</v>
      </c>
      <c r="J339">
        <v>56.126477890366417</v>
      </c>
      <c r="K339">
        <v>1500</v>
      </c>
      <c r="L339">
        <v>0</v>
      </c>
      <c r="N339">
        <v>29</v>
      </c>
      <c r="O339" s="60" t="s">
        <v>1183</v>
      </c>
      <c r="P339" t="s">
        <v>814</v>
      </c>
      <c r="Q339" t="s">
        <v>2397</v>
      </c>
    </row>
    <row r="340" spans="1:17" x14ac:dyDescent="0.25">
      <c r="A340" t="s">
        <v>19</v>
      </c>
      <c r="B340">
        <v>15</v>
      </c>
      <c r="C340">
        <v>118.2</v>
      </c>
      <c r="D340">
        <v>2.7</v>
      </c>
      <c r="E340">
        <v>15</v>
      </c>
      <c r="F340">
        <v>122.25</v>
      </c>
      <c r="G340">
        <v>2.7</v>
      </c>
      <c r="H340">
        <v>1.2</v>
      </c>
      <c r="I340">
        <v>0.9</v>
      </c>
      <c r="J340">
        <v>1.8184978836478705</v>
      </c>
      <c r="K340">
        <v>1500</v>
      </c>
      <c r="L340">
        <v>0</v>
      </c>
      <c r="N340">
        <v>29</v>
      </c>
      <c r="O340" s="60" t="s">
        <v>2025</v>
      </c>
      <c r="P340" t="s">
        <v>827</v>
      </c>
      <c r="Q340" t="s">
        <v>1955</v>
      </c>
    </row>
    <row r="341" spans="1:17" x14ac:dyDescent="0.25">
      <c r="A341" t="s">
        <v>19</v>
      </c>
      <c r="B341">
        <v>15</v>
      </c>
      <c r="C341">
        <v>122.25</v>
      </c>
      <c r="D341">
        <v>2.7</v>
      </c>
      <c r="E341">
        <v>140</v>
      </c>
      <c r="F341">
        <v>122.25</v>
      </c>
      <c r="G341">
        <v>2.7</v>
      </c>
      <c r="H341">
        <v>1.2</v>
      </c>
      <c r="I341">
        <v>0.9</v>
      </c>
      <c r="J341">
        <v>56.126477890366417</v>
      </c>
      <c r="K341">
        <v>1500</v>
      </c>
      <c r="L341">
        <v>0</v>
      </c>
      <c r="N341">
        <v>29</v>
      </c>
      <c r="O341" s="60" t="s">
        <v>2026</v>
      </c>
      <c r="P341" t="s">
        <v>828</v>
      </c>
      <c r="Q341" t="s">
        <v>2396</v>
      </c>
    </row>
    <row r="342" spans="1:17" x14ac:dyDescent="0.25">
      <c r="A342" t="s">
        <v>19</v>
      </c>
      <c r="B342">
        <v>140</v>
      </c>
      <c r="C342">
        <v>122.25</v>
      </c>
      <c r="D342">
        <v>2.7</v>
      </c>
      <c r="E342">
        <v>140</v>
      </c>
      <c r="F342">
        <v>123.6</v>
      </c>
      <c r="G342">
        <v>2.7</v>
      </c>
      <c r="H342">
        <v>1.2</v>
      </c>
      <c r="I342">
        <v>0.9</v>
      </c>
      <c r="J342">
        <v>0.60616596121595478</v>
      </c>
      <c r="K342">
        <v>1500</v>
      </c>
      <c r="L342">
        <v>0</v>
      </c>
      <c r="N342">
        <v>29</v>
      </c>
      <c r="O342" s="60" t="s">
        <v>2027</v>
      </c>
      <c r="P342" t="s">
        <v>829</v>
      </c>
      <c r="Q342" t="s">
        <v>1958</v>
      </c>
    </row>
    <row r="343" spans="1:17" x14ac:dyDescent="0.25">
      <c r="A343" t="s">
        <v>19</v>
      </c>
      <c r="B343">
        <v>140</v>
      </c>
      <c r="C343">
        <v>123.6</v>
      </c>
      <c r="D343">
        <v>2.7</v>
      </c>
      <c r="E343">
        <v>15</v>
      </c>
      <c r="F343">
        <v>123.6</v>
      </c>
      <c r="G343">
        <v>2.7</v>
      </c>
      <c r="H343">
        <v>1.2</v>
      </c>
      <c r="I343">
        <v>0.9</v>
      </c>
      <c r="J343">
        <v>56.126477890366417</v>
      </c>
      <c r="K343">
        <v>1500</v>
      </c>
      <c r="L343">
        <v>0</v>
      </c>
      <c r="N343">
        <v>29</v>
      </c>
      <c r="O343" s="60" t="s">
        <v>2028</v>
      </c>
      <c r="P343" t="s">
        <v>814</v>
      </c>
      <c r="Q343" t="s">
        <v>2397</v>
      </c>
    </row>
    <row r="344" spans="1:17" x14ac:dyDescent="0.25">
      <c r="A344" t="s">
        <v>19</v>
      </c>
      <c r="B344">
        <v>15</v>
      </c>
      <c r="C344">
        <v>123.60000000000001</v>
      </c>
      <c r="D344">
        <v>2.7</v>
      </c>
      <c r="E344">
        <v>15</v>
      </c>
      <c r="F344">
        <v>127.65</v>
      </c>
      <c r="G344">
        <v>2.7</v>
      </c>
      <c r="H344">
        <v>1.2</v>
      </c>
      <c r="I344">
        <v>0.9</v>
      </c>
      <c r="J344">
        <v>1.8184978836478705</v>
      </c>
      <c r="K344">
        <v>1500</v>
      </c>
      <c r="L344">
        <v>0</v>
      </c>
      <c r="N344">
        <v>29</v>
      </c>
      <c r="O344" s="60" t="s">
        <v>2029</v>
      </c>
      <c r="P344" t="s">
        <v>827</v>
      </c>
      <c r="Q344" t="s">
        <v>1961</v>
      </c>
    </row>
    <row r="345" spans="1:17" x14ac:dyDescent="0.25">
      <c r="A345" t="s">
        <v>19</v>
      </c>
      <c r="B345">
        <v>15</v>
      </c>
      <c r="C345">
        <v>127.65</v>
      </c>
      <c r="D345">
        <v>2.7</v>
      </c>
      <c r="E345">
        <v>140</v>
      </c>
      <c r="F345">
        <v>127.65</v>
      </c>
      <c r="G345">
        <v>2.7</v>
      </c>
      <c r="H345">
        <v>1.2</v>
      </c>
      <c r="I345">
        <v>0.9</v>
      </c>
      <c r="J345">
        <v>56.126477890366417</v>
      </c>
      <c r="K345">
        <v>1500</v>
      </c>
      <c r="L345">
        <v>0</v>
      </c>
      <c r="N345">
        <v>29</v>
      </c>
      <c r="O345" s="60" t="s">
        <v>2030</v>
      </c>
      <c r="P345" t="s">
        <v>828</v>
      </c>
      <c r="Q345" t="s">
        <v>2396</v>
      </c>
    </row>
    <row r="346" spans="1:17" x14ac:dyDescent="0.25">
      <c r="A346" t="s">
        <v>19</v>
      </c>
      <c r="B346">
        <v>140</v>
      </c>
      <c r="C346">
        <v>127.65</v>
      </c>
      <c r="D346">
        <v>2.7</v>
      </c>
      <c r="E346">
        <v>140</v>
      </c>
      <c r="F346">
        <v>129</v>
      </c>
      <c r="G346">
        <v>2.7</v>
      </c>
      <c r="H346">
        <v>1.2</v>
      </c>
      <c r="I346">
        <v>0.9</v>
      </c>
      <c r="J346">
        <v>0.60616596121595478</v>
      </c>
      <c r="K346">
        <v>1500</v>
      </c>
      <c r="L346">
        <v>0</v>
      </c>
      <c r="N346">
        <v>29</v>
      </c>
      <c r="O346" s="60" t="s">
        <v>2031</v>
      </c>
      <c r="P346" t="s">
        <v>829</v>
      </c>
      <c r="Q346" t="s">
        <v>1964</v>
      </c>
    </row>
    <row r="347" spans="1:17" x14ac:dyDescent="0.25">
      <c r="A347" t="s">
        <v>19</v>
      </c>
      <c r="B347">
        <v>140</v>
      </c>
      <c r="C347">
        <v>129</v>
      </c>
      <c r="D347">
        <v>2.7</v>
      </c>
      <c r="E347">
        <v>15</v>
      </c>
      <c r="F347">
        <v>129</v>
      </c>
      <c r="G347">
        <v>2.7</v>
      </c>
      <c r="H347">
        <v>1.2</v>
      </c>
      <c r="I347">
        <v>0.9</v>
      </c>
      <c r="J347">
        <v>56.126477890366417</v>
      </c>
      <c r="K347">
        <v>1500</v>
      </c>
      <c r="L347">
        <v>0</v>
      </c>
      <c r="N347">
        <v>29</v>
      </c>
      <c r="O347" s="60" t="s">
        <v>2032</v>
      </c>
      <c r="P347" t="s">
        <v>814</v>
      </c>
      <c r="Q347" t="s">
        <v>2397</v>
      </c>
    </row>
    <row r="348" spans="1:17" x14ac:dyDescent="0.25">
      <c r="A348" t="s">
        <v>39</v>
      </c>
      <c r="B348">
        <v>-1.25</v>
      </c>
      <c r="C348">
        <v>2100</v>
      </c>
      <c r="N348">
        <v>29</v>
      </c>
      <c r="O348" s="60" t="s">
        <v>895</v>
      </c>
      <c r="P348" t="s">
        <v>757</v>
      </c>
      <c r="Q348" t="s">
        <v>845</v>
      </c>
    </row>
    <row r="349" spans="1:17" x14ac:dyDescent="0.25">
      <c r="A349" t="s">
        <v>660</v>
      </c>
      <c r="B349">
        <v>0.9</v>
      </c>
      <c r="C349">
        <v>10000</v>
      </c>
      <c r="N349">
        <v>29</v>
      </c>
      <c r="O349" s="60" t="s">
        <v>895</v>
      </c>
      <c r="P349" t="s">
        <v>757</v>
      </c>
      <c r="Q349" t="s">
        <v>733</v>
      </c>
    </row>
    <row r="350" spans="1:17" x14ac:dyDescent="0.25">
      <c r="A350" t="s">
        <v>23</v>
      </c>
      <c r="B350">
        <v>15</v>
      </c>
      <c r="C350">
        <v>129</v>
      </c>
      <c r="D350">
        <v>2.7</v>
      </c>
      <c r="E350">
        <v>15</v>
      </c>
      <c r="F350">
        <v>75</v>
      </c>
      <c r="G350">
        <v>3.6</v>
      </c>
      <c r="H350">
        <v>0</v>
      </c>
      <c r="I350">
        <v>0</v>
      </c>
      <c r="K350">
        <v>48000</v>
      </c>
      <c r="N350">
        <v>0</v>
      </c>
      <c r="O350" s="60">
        <v>0</v>
      </c>
      <c r="P350" t="s">
        <v>661</v>
      </c>
      <c r="Q350" t="s">
        <v>2033</v>
      </c>
    </row>
    <row r="351" spans="1:17" x14ac:dyDescent="0.25">
      <c r="A351" t="s">
        <v>19</v>
      </c>
      <c r="B351">
        <v>15</v>
      </c>
      <c r="C351">
        <v>75</v>
      </c>
      <c r="D351">
        <v>3.6</v>
      </c>
      <c r="E351">
        <v>15</v>
      </c>
      <c r="F351">
        <v>79.05</v>
      </c>
      <c r="G351">
        <v>3.6</v>
      </c>
      <c r="H351">
        <v>1.2</v>
      </c>
      <c r="I351">
        <v>0.9</v>
      </c>
      <c r="J351">
        <v>1.8184978836478705</v>
      </c>
      <c r="K351">
        <v>1500</v>
      </c>
      <c r="L351">
        <v>0</v>
      </c>
      <c r="N351">
        <v>29</v>
      </c>
      <c r="O351" s="60" t="s">
        <v>2034</v>
      </c>
      <c r="P351" t="s">
        <v>1968</v>
      </c>
      <c r="Q351" t="s">
        <v>879</v>
      </c>
    </row>
    <row r="352" spans="1:17" x14ac:dyDescent="0.25">
      <c r="A352" t="s">
        <v>19</v>
      </c>
      <c r="B352">
        <v>15</v>
      </c>
      <c r="C352">
        <v>79.05</v>
      </c>
      <c r="D352">
        <v>3.6</v>
      </c>
      <c r="E352">
        <v>140</v>
      </c>
      <c r="F352">
        <v>79.05</v>
      </c>
      <c r="G352">
        <v>3.6</v>
      </c>
      <c r="H352">
        <v>1.2</v>
      </c>
      <c r="I352">
        <v>0.9</v>
      </c>
      <c r="J352">
        <v>56.126477890366417</v>
      </c>
      <c r="K352">
        <v>1500</v>
      </c>
      <c r="L352">
        <v>0</v>
      </c>
      <c r="N352">
        <v>29</v>
      </c>
      <c r="O352" s="60" t="s">
        <v>2035</v>
      </c>
      <c r="P352" t="s">
        <v>1970</v>
      </c>
      <c r="Q352" t="s">
        <v>2396</v>
      </c>
    </row>
    <row r="353" spans="1:17" x14ac:dyDescent="0.25">
      <c r="A353" t="s">
        <v>19</v>
      </c>
      <c r="B353">
        <v>140</v>
      </c>
      <c r="C353">
        <v>79.05</v>
      </c>
      <c r="D353">
        <v>3.6</v>
      </c>
      <c r="E353">
        <v>140</v>
      </c>
      <c r="F353">
        <v>80.399999999999991</v>
      </c>
      <c r="G353">
        <v>3.6</v>
      </c>
      <c r="H353">
        <v>1.2</v>
      </c>
      <c r="I353">
        <v>0.9</v>
      </c>
      <c r="J353">
        <v>0.60616596121595478</v>
      </c>
      <c r="K353">
        <v>1500</v>
      </c>
      <c r="L353">
        <v>0</v>
      </c>
      <c r="N353">
        <v>29</v>
      </c>
      <c r="O353" s="60" t="s">
        <v>2036</v>
      </c>
      <c r="P353" t="s">
        <v>1972</v>
      </c>
      <c r="Q353" t="s">
        <v>880</v>
      </c>
    </row>
    <row r="354" spans="1:17" x14ac:dyDescent="0.25">
      <c r="A354" t="s">
        <v>19</v>
      </c>
      <c r="B354">
        <v>140</v>
      </c>
      <c r="C354">
        <v>80.399999999999991</v>
      </c>
      <c r="D354">
        <v>3.6</v>
      </c>
      <c r="E354">
        <v>15</v>
      </c>
      <c r="F354">
        <v>80.399999999999991</v>
      </c>
      <c r="G354">
        <v>3.6</v>
      </c>
      <c r="H354">
        <v>1.2</v>
      </c>
      <c r="I354">
        <v>0.9</v>
      </c>
      <c r="J354">
        <v>56.126477890366417</v>
      </c>
      <c r="K354">
        <v>1500</v>
      </c>
      <c r="L354">
        <v>0</v>
      </c>
      <c r="N354">
        <v>29</v>
      </c>
      <c r="O354" s="60" t="s">
        <v>2037</v>
      </c>
      <c r="P354" t="s">
        <v>1974</v>
      </c>
      <c r="Q354" t="s">
        <v>2397</v>
      </c>
    </row>
    <row r="355" spans="1:17" x14ac:dyDescent="0.25">
      <c r="A355" t="s">
        <v>19</v>
      </c>
      <c r="B355">
        <v>15</v>
      </c>
      <c r="C355">
        <v>80.400000000000006</v>
      </c>
      <c r="D355">
        <v>3.6</v>
      </c>
      <c r="E355">
        <v>15</v>
      </c>
      <c r="F355">
        <v>84.45</v>
      </c>
      <c r="G355">
        <v>3.6</v>
      </c>
      <c r="H355">
        <v>1.2</v>
      </c>
      <c r="I355">
        <v>0.9</v>
      </c>
      <c r="J355">
        <v>1.8184978836478705</v>
      </c>
      <c r="K355">
        <v>1500</v>
      </c>
      <c r="L355">
        <v>0</v>
      </c>
      <c r="N355">
        <v>29</v>
      </c>
      <c r="O355" s="60" t="s">
        <v>1184</v>
      </c>
      <c r="P355" t="s">
        <v>823</v>
      </c>
      <c r="Q355" t="s">
        <v>1065</v>
      </c>
    </row>
    <row r="356" spans="1:17" x14ac:dyDescent="0.25">
      <c r="A356" t="s">
        <v>19</v>
      </c>
      <c r="B356">
        <v>15</v>
      </c>
      <c r="C356">
        <v>84.45</v>
      </c>
      <c r="D356">
        <v>3.6</v>
      </c>
      <c r="E356">
        <v>140</v>
      </c>
      <c r="F356">
        <v>84.45</v>
      </c>
      <c r="G356">
        <v>3.6</v>
      </c>
      <c r="H356">
        <v>1.2</v>
      </c>
      <c r="I356">
        <v>0.9</v>
      </c>
      <c r="J356">
        <v>56.126477890366417</v>
      </c>
      <c r="K356">
        <v>1500</v>
      </c>
      <c r="L356">
        <v>0</v>
      </c>
      <c r="N356">
        <v>29</v>
      </c>
      <c r="O356" s="60" t="s">
        <v>1185</v>
      </c>
      <c r="P356" t="s">
        <v>750</v>
      </c>
      <c r="Q356" t="s">
        <v>2396</v>
      </c>
    </row>
    <row r="357" spans="1:17" x14ac:dyDescent="0.25">
      <c r="A357" t="s">
        <v>19</v>
      </c>
      <c r="B357">
        <v>140</v>
      </c>
      <c r="C357">
        <v>84.45</v>
      </c>
      <c r="D357">
        <v>3.6</v>
      </c>
      <c r="E357">
        <v>140</v>
      </c>
      <c r="F357">
        <v>85.8</v>
      </c>
      <c r="G357">
        <v>3.6</v>
      </c>
      <c r="H357">
        <v>1.2</v>
      </c>
      <c r="I357">
        <v>0.9</v>
      </c>
      <c r="J357">
        <v>0.60616596121595478</v>
      </c>
      <c r="K357">
        <v>1500</v>
      </c>
      <c r="L357">
        <v>0</v>
      </c>
      <c r="N357">
        <v>29</v>
      </c>
      <c r="O357" s="60" t="s">
        <v>1186</v>
      </c>
      <c r="P357" t="s">
        <v>751</v>
      </c>
      <c r="Q357" t="s">
        <v>1066</v>
      </c>
    </row>
    <row r="358" spans="1:17" x14ac:dyDescent="0.25">
      <c r="A358" t="s">
        <v>19</v>
      </c>
      <c r="B358">
        <v>140</v>
      </c>
      <c r="C358">
        <v>85.8</v>
      </c>
      <c r="D358">
        <v>3.6</v>
      </c>
      <c r="E358">
        <v>15</v>
      </c>
      <c r="F358">
        <v>85.8</v>
      </c>
      <c r="G358">
        <v>3.6</v>
      </c>
      <c r="H358">
        <v>1.2</v>
      </c>
      <c r="I358">
        <v>0.9</v>
      </c>
      <c r="J358">
        <v>56.126477890366417</v>
      </c>
      <c r="K358">
        <v>1500</v>
      </c>
      <c r="L358">
        <v>0</v>
      </c>
      <c r="N358">
        <v>29</v>
      </c>
      <c r="O358" s="60" t="s">
        <v>896</v>
      </c>
      <c r="P358" t="s">
        <v>752</v>
      </c>
      <c r="Q358" t="s">
        <v>2397</v>
      </c>
    </row>
    <row r="359" spans="1:17" x14ac:dyDescent="0.25">
      <c r="A359" t="s">
        <v>19</v>
      </c>
      <c r="B359">
        <v>15</v>
      </c>
      <c r="C359">
        <v>85.8</v>
      </c>
      <c r="D359">
        <v>3.6</v>
      </c>
      <c r="E359">
        <v>15</v>
      </c>
      <c r="F359">
        <v>89.85</v>
      </c>
      <c r="G359">
        <v>3.6</v>
      </c>
      <c r="H359">
        <v>1.2</v>
      </c>
      <c r="I359">
        <v>0.9</v>
      </c>
      <c r="J359">
        <v>1.8184978836478705</v>
      </c>
      <c r="K359">
        <v>1500</v>
      </c>
      <c r="L359">
        <v>0</v>
      </c>
      <c r="N359">
        <v>29</v>
      </c>
      <c r="O359" s="60" t="s">
        <v>1187</v>
      </c>
      <c r="P359" t="s">
        <v>823</v>
      </c>
      <c r="Q359" t="s">
        <v>1067</v>
      </c>
    </row>
    <row r="360" spans="1:17" x14ac:dyDescent="0.25">
      <c r="A360" t="s">
        <v>19</v>
      </c>
      <c r="B360">
        <v>15</v>
      </c>
      <c r="C360">
        <v>89.85</v>
      </c>
      <c r="D360">
        <v>3.6</v>
      </c>
      <c r="E360">
        <v>140</v>
      </c>
      <c r="F360">
        <v>89.85</v>
      </c>
      <c r="G360">
        <v>3.6</v>
      </c>
      <c r="H360">
        <v>1.2</v>
      </c>
      <c r="I360">
        <v>0.9</v>
      </c>
      <c r="J360">
        <v>56.126477890366417</v>
      </c>
      <c r="K360">
        <v>1500</v>
      </c>
      <c r="L360">
        <v>0</v>
      </c>
      <c r="N360">
        <v>29</v>
      </c>
      <c r="O360" s="60" t="s">
        <v>1188</v>
      </c>
      <c r="P360" t="s">
        <v>750</v>
      </c>
      <c r="Q360" t="s">
        <v>2396</v>
      </c>
    </row>
    <row r="361" spans="1:17" x14ac:dyDescent="0.25">
      <c r="A361" t="s">
        <v>19</v>
      </c>
      <c r="B361">
        <v>140</v>
      </c>
      <c r="C361">
        <v>89.85</v>
      </c>
      <c r="D361">
        <v>3.6</v>
      </c>
      <c r="E361">
        <v>140</v>
      </c>
      <c r="F361">
        <v>91.199999999999989</v>
      </c>
      <c r="G361">
        <v>3.6</v>
      </c>
      <c r="H361">
        <v>1.2</v>
      </c>
      <c r="I361">
        <v>0.9</v>
      </c>
      <c r="J361">
        <v>0.60616596121595478</v>
      </c>
      <c r="K361">
        <v>1500</v>
      </c>
      <c r="L361">
        <v>0</v>
      </c>
      <c r="N361">
        <v>29</v>
      </c>
      <c r="O361" s="60" t="s">
        <v>1189</v>
      </c>
      <c r="P361" t="s">
        <v>751</v>
      </c>
      <c r="Q361" t="s">
        <v>1068</v>
      </c>
    </row>
    <row r="362" spans="1:17" x14ac:dyDescent="0.25">
      <c r="A362" t="s">
        <v>19</v>
      </c>
      <c r="B362">
        <v>140</v>
      </c>
      <c r="C362">
        <v>91.199999999999989</v>
      </c>
      <c r="D362">
        <v>3.6</v>
      </c>
      <c r="E362">
        <v>15</v>
      </c>
      <c r="F362">
        <v>91.199999999999989</v>
      </c>
      <c r="G362">
        <v>3.6</v>
      </c>
      <c r="H362">
        <v>1.2</v>
      </c>
      <c r="I362">
        <v>0.9</v>
      </c>
      <c r="J362">
        <v>56.126477890366417</v>
      </c>
      <c r="K362">
        <v>1500</v>
      </c>
      <c r="L362">
        <v>0</v>
      </c>
      <c r="N362">
        <v>29</v>
      </c>
      <c r="O362" s="60" t="s">
        <v>897</v>
      </c>
      <c r="P362" t="s">
        <v>752</v>
      </c>
      <c r="Q362" t="s">
        <v>2397</v>
      </c>
    </row>
    <row r="363" spans="1:17" x14ac:dyDescent="0.25">
      <c r="A363" t="s">
        <v>19</v>
      </c>
      <c r="B363">
        <v>15</v>
      </c>
      <c r="C363">
        <v>91.2</v>
      </c>
      <c r="D363">
        <v>3.6</v>
      </c>
      <c r="E363">
        <v>15</v>
      </c>
      <c r="F363">
        <v>95.25</v>
      </c>
      <c r="G363">
        <v>3.6</v>
      </c>
      <c r="H363">
        <v>1.2</v>
      </c>
      <c r="I363">
        <v>0.9</v>
      </c>
      <c r="J363">
        <v>1.8184978836478705</v>
      </c>
      <c r="K363">
        <v>1500</v>
      </c>
      <c r="L363">
        <v>0</v>
      </c>
      <c r="N363">
        <v>29</v>
      </c>
      <c r="O363" s="60" t="s">
        <v>1190</v>
      </c>
      <c r="P363" t="s">
        <v>823</v>
      </c>
      <c r="Q363" t="s">
        <v>1069</v>
      </c>
    </row>
    <row r="364" spans="1:17" x14ac:dyDescent="0.25">
      <c r="A364" t="s">
        <v>19</v>
      </c>
      <c r="B364">
        <v>15</v>
      </c>
      <c r="C364">
        <v>95.25</v>
      </c>
      <c r="D364">
        <v>3.6</v>
      </c>
      <c r="E364">
        <v>140</v>
      </c>
      <c r="F364">
        <v>95.25</v>
      </c>
      <c r="G364">
        <v>3.6</v>
      </c>
      <c r="H364">
        <v>1.2</v>
      </c>
      <c r="I364">
        <v>0.9</v>
      </c>
      <c r="J364">
        <v>56.126477890366417</v>
      </c>
      <c r="K364">
        <v>1500</v>
      </c>
      <c r="L364">
        <v>0</v>
      </c>
      <c r="N364">
        <v>29</v>
      </c>
      <c r="O364" s="60" t="s">
        <v>1191</v>
      </c>
      <c r="P364" t="s">
        <v>750</v>
      </c>
      <c r="Q364" t="s">
        <v>2396</v>
      </c>
    </row>
    <row r="365" spans="1:17" x14ac:dyDescent="0.25">
      <c r="A365" t="s">
        <v>19</v>
      </c>
      <c r="B365">
        <v>140</v>
      </c>
      <c r="C365">
        <v>95.25</v>
      </c>
      <c r="D365">
        <v>3.6</v>
      </c>
      <c r="E365">
        <v>140</v>
      </c>
      <c r="F365">
        <v>96.6</v>
      </c>
      <c r="G365">
        <v>3.6</v>
      </c>
      <c r="H365">
        <v>1.2</v>
      </c>
      <c r="I365">
        <v>0.9</v>
      </c>
      <c r="J365">
        <v>0.60616596121595478</v>
      </c>
      <c r="K365">
        <v>1500</v>
      </c>
      <c r="L365">
        <v>0</v>
      </c>
      <c r="N365">
        <v>29</v>
      </c>
      <c r="O365" s="60" t="s">
        <v>1192</v>
      </c>
      <c r="P365" t="s">
        <v>751</v>
      </c>
      <c r="Q365" t="s">
        <v>1070</v>
      </c>
    </row>
    <row r="366" spans="1:17" x14ac:dyDescent="0.25">
      <c r="A366" t="s">
        <v>19</v>
      </c>
      <c r="B366">
        <v>140</v>
      </c>
      <c r="C366">
        <v>96.6</v>
      </c>
      <c r="D366">
        <v>3.6</v>
      </c>
      <c r="E366">
        <v>15</v>
      </c>
      <c r="F366">
        <v>96.6</v>
      </c>
      <c r="G366">
        <v>3.6</v>
      </c>
      <c r="H366">
        <v>1.2</v>
      </c>
      <c r="I366">
        <v>0.9</v>
      </c>
      <c r="J366">
        <v>56.126477890366417</v>
      </c>
      <c r="K366">
        <v>1500</v>
      </c>
      <c r="L366">
        <v>0</v>
      </c>
      <c r="N366">
        <v>29</v>
      </c>
      <c r="O366" s="60" t="s">
        <v>898</v>
      </c>
      <c r="P366" t="s">
        <v>752</v>
      </c>
      <c r="Q366" t="s">
        <v>2397</v>
      </c>
    </row>
    <row r="367" spans="1:17" x14ac:dyDescent="0.25">
      <c r="A367" t="s">
        <v>19</v>
      </c>
      <c r="B367">
        <v>15</v>
      </c>
      <c r="C367">
        <v>96.6</v>
      </c>
      <c r="D367">
        <v>3.6</v>
      </c>
      <c r="E367">
        <v>15</v>
      </c>
      <c r="F367">
        <v>100.65</v>
      </c>
      <c r="G367">
        <v>3.6</v>
      </c>
      <c r="H367">
        <v>1.2</v>
      </c>
      <c r="I367">
        <v>0.9</v>
      </c>
      <c r="J367">
        <v>1.8184978836478705</v>
      </c>
      <c r="K367">
        <v>1500</v>
      </c>
      <c r="L367">
        <v>0</v>
      </c>
      <c r="N367">
        <v>29</v>
      </c>
      <c r="O367" s="60" t="s">
        <v>1193</v>
      </c>
      <c r="P367" t="s">
        <v>823</v>
      </c>
      <c r="Q367" t="s">
        <v>1071</v>
      </c>
    </row>
    <row r="368" spans="1:17" x14ac:dyDescent="0.25">
      <c r="A368" t="s">
        <v>19</v>
      </c>
      <c r="B368">
        <v>15</v>
      </c>
      <c r="C368">
        <v>100.65</v>
      </c>
      <c r="D368">
        <v>3.6</v>
      </c>
      <c r="E368">
        <v>140</v>
      </c>
      <c r="F368">
        <v>100.65</v>
      </c>
      <c r="G368">
        <v>3.6</v>
      </c>
      <c r="H368">
        <v>1.2</v>
      </c>
      <c r="I368">
        <v>0.9</v>
      </c>
      <c r="J368">
        <v>56.126477890366417</v>
      </c>
      <c r="K368">
        <v>1500</v>
      </c>
      <c r="L368">
        <v>0</v>
      </c>
      <c r="N368">
        <v>29</v>
      </c>
      <c r="O368" s="60" t="s">
        <v>1194</v>
      </c>
      <c r="P368" t="s">
        <v>750</v>
      </c>
      <c r="Q368" t="s">
        <v>2396</v>
      </c>
    </row>
    <row r="369" spans="1:17" x14ac:dyDescent="0.25">
      <c r="A369" t="s">
        <v>19</v>
      </c>
      <c r="B369">
        <v>140</v>
      </c>
      <c r="C369">
        <v>100.65</v>
      </c>
      <c r="D369">
        <v>3.6</v>
      </c>
      <c r="E369">
        <v>140</v>
      </c>
      <c r="F369">
        <v>102</v>
      </c>
      <c r="G369">
        <v>3.6</v>
      </c>
      <c r="H369">
        <v>1.2</v>
      </c>
      <c r="I369">
        <v>0.9</v>
      </c>
      <c r="J369">
        <v>0.60616596121595478</v>
      </c>
      <c r="K369">
        <v>1500</v>
      </c>
      <c r="L369">
        <v>0</v>
      </c>
      <c r="N369">
        <v>29</v>
      </c>
      <c r="O369" s="60" t="s">
        <v>1195</v>
      </c>
      <c r="P369" t="s">
        <v>751</v>
      </c>
      <c r="Q369" t="s">
        <v>1072</v>
      </c>
    </row>
    <row r="370" spans="1:17" x14ac:dyDescent="0.25">
      <c r="A370" t="s">
        <v>19</v>
      </c>
      <c r="B370">
        <v>140</v>
      </c>
      <c r="C370">
        <v>102</v>
      </c>
      <c r="D370">
        <v>3.6</v>
      </c>
      <c r="E370">
        <v>15</v>
      </c>
      <c r="F370">
        <v>102</v>
      </c>
      <c r="G370">
        <v>3.6</v>
      </c>
      <c r="H370">
        <v>1.2</v>
      </c>
      <c r="I370">
        <v>0.9</v>
      </c>
      <c r="J370">
        <v>56.126477890366417</v>
      </c>
      <c r="K370">
        <v>1500</v>
      </c>
      <c r="L370">
        <v>0</v>
      </c>
      <c r="N370">
        <v>29</v>
      </c>
      <c r="O370" s="60" t="s">
        <v>899</v>
      </c>
      <c r="P370" t="s">
        <v>752</v>
      </c>
      <c r="Q370" t="s">
        <v>2397</v>
      </c>
    </row>
    <row r="371" spans="1:17" x14ac:dyDescent="0.25">
      <c r="A371" t="s">
        <v>19</v>
      </c>
      <c r="B371">
        <v>15</v>
      </c>
      <c r="C371">
        <v>102</v>
      </c>
      <c r="D371">
        <v>3.6</v>
      </c>
      <c r="E371">
        <v>15</v>
      </c>
      <c r="F371">
        <v>106.05</v>
      </c>
      <c r="G371">
        <v>3.6</v>
      </c>
      <c r="H371">
        <v>1.2</v>
      </c>
      <c r="I371">
        <v>0.9</v>
      </c>
      <c r="J371">
        <v>1.8184978836478705</v>
      </c>
      <c r="K371">
        <v>1500</v>
      </c>
      <c r="L371">
        <v>0</v>
      </c>
      <c r="N371">
        <v>29</v>
      </c>
      <c r="O371" s="60" t="s">
        <v>1196</v>
      </c>
      <c r="P371" t="s">
        <v>823</v>
      </c>
      <c r="Q371" t="s">
        <v>1073</v>
      </c>
    </row>
    <row r="372" spans="1:17" x14ac:dyDescent="0.25">
      <c r="A372" t="s">
        <v>19</v>
      </c>
      <c r="B372">
        <v>15</v>
      </c>
      <c r="C372">
        <v>106.05</v>
      </c>
      <c r="D372">
        <v>3.6</v>
      </c>
      <c r="E372">
        <v>140</v>
      </c>
      <c r="F372">
        <v>106.05</v>
      </c>
      <c r="G372">
        <v>3.6</v>
      </c>
      <c r="H372">
        <v>1.2</v>
      </c>
      <c r="I372">
        <v>0.9</v>
      </c>
      <c r="J372">
        <v>56.126477890366417</v>
      </c>
      <c r="K372">
        <v>1500</v>
      </c>
      <c r="L372">
        <v>0</v>
      </c>
      <c r="N372">
        <v>29</v>
      </c>
      <c r="O372" s="60" t="s">
        <v>1197</v>
      </c>
      <c r="P372" t="s">
        <v>750</v>
      </c>
      <c r="Q372" t="s">
        <v>2396</v>
      </c>
    </row>
    <row r="373" spans="1:17" x14ac:dyDescent="0.25">
      <c r="A373" t="s">
        <v>19</v>
      </c>
      <c r="B373">
        <v>140</v>
      </c>
      <c r="C373">
        <v>106.05</v>
      </c>
      <c r="D373">
        <v>3.6</v>
      </c>
      <c r="E373">
        <v>140</v>
      </c>
      <c r="F373">
        <v>107.39999999999999</v>
      </c>
      <c r="G373">
        <v>3.6</v>
      </c>
      <c r="H373">
        <v>1.2</v>
      </c>
      <c r="I373">
        <v>0.9</v>
      </c>
      <c r="J373">
        <v>0.60616596121595478</v>
      </c>
      <c r="K373">
        <v>1500</v>
      </c>
      <c r="L373">
        <v>0</v>
      </c>
      <c r="N373">
        <v>29</v>
      </c>
      <c r="O373" s="60" t="s">
        <v>1198</v>
      </c>
      <c r="P373" t="s">
        <v>751</v>
      </c>
      <c r="Q373" t="s">
        <v>1074</v>
      </c>
    </row>
    <row r="374" spans="1:17" x14ac:dyDescent="0.25">
      <c r="A374" t="s">
        <v>19</v>
      </c>
      <c r="B374">
        <v>140</v>
      </c>
      <c r="C374">
        <v>107.39999999999999</v>
      </c>
      <c r="D374">
        <v>3.6</v>
      </c>
      <c r="E374">
        <v>15</v>
      </c>
      <c r="F374">
        <v>107.39999999999999</v>
      </c>
      <c r="G374">
        <v>3.6</v>
      </c>
      <c r="H374">
        <v>1.2</v>
      </c>
      <c r="I374">
        <v>0.9</v>
      </c>
      <c r="J374">
        <v>56.126477890366417</v>
      </c>
      <c r="K374">
        <v>1500</v>
      </c>
      <c r="L374">
        <v>0</v>
      </c>
      <c r="N374">
        <v>29</v>
      </c>
      <c r="O374" s="60" t="s">
        <v>900</v>
      </c>
      <c r="P374" t="s">
        <v>752</v>
      </c>
      <c r="Q374" t="s">
        <v>2397</v>
      </c>
    </row>
    <row r="375" spans="1:17" x14ac:dyDescent="0.25">
      <c r="A375" t="s">
        <v>19</v>
      </c>
      <c r="B375">
        <v>15</v>
      </c>
      <c r="C375">
        <v>107.4</v>
      </c>
      <c r="D375">
        <v>3.6</v>
      </c>
      <c r="E375">
        <v>15</v>
      </c>
      <c r="F375">
        <v>111.45</v>
      </c>
      <c r="G375">
        <v>3.6</v>
      </c>
      <c r="H375">
        <v>1.2</v>
      </c>
      <c r="I375">
        <v>0.9</v>
      </c>
      <c r="J375">
        <v>1.8184978836478705</v>
      </c>
      <c r="K375">
        <v>1500</v>
      </c>
      <c r="L375">
        <v>0</v>
      </c>
      <c r="N375">
        <v>29</v>
      </c>
      <c r="O375" s="60" t="s">
        <v>1199</v>
      </c>
      <c r="P375" t="s">
        <v>823</v>
      </c>
      <c r="Q375" t="s">
        <v>1075</v>
      </c>
    </row>
    <row r="376" spans="1:17" x14ac:dyDescent="0.25">
      <c r="A376" t="s">
        <v>19</v>
      </c>
      <c r="B376">
        <v>15</v>
      </c>
      <c r="C376">
        <v>111.45</v>
      </c>
      <c r="D376">
        <v>3.6</v>
      </c>
      <c r="E376">
        <v>140</v>
      </c>
      <c r="F376">
        <v>111.45</v>
      </c>
      <c r="G376">
        <v>3.6</v>
      </c>
      <c r="H376">
        <v>1.2</v>
      </c>
      <c r="I376">
        <v>0.9</v>
      </c>
      <c r="J376">
        <v>56.126477890366417</v>
      </c>
      <c r="K376">
        <v>1500</v>
      </c>
      <c r="L376">
        <v>0</v>
      </c>
      <c r="N376">
        <v>29</v>
      </c>
      <c r="O376" s="60" t="s">
        <v>1200</v>
      </c>
      <c r="P376" t="s">
        <v>750</v>
      </c>
      <c r="Q376" t="s">
        <v>2396</v>
      </c>
    </row>
    <row r="377" spans="1:17" x14ac:dyDescent="0.25">
      <c r="A377" t="s">
        <v>19</v>
      </c>
      <c r="B377">
        <v>140</v>
      </c>
      <c r="C377">
        <v>111.45</v>
      </c>
      <c r="D377">
        <v>3.6</v>
      </c>
      <c r="E377">
        <v>140</v>
      </c>
      <c r="F377">
        <v>112.8</v>
      </c>
      <c r="G377">
        <v>3.6</v>
      </c>
      <c r="H377">
        <v>1.2</v>
      </c>
      <c r="I377">
        <v>0.9</v>
      </c>
      <c r="J377">
        <v>0.60616596121595478</v>
      </c>
      <c r="K377">
        <v>1500</v>
      </c>
      <c r="L377">
        <v>0</v>
      </c>
      <c r="N377">
        <v>29</v>
      </c>
      <c r="O377" s="60" t="s">
        <v>1201</v>
      </c>
      <c r="P377" t="s">
        <v>751</v>
      </c>
      <c r="Q377" t="s">
        <v>1076</v>
      </c>
    </row>
    <row r="378" spans="1:17" x14ac:dyDescent="0.25">
      <c r="A378" t="s">
        <v>19</v>
      </c>
      <c r="B378">
        <v>140</v>
      </c>
      <c r="C378">
        <v>112.8</v>
      </c>
      <c r="D378">
        <v>3.6</v>
      </c>
      <c r="E378">
        <v>15</v>
      </c>
      <c r="F378">
        <v>112.8</v>
      </c>
      <c r="G378">
        <v>3.6</v>
      </c>
      <c r="H378">
        <v>1.2</v>
      </c>
      <c r="I378">
        <v>0.9</v>
      </c>
      <c r="J378">
        <v>56.126477890366417</v>
      </c>
      <c r="K378">
        <v>1500</v>
      </c>
      <c r="L378">
        <v>0</v>
      </c>
      <c r="N378">
        <v>29</v>
      </c>
      <c r="O378" s="60" t="s">
        <v>901</v>
      </c>
      <c r="P378" t="s">
        <v>752</v>
      </c>
      <c r="Q378" t="s">
        <v>2397</v>
      </c>
    </row>
    <row r="379" spans="1:17" x14ac:dyDescent="0.25">
      <c r="A379" t="s">
        <v>19</v>
      </c>
      <c r="B379">
        <v>15</v>
      </c>
      <c r="C379">
        <v>112.8</v>
      </c>
      <c r="D379">
        <v>3.6</v>
      </c>
      <c r="E379">
        <v>15</v>
      </c>
      <c r="F379">
        <v>116.85</v>
      </c>
      <c r="G379">
        <v>3.6</v>
      </c>
      <c r="H379">
        <v>1.2</v>
      </c>
      <c r="I379">
        <v>0.9</v>
      </c>
      <c r="J379">
        <v>1.8184978836478705</v>
      </c>
      <c r="K379">
        <v>1500</v>
      </c>
      <c r="L379">
        <v>0</v>
      </c>
      <c r="N379">
        <v>29</v>
      </c>
      <c r="O379" s="60" t="s">
        <v>1202</v>
      </c>
      <c r="P379" t="s">
        <v>823</v>
      </c>
      <c r="Q379" t="s">
        <v>1077</v>
      </c>
    </row>
    <row r="380" spans="1:17" x14ac:dyDescent="0.25">
      <c r="A380" t="s">
        <v>19</v>
      </c>
      <c r="B380">
        <v>15</v>
      </c>
      <c r="C380">
        <v>116.85</v>
      </c>
      <c r="D380">
        <v>3.6</v>
      </c>
      <c r="E380">
        <v>140</v>
      </c>
      <c r="F380">
        <v>116.85</v>
      </c>
      <c r="G380">
        <v>3.6</v>
      </c>
      <c r="H380">
        <v>1.2</v>
      </c>
      <c r="I380">
        <v>0.9</v>
      </c>
      <c r="J380">
        <v>56.126477890366417</v>
      </c>
      <c r="K380">
        <v>1500</v>
      </c>
      <c r="L380">
        <v>0</v>
      </c>
      <c r="N380">
        <v>29</v>
      </c>
      <c r="O380" s="60" t="s">
        <v>1203</v>
      </c>
      <c r="P380" t="s">
        <v>750</v>
      </c>
      <c r="Q380" t="s">
        <v>2396</v>
      </c>
    </row>
    <row r="381" spans="1:17" x14ac:dyDescent="0.25">
      <c r="A381" t="s">
        <v>19</v>
      </c>
      <c r="B381">
        <v>140</v>
      </c>
      <c r="C381">
        <v>116.85</v>
      </c>
      <c r="D381">
        <v>3.6</v>
      </c>
      <c r="E381">
        <v>140</v>
      </c>
      <c r="F381">
        <v>118.19999999999999</v>
      </c>
      <c r="G381">
        <v>3.6</v>
      </c>
      <c r="H381">
        <v>1.2</v>
      </c>
      <c r="I381">
        <v>0.9</v>
      </c>
      <c r="J381">
        <v>0.60616596121595478</v>
      </c>
      <c r="K381">
        <v>1500</v>
      </c>
      <c r="L381">
        <v>0</v>
      </c>
      <c r="N381">
        <v>29</v>
      </c>
      <c r="O381" s="60" t="s">
        <v>1204</v>
      </c>
      <c r="P381" t="s">
        <v>751</v>
      </c>
      <c r="Q381" t="s">
        <v>1078</v>
      </c>
    </row>
    <row r="382" spans="1:17" x14ac:dyDescent="0.25">
      <c r="A382" t="s">
        <v>19</v>
      </c>
      <c r="B382">
        <v>140</v>
      </c>
      <c r="C382">
        <v>118.19999999999999</v>
      </c>
      <c r="D382">
        <v>3.6</v>
      </c>
      <c r="E382">
        <v>15</v>
      </c>
      <c r="F382">
        <v>118.19999999999999</v>
      </c>
      <c r="G382">
        <v>3.6</v>
      </c>
      <c r="H382">
        <v>1.2</v>
      </c>
      <c r="I382">
        <v>0.9</v>
      </c>
      <c r="J382">
        <v>56.126477890366417</v>
      </c>
      <c r="K382">
        <v>1500</v>
      </c>
      <c r="L382">
        <v>0</v>
      </c>
      <c r="N382">
        <v>29</v>
      </c>
      <c r="O382" s="60" t="s">
        <v>902</v>
      </c>
      <c r="P382" t="s">
        <v>752</v>
      </c>
      <c r="Q382" t="s">
        <v>2397</v>
      </c>
    </row>
    <row r="383" spans="1:17" x14ac:dyDescent="0.25">
      <c r="A383" t="s">
        <v>19</v>
      </c>
      <c r="B383">
        <v>15</v>
      </c>
      <c r="C383">
        <v>118.2</v>
      </c>
      <c r="D383">
        <v>3.6</v>
      </c>
      <c r="E383">
        <v>15</v>
      </c>
      <c r="F383">
        <v>122.25</v>
      </c>
      <c r="G383">
        <v>3.6</v>
      </c>
      <c r="H383">
        <v>1.2</v>
      </c>
      <c r="I383">
        <v>0.9</v>
      </c>
      <c r="J383">
        <v>1.8184978836478705</v>
      </c>
      <c r="K383">
        <v>1500</v>
      </c>
      <c r="L383">
        <v>0</v>
      </c>
      <c r="N383">
        <v>29</v>
      </c>
      <c r="O383" s="60" t="s">
        <v>2038</v>
      </c>
      <c r="P383" t="s">
        <v>823</v>
      </c>
      <c r="Q383" t="s">
        <v>1955</v>
      </c>
    </row>
    <row r="384" spans="1:17" x14ac:dyDescent="0.25">
      <c r="A384" t="s">
        <v>19</v>
      </c>
      <c r="B384">
        <v>15</v>
      </c>
      <c r="C384">
        <v>122.25</v>
      </c>
      <c r="D384">
        <v>3.6</v>
      </c>
      <c r="E384">
        <v>140</v>
      </c>
      <c r="F384">
        <v>122.25</v>
      </c>
      <c r="G384">
        <v>3.6</v>
      </c>
      <c r="H384">
        <v>1.2</v>
      </c>
      <c r="I384">
        <v>0.9</v>
      </c>
      <c r="J384">
        <v>56.126477890366417</v>
      </c>
      <c r="K384">
        <v>1500</v>
      </c>
      <c r="L384">
        <v>0</v>
      </c>
      <c r="N384">
        <v>29</v>
      </c>
      <c r="O384" s="60" t="s">
        <v>2039</v>
      </c>
      <c r="P384" t="s">
        <v>750</v>
      </c>
      <c r="Q384" t="s">
        <v>2396</v>
      </c>
    </row>
    <row r="385" spans="1:17" x14ac:dyDescent="0.25">
      <c r="A385" t="s">
        <v>19</v>
      </c>
      <c r="B385">
        <v>140</v>
      </c>
      <c r="C385">
        <v>122.25</v>
      </c>
      <c r="D385">
        <v>3.6</v>
      </c>
      <c r="E385">
        <v>140</v>
      </c>
      <c r="F385">
        <v>123.6</v>
      </c>
      <c r="G385">
        <v>3.6</v>
      </c>
      <c r="H385">
        <v>1.2</v>
      </c>
      <c r="I385">
        <v>0.9</v>
      </c>
      <c r="J385">
        <v>0.60616596121595478</v>
      </c>
      <c r="K385">
        <v>1500</v>
      </c>
      <c r="L385">
        <v>0</v>
      </c>
      <c r="N385">
        <v>29</v>
      </c>
      <c r="O385" s="60" t="s">
        <v>2040</v>
      </c>
      <c r="P385" t="s">
        <v>751</v>
      </c>
      <c r="Q385" t="s">
        <v>1958</v>
      </c>
    </row>
    <row r="386" spans="1:17" x14ac:dyDescent="0.25">
      <c r="A386" t="s">
        <v>19</v>
      </c>
      <c r="B386">
        <v>140</v>
      </c>
      <c r="C386">
        <v>123.6</v>
      </c>
      <c r="D386">
        <v>3.6</v>
      </c>
      <c r="E386">
        <v>15</v>
      </c>
      <c r="F386">
        <v>123.6</v>
      </c>
      <c r="G386">
        <v>3.6</v>
      </c>
      <c r="H386">
        <v>1.2</v>
      </c>
      <c r="I386">
        <v>0.9</v>
      </c>
      <c r="J386">
        <v>56.126477890366417</v>
      </c>
      <c r="K386">
        <v>1500</v>
      </c>
      <c r="L386">
        <v>0</v>
      </c>
      <c r="N386">
        <v>29</v>
      </c>
      <c r="O386" s="60" t="s">
        <v>2041</v>
      </c>
      <c r="P386" t="s">
        <v>752</v>
      </c>
      <c r="Q386" t="s">
        <v>2397</v>
      </c>
    </row>
    <row r="387" spans="1:17" x14ac:dyDescent="0.25">
      <c r="A387" t="s">
        <v>19</v>
      </c>
      <c r="B387">
        <v>15</v>
      </c>
      <c r="C387">
        <v>123.60000000000001</v>
      </c>
      <c r="D387">
        <v>3.6</v>
      </c>
      <c r="E387">
        <v>15</v>
      </c>
      <c r="F387">
        <v>127.65</v>
      </c>
      <c r="G387">
        <v>3.6</v>
      </c>
      <c r="H387">
        <v>1.2</v>
      </c>
      <c r="I387">
        <v>0.9</v>
      </c>
      <c r="J387">
        <v>1.8184978836478705</v>
      </c>
      <c r="K387">
        <v>1500</v>
      </c>
      <c r="L387">
        <v>0</v>
      </c>
      <c r="N387">
        <v>29</v>
      </c>
      <c r="O387" s="60" t="s">
        <v>2042</v>
      </c>
      <c r="P387" t="s">
        <v>823</v>
      </c>
      <c r="Q387" t="s">
        <v>1961</v>
      </c>
    </row>
    <row r="388" spans="1:17" x14ac:dyDescent="0.25">
      <c r="A388" t="s">
        <v>19</v>
      </c>
      <c r="B388">
        <v>15</v>
      </c>
      <c r="C388">
        <v>127.65</v>
      </c>
      <c r="D388">
        <v>3.6</v>
      </c>
      <c r="E388">
        <v>140</v>
      </c>
      <c r="F388">
        <v>127.65</v>
      </c>
      <c r="G388">
        <v>3.6</v>
      </c>
      <c r="H388">
        <v>1.2</v>
      </c>
      <c r="I388">
        <v>0.9</v>
      </c>
      <c r="J388">
        <v>56.126477890366417</v>
      </c>
      <c r="K388">
        <v>1500</v>
      </c>
      <c r="L388">
        <v>0</v>
      </c>
      <c r="N388">
        <v>29</v>
      </c>
      <c r="O388" s="60" t="s">
        <v>2043</v>
      </c>
      <c r="P388" t="s">
        <v>750</v>
      </c>
      <c r="Q388" t="s">
        <v>2396</v>
      </c>
    </row>
    <row r="389" spans="1:17" x14ac:dyDescent="0.25">
      <c r="A389" t="s">
        <v>19</v>
      </c>
      <c r="B389">
        <v>140</v>
      </c>
      <c r="C389">
        <v>127.65</v>
      </c>
      <c r="D389">
        <v>3.6</v>
      </c>
      <c r="E389">
        <v>140</v>
      </c>
      <c r="F389">
        <v>129</v>
      </c>
      <c r="G389">
        <v>3.6</v>
      </c>
      <c r="H389">
        <v>1.2</v>
      </c>
      <c r="I389">
        <v>0.9</v>
      </c>
      <c r="J389">
        <v>0.60616596121595478</v>
      </c>
      <c r="K389">
        <v>1500</v>
      </c>
      <c r="L389">
        <v>0</v>
      </c>
      <c r="N389">
        <v>29</v>
      </c>
      <c r="O389" s="60" t="s">
        <v>2044</v>
      </c>
      <c r="P389" t="s">
        <v>751</v>
      </c>
      <c r="Q389" t="s">
        <v>1964</v>
      </c>
    </row>
    <row r="390" spans="1:17" x14ac:dyDescent="0.25">
      <c r="A390" t="s">
        <v>19</v>
      </c>
      <c r="B390">
        <v>140</v>
      </c>
      <c r="C390">
        <v>129</v>
      </c>
      <c r="D390">
        <v>3.6</v>
      </c>
      <c r="E390">
        <v>15</v>
      </c>
      <c r="F390">
        <v>129</v>
      </c>
      <c r="G390">
        <v>3.6</v>
      </c>
      <c r="H390">
        <v>1.2</v>
      </c>
      <c r="I390">
        <v>0.9</v>
      </c>
      <c r="J390">
        <v>56.126477890366417</v>
      </c>
      <c r="K390">
        <v>1500</v>
      </c>
      <c r="L390">
        <v>0</v>
      </c>
      <c r="N390">
        <v>29</v>
      </c>
      <c r="O390" s="60" t="s">
        <v>2045</v>
      </c>
      <c r="P390" t="s">
        <v>752</v>
      </c>
      <c r="Q390" t="s">
        <v>2397</v>
      </c>
    </row>
    <row r="391" spans="1:17" x14ac:dyDescent="0.25">
      <c r="A391" t="s">
        <v>49</v>
      </c>
      <c r="B391" t="s">
        <v>811</v>
      </c>
      <c r="N391">
        <v>29</v>
      </c>
      <c r="O391" s="60" t="s">
        <v>903</v>
      </c>
      <c r="P391" t="s">
        <v>749</v>
      </c>
      <c r="Q391" t="s">
        <v>811</v>
      </c>
    </row>
    <row r="392" spans="1:17" x14ac:dyDescent="0.25">
      <c r="A392" t="s">
        <v>49</v>
      </c>
      <c r="B392" t="s">
        <v>203</v>
      </c>
      <c r="C392">
        <v>1</v>
      </c>
      <c r="N392">
        <v>29</v>
      </c>
      <c r="O392" s="60" t="s">
        <v>904</v>
      </c>
      <c r="P392" t="s">
        <v>754</v>
      </c>
      <c r="Q392" t="s">
        <v>468</v>
      </c>
    </row>
    <row r="393" spans="1:17" x14ac:dyDescent="0.25">
      <c r="A393" t="s">
        <v>49</v>
      </c>
      <c r="B393" t="s">
        <v>634</v>
      </c>
      <c r="N393">
        <v>29</v>
      </c>
      <c r="O393" s="60" t="s">
        <v>905</v>
      </c>
      <c r="P393" t="s">
        <v>758</v>
      </c>
      <c r="Q393" t="s">
        <v>634</v>
      </c>
    </row>
    <row r="394" spans="1:17" x14ac:dyDescent="0.25">
      <c r="A394" t="s">
        <v>23</v>
      </c>
      <c r="B394">
        <v>15</v>
      </c>
      <c r="C394">
        <v>129</v>
      </c>
      <c r="D394">
        <v>3.6</v>
      </c>
      <c r="E394">
        <v>141.35</v>
      </c>
      <c r="F394">
        <v>76.349999999999994</v>
      </c>
      <c r="G394">
        <v>3.6001000000000003</v>
      </c>
      <c r="H394">
        <v>0</v>
      </c>
      <c r="I394">
        <v>0</v>
      </c>
      <c r="K394">
        <v>48000</v>
      </c>
      <c r="N394">
        <v>0</v>
      </c>
      <c r="O394" s="60">
        <v>0</v>
      </c>
      <c r="P394" t="s">
        <v>661</v>
      </c>
      <c r="Q394" t="s">
        <v>2399</v>
      </c>
    </row>
    <row r="395" spans="1:17" x14ac:dyDescent="0.25">
      <c r="A395" t="s">
        <v>19</v>
      </c>
      <c r="B395">
        <v>141.35</v>
      </c>
      <c r="C395">
        <v>76.349999999999994</v>
      </c>
      <c r="D395">
        <v>3.6001000000000003</v>
      </c>
      <c r="E395">
        <v>16.349999999999994</v>
      </c>
      <c r="F395">
        <v>76.349999999999994</v>
      </c>
      <c r="G395">
        <v>3.6001000000000003</v>
      </c>
      <c r="H395">
        <v>1.2</v>
      </c>
      <c r="I395">
        <v>0.9</v>
      </c>
      <c r="J395">
        <v>56.126477890366417</v>
      </c>
      <c r="K395">
        <v>1500</v>
      </c>
      <c r="L395">
        <v>0</v>
      </c>
      <c r="N395">
        <v>29</v>
      </c>
      <c r="O395" s="60" t="s">
        <v>2046</v>
      </c>
      <c r="P395" t="s">
        <v>1984</v>
      </c>
      <c r="Q395" t="s">
        <v>2393</v>
      </c>
    </row>
    <row r="396" spans="1:17" x14ac:dyDescent="0.25">
      <c r="A396" t="s">
        <v>19</v>
      </c>
      <c r="B396">
        <v>16.349999999999994</v>
      </c>
      <c r="C396">
        <v>76.349999999999994</v>
      </c>
      <c r="D396">
        <v>3.6001000000000003</v>
      </c>
      <c r="E396">
        <v>16.349999999999994</v>
      </c>
      <c r="F396">
        <v>77.699999999999989</v>
      </c>
      <c r="G396">
        <v>3.6001000000000003</v>
      </c>
      <c r="H396">
        <v>1.2</v>
      </c>
      <c r="I396">
        <v>0.9</v>
      </c>
      <c r="J396">
        <v>0.60616596121595478</v>
      </c>
      <c r="K396">
        <v>1500</v>
      </c>
      <c r="L396">
        <v>0</v>
      </c>
      <c r="N396">
        <v>29</v>
      </c>
      <c r="O396" s="60" t="s">
        <v>2047</v>
      </c>
      <c r="P396" t="s">
        <v>1986</v>
      </c>
      <c r="Q396" t="s">
        <v>876</v>
      </c>
    </row>
    <row r="397" spans="1:17" x14ac:dyDescent="0.25">
      <c r="A397" t="s">
        <v>19</v>
      </c>
      <c r="B397">
        <v>16.349999999999994</v>
      </c>
      <c r="C397">
        <v>77.699999999999989</v>
      </c>
      <c r="D397">
        <v>3.6001000000000003</v>
      </c>
      <c r="E397">
        <v>141.35</v>
      </c>
      <c r="F397">
        <v>77.699999999999989</v>
      </c>
      <c r="G397">
        <v>3.6001000000000003</v>
      </c>
      <c r="H397">
        <v>1.2</v>
      </c>
      <c r="I397">
        <v>0.9</v>
      </c>
      <c r="J397">
        <v>56.126477890366417</v>
      </c>
      <c r="K397">
        <v>1500</v>
      </c>
      <c r="L397">
        <v>0</v>
      </c>
      <c r="N397">
        <v>29</v>
      </c>
      <c r="O397" s="60" t="s">
        <v>2048</v>
      </c>
      <c r="P397" t="s">
        <v>1988</v>
      </c>
      <c r="Q397" t="s">
        <v>2394</v>
      </c>
    </row>
    <row r="398" spans="1:17" x14ac:dyDescent="0.25">
      <c r="A398" t="s">
        <v>19</v>
      </c>
      <c r="B398">
        <v>141.35</v>
      </c>
      <c r="C398">
        <v>77.699999999999989</v>
      </c>
      <c r="D398">
        <v>3.6001000000000003</v>
      </c>
      <c r="E398">
        <v>141.35</v>
      </c>
      <c r="F398">
        <v>81.749999999999986</v>
      </c>
      <c r="G398">
        <v>3.6001000000000003</v>
      </c>
      <c r="H398">
        <v>1.2</v>
      </c>
      <c r="I398">
        <v>0.9</v>
      </c>
      <c r="J398">
        <v>1.8184978836478705</v>
      </c>
      <c r="K398">
        <v>1500</v>
      </c>
      <c r="L398">
        <v>0</v>
      </c>
      <c r="N398">
        <v>29</v>
      </c>
      <c r="O398" s="60" t="s">
        <v>2049</v>
      </c>
      <c r="P398" t="s">
        <v>1990</v>
      </c>
      <c r="Q398" t="s">
        <v>877</v>
      </c>
    </row>
    <row r="399" spans="1:17" x14ac:dyDescent="0.25">
      <c r="A399" t="s">
        <v>19</v>
      </c>
      <c r="B399">
        <v>141.35</v>
      </c>
      <c r="C399">
        <v>81.75</v>
      </c>
      <c r="D399">
        <v>3.6001000000000003</v>
      </c>
      <c r="E399">
        <v>16.349999999999994</v>
      </c>
      <c r="F399">
        <v>81.75</v>
      </c>
      <c r="G399">
        <v>3.6001000000000003</v>
      </c>
      <c r="H399">
        <v>1.2</v>
      </c>
      <c r="I399">
        <v>0.9</v>
      </c>
      <c r="J399">
        <v>56.126477890366417</v>
      </c>
      <c r="K399">
        <v>1500</v>
      </c>
      <c r="L399">
        <v>0</v>
      </c>
      <c r="N399">
        <v>29</v>
      </c>
      <c r="O399" s="60" t="s">
        <v>1205</v>
      </c>
      <c r="P399" t="s">
        <v>824</v>
      </c>
      <c r="Q399" t="s">
        <v>2395</v>
      </c>
    </row>
    <row r="400" spans="1:17" x14ac:dyDescent="0.25">
      <c r="A400" t="s">
        <v>19</v>
      </c>
      <c r="B400">
        <v>16.349999999999994</v>
      </c>
      <c r="C400">
        <v>81.75</v>
      </c>
      <c r="D400">
        <v>3.6001000000000003</v>
      </c>
      <c r="E400">
        <v>16.349999999999994</v>
      </c>
      <c r="F400">
        <v>83.1</v>
      </c>
      <c r="G400">
        <v>3.6001000000000003</v>
      </c>
      <c r="H400">
        <v>1.2</v>
      </c>
      <c r="I400">
        <v>0.9</v>
      </c>
      <c r="J400">
        <v>0.60616596121595478</v>
      </c>
      <c r="K400">
        <v>1500</v>
      </c>
      <c r="L400">
        <v>0</v>
      </c>
      <c r="N400">
        <v>29</v>
      </c>
      <c r="O400" s="60" t="s">
        <v>1206</v>
      </c>
      <c r="P400" t="s">
        <v>825</v>
      </c>
      <c r="Q400" t="s">
        <v>1024</v>
      </c>
    </row>
    <row r="401" spans="1:17" x14ac:dyDescent="0.25">
      <c r="A401" t="s">
        <v>19</v>
      </c>
      <c r="B401">
        <v>16.349999999999994</v>
      </c>
      <c r="C401">
        <v>83.1</v>
      </c>
      <c r="D401">
        <v>3.6001000000000003</v>
      </c>
      <c r="E401">
        <v>141.35</v>
      </c>
      <c r="F401">
        <v>83.1</v>
      </c>
      <c r="G401">
        <v>3.6001000000000003</v>
      </c>
      <c r="H401">
        <v>1.2</v>
      </c>
      <c r="I401">
        <v>0.9</v>
      </c>
      <c r="J401">
        <v>56.126477890366417</v>
      </c>
      <c r="K401">
        <v>1500</v>
      </c>
      <c r="L401">
        <v>0</v>
      </c>
      <c r="N401">
        <v>29</v>
      </c>
      <c r="O401" s="60" t="s">
        <v>1207</v>
      </c>
      <c r="P401" t="s">
        <v>755</v>
      </c>
      <c r="Q401" t="s">
        <v>2394</v>
      </c>
    </row>
    <row r="402" spans="1:17" x14ac:dyDescent="0.25">
      <c r="A402" t="s">
        <v>19</v>
      </c>
      <c r="B402">
        <v>141.35</v>
      </c>
      <c r="C402">
        <v>83.1</v>
      </c>
      <c r="D402">
        <v>3.6001000000000003</v>
      </c>
      <c r="E402">
        <v>141.35</v>
      </c>
      <c r="F402">
        <v>87.149999999999991</v>
      </c>
      <c r="G402">
        <v>3.6001000000000003</v>
      </c>
      <c r="H402">
        <v>1.2</v>
      </c>
      <c r="I402">
        <v>0.9</v>
      </c>
      <c r="J402">
        <v>1.8184978836478705</v>
      </c>
      <c r="K402">
        <v>1500</v>
      </c>
      <c r="L402">
        <v>0</v>
      </c>
      <c r="N402">
        <v>29</v>
      </c>
      <c r="O402" s="60" t="s">
        <v>1208</v>
      </c>
      <c r="P402" t="s">
        <v>756</v>
      </c>
      <c r="Q402" t="s">
        <v>1025</v>
      </c>
    </row>
    <row r="403" spans="1:17" x14ac:dyDescent="0.25">
      <c r="A403" t="s">
        <v>19</v>
      </c>
      <c r="B403">
        <v>141.35</v>
      </c>
      <c r="C403">
        <v>87.149999999999991</v>
      </c>
      <c r="D403">
        <v>3.6001000000000003</v>
      </c>
      <c r="E403">
        <v>16.349999999999994</v>
      </c>
      <c r="F403">
        <v>87.149999999999991</v>
      </c>
      <c r="G403">
        <v>3.6001000000000003</v>
      </c>
      <c r="H403">
        <v>1.2</v>
      </c>
      <c r="I403">
        <v>0.9</v>
      </c>
      <c r="J403">
        <v>56.126477890366417</v>
      </c>
      <c r="K403">
        <v>1500</v>
      </c>
      <c r="L403">
        <v>0</v>
      </c>
      <c r="N403">
        <v>29</v>
      </c>
      <c r="O403" s="60" t="s">
        <v>1209</v>
      </c>
      <c r="P403" t="s">
        <v>824</v>
      </c>
      <c r="Q403" t="s">
        <v>2395</v>
      </c>
    </row>
    <row r="404" spans="1:17" x14ac:dyDescent="0.25">
      <c r="A404" t="s">
        <v>19</v>
      </c>
      <c r="B404">
        <v>16.349999999999994</v>
      </c>
      <c r="C404">
        <v>87.149999999999991</v>
      </c>
      <c r="D404">
        <v>3.6001000000000003</v>
      </c>
      <c r="E404">
        <v>16.349999999999994</v>
      </c>
      <c r="F404">
        <v>88.499999999999986</v>
      </c>
      <c r="G404">
        <v>3.6001000000000003</v>
      </c>
      <c r="H404">
        <v>1.2</v>
      </c>
      <c r="I404">
        <v>0.9</v>
      </c>
      <c r="J404">
        <v>0.60616596121595478</v>
      </c>
      <c r="K404">
        <v>1500</v>
      </c>
      <c r="L404">
        <v>0</v>
      </c>
      <c r="N404">
        <v>29</v>
      </c>
      <c r="O404" s="60" t="s">
        <v>1210</v>
      </c>
      <c r="P404" t="s">
        <v>825</v>
      </c>
      <c r="Q404" t="s">
        <v>1026</v>
      </c>
    </row>
    <row r="405" spans="1:17" x14ac:dyDescent="0.25">
      <c r="A405" t="s">
        <v>19</v>
      </c>
      <c r="B405">
        <v>16.349999999999994</v>
      </c>
      <c r="C405">
        <v>88.499999999999986</v>
      </c>
      <c r="D405">
        <v>3.6001000000000003</v>
      </c>
      <c r="E405">
        <v>141.35</v>
      </c>
      <c r="F405">
        <v>88.499999999999986</v>
      </c>
      <c r="G405">
        <v>3.6001000000000003</v>
      </c>
      <c r="H405">
        <v>1.2</v>
      </c>
      <c r="I405">
        <v>0.9</v>
      </c>
      <c r="J405">
        <v>56.126477890366417</v>
      </c>
      <c r="K405">
        <v>1500</v>
      </c>
      <c r="L405">
        <v>0</v>
      </c>
      <c r="N405">
        <v>29</v>
      </c>
      <c r="O405" s="60" t="s">
        <v>1211</v>
      </c>
      <c r="P405" t="s">
        <v>755</v>
      </c>
      <c r="Q405" t="s">
        <v>2394</v>
      </c>
    </row>
    <row r="406" spans="1:17" x14ac:dyDescent="0.25">
      <c r="A406" t="s">
        <v>19</v>
      </c>
      <c r="B406">
        <v>141.35</v>
      </c>
      <c r="C406">
        <v>88.499999999999986</v>
      </c>
      <c r="D406">
        <v>3.6001000000000003</v>
      </c>
      <c r="E406">
        <v>141.35</v>
      </c>
      <c r="F406">
        <v>92.549999999999983</v>
      </c>
      <c r="G406">
        <v>3.6001000000000003</v>
      </c>
      <c r="H406">
        <v>1.2</v>
      </c>
      <c r="I406">
        <v>0.9</v>
      </c>
      <c r="J406">
        <v>1.8184978836478705</v>
      </c>
      <c r="K406">
        <v>1500</v>
      </c>
      <c r="L406">
        <v>0</v>
      </c>
      <c r="N406">
        <v>29</v>
      </c>
      <c r="O406" s="60" t="s">
        <v>1212</v>
      </c>
      <c r="P406" t="s">
        <v>756</v>
      </c>
      <c r="Q406" t="s">
        <v>1027</v>
      </c>
    </row>
    <row r="407" spans="1:17" x14ac:dyDescent="0.25">
      <c r="A407" t="s">
        <v>19</v>
      </c>
      <c r="B407">
        <v>141.35</v>
      </c>
      <c r="C407">
        <v>92.55</v>
      </c>
      <c r="D407">
        <v>3.6001000000000003</v>
      </c>
      <c r="E407">
        <v>16.349999999999994</v>
      </c>
      <c r="F407">
        <v>92.55</v>
      </c>
      <c r="G407">
        <v>3.6001000000000003</v>
      </c>
      <c r="H407">
        <v>1.2</v>
      </c>
      <c r="I407">
        <v>0.9</v>
      </c>
      <c r="J407">
        <v>56.126477890366417</v>
      </c>
      <c r="K407">
        <v>1500</v>
      </c>
      <c r="L407">
        <v>0</v>
      </c>
      <c r="N407">
        <v>29</v>
      </c>
      <c r="O407" s="60" t="s">
        <v>1213</v>
      </c>
      <c r="P407" t="s">
        <v>824</v>
      </c>
      <c r="Q407" t="s">
        <v>2395</v>
      </c>
    </row>
    <row r="408" spans="1:17" x14ac:dyDescent="0.25">
      <c r="A408" t="s">
        <v>19</v>
      </c>
      <c r="B408">
        <v>16.349999999999994</v>
      </c>
      <c r="C408">
        <v>92.55</v>
      </c>
      <c r="D408">
        <v>3.6001000000000003</v>
      </c>
      <c r="E408">
        <v>16.349999999999994</v>
      </c>
      <c r="F408">
        <v>93.899999999999991</v>
      </c>
      <c r="G408">
        <v>3.6001000000000003</v>
      </c>
      <c r="H408">
        <v>1.2</v>
      </c>
      <c r="I408">
        <v>0.9</v>
      </c>
      <c r="J408">
        <v>0.60616596121595478</v>
      </c>
      <c r="K408">
        <v>1500</v>
      </c>
      <c r="L408">
        <v>0</v>
      </c>
      <c r="N408">
        <v>29</v>
      </c>
      <c r="O408" s="60" t="s">
        <v>1214</v>
      </c>
      <c r="P408" t="s">
        <v>825</v>
      </c>
      <c r="Q408" t="s">
        <v>1028</v>
      </c>
    </row>
    <row r="409" spans="1:17" x14ac:dyDescent="0.25">
      <c r="A409" t="s">
        <v>19</v>
      </c>
      <c r="B409">
        <v>16.349999999999994</v>
      </c>
      <c r="C409">
        <v>93.899999999999991</v>
      </c>
      <c r="D409">
        <v>3.6001000000000003</v>
      </c>
      <c r="E409">
        <v>141.35</v>
      </c>
      <c r="F409">
        <v>93.899999999999991</v>
      </c>
      <c r="G409">
        <v>3.6001000000000003</v>
      </c>
      <c r="H409">
        <v>1.2</v>
      </c>
      <c r="I409">
        <v>0.9</v>
      </c>
      <c r="J409">
        <v>56.126477890366417</v>
      </c>
      <c r="K409">
        <v>1500</v>
      </c>
      <c r="L409">
        <v>0</v>
      </c>
      <c r="N409">
        <v>29</v>
      </c>
      <c r="O409" s="60" t="s">
        <v>1215</v>
      </c>
      <c r="P409" t="s">
        <v>755</v>
      </c>
      <c r="Q409" t="s">
        <v>2394</v>
      </c>
    </row>
    <row r="410" spans="1:17" x14ac:dyDescent="0.25">
      <c r="A410" t="s">
        <v>19</v>
      </c>
      <c r="B410">
        <v>141.35</v>
      </c>
      <c r="C410">
        <v>93.899999999999991</v>
      </c>
      <c r="D410">
        <v>3.6001000000000003</v>
      </c>
      <c r="E410">
        <v>141.35</v>
      </c>
      <c r="F410">
        <v>97.949999999999989</v>
      </c>
      <c r="G410">
        <v>3.6001000000000003</v>
      </c>
      <c r="H410">
        <v>1.2</v>
      </c>
      <c r="I410">
        <v>0.9</v>
      </c>
      <c r="J410">
        <v>1.8184978836478705</v>
      </c>
      <c r="K410">
        <v>1500</v>
      </c>
      <c r="L410">
        <v>0</v>
      </c>
      <c r="N410">
        <v>29</v>
      </c>
      <c r="O410" s="60" t="s">
        <v>1216</v>
      </c>
      <c r="P410" t="s">
        <v>756</v>
      </c>
      <c r="Q410" t="s">
        <v>1029</v>
      </c>
    </row>
    <row r="411" spans="1:17" x14ac:dyDescent="0.25">
      <c r="A411" t="s">
        <v>19</v>
      </c>
      <c r="B411">
        <v>141.35</v>
      </c>
      <c r="C411">
        <v>97.949999999999989</v>
      </c>
      <c r="D411">
        <v>3.6001000000000003</v>
      </c>
      <c r="E411">
        <v>16.349999999999994</v>
      </c>
      <c r="F411">
        <v>97.949999999999989</v>
      </c>
      <c r="G411">
        <v>3.6001000000000003</v>
      </c>
      <c r="H411">
        <v>1.2</v>
      </c>
      <c r="I411">
        <v>0.9</v>
      </c>
      <c r="J411">
        <v>56.126477890366417</v>
      </c>
      <c r="K411">
        <v>1500</v>
      </c>
      <c r="L411">
        <v>0</v>
      </c>
      <c r="N411">
        <v>29</v>
      </c>
      <c r="O411" s="60" t="s">
        <v>1217</v>
      </c>
      <c r="P411" t="s">
        <v>824</v>
      </c>
      <c r="Q411" t="s">
        <v>2395</v>
      </c>
    </row>
    <row r="412" spans="1:17" x14ac:dyDescent="0.25">
      <c r="A412" t="s">
        <v>19</v>
      </c>
      <c r="B412">
        <v>16.349999999999994</v>
      </c>
      <c r="C412">
        <v>97.949999999999989</v>
      </c>
      <c r="D412">
        <v>3.6001000000000003</v>
      </c>
      <c r="E412">
        <v>16.349999999999994</v>
      </c>
      <c r="F412">
        <v>99.299999999999983</v>
      </c>
      <c r="G412">
        <v>3.6001000000000003</v>
      </c>
      <c r="H412">
        <v>1.2</v>
      </c>
      <c r="I412">
        <v>0.9</v>
      </c>
      <c r="J412">
        <v>0.60616596121595478</v>
      </c>
      <c r="K412">
        <v>1500</v>
      </c>
      <c r="L412">
        <v>0</v>
      </c>
      <c r="N412">
        <v>29</v>
      </c>
      <c r="O412" s="60" t="s">
        <v>1218</v>
      </c>
      <c r="P412" t="s">
        <v>825</v>
      </c>
      <c r="Q412" t="s">
        <v>1030</v>
      </c>
    </row>
    <row r="413" spans="1:17" x14ac:dyDescent="0.25">
      <c r="A413" t="s">
        <v>19</v>
      </c>
      <c r="B413">
        <v>16.349999999999994</v>
      </c>
      <c r="C413">
        <v>99.299999999999983</v>
      </c>
      <c r="D413">
        <v>3.6001000000000003</v>
      </c>
      <c r="E413">
        <v>141.35</v>
      </c>
      <c r="F413">
        <v>99.299999999999983</v>
      </c>
      <c r="G413">
        <v>3.6001000000000003</v>
      </c>
      <c r="H413">
        <v>1.2</v>
      </c>
      <c r="I413">
        <v>0.9</v>
      </c>
      <c r="J413">
        <v>56.126477890366417</v>
      </c>
      <c r="K413">
        <v>1500</v>
      </c>
      <c r="L413">
        <v>0</v>
      </c>
      <c r="N413">
        <v>29</v>
      </c>
      <c r="O413" s="60" t="s">
        <v>1219</v>
      </c>
      <c r="P413" t="s">
        <v>755</v>
      </c>
      <c r="Q413" t="s">
        <v>2394</v>
      </c>
    </row>
    <row r="414" spans="1:17" x14ac:dyDescent="0.25">
      <c r="A414" t="s">
        <v>19</v>
      </c>
      <c r="B414">
        <v>141.35</v>
      </c>
      <c r="C414">
        <v>99.299999999999983</v>
      </c>
      <c r="D414">
        <v>3.6001000000000003</v>
      </c>
      <c r="E414">
        <v>141.35</v>
      </c>
      <c r="F414">
        <v>103.35</v>
      </c>
      <c r="G414">
        <v>3.6001000000000003</v>
      </c>
      <c r="H414">
        <v>1.2</v>
      </c>
      <c r="I414">
        <v>0.9</v>
      </c>
      <c r="J414">
        <v>1.8184978836478705</v>
      </c>
      <c r="K414">
        <v>1500</v>
      </c>
      <c r="L414">
        <v>0</v>
      </c>
      <c r="N414">
        <v>29</v>
      </c>
      <c r="O414" s="60" t="s">
        <v>1220</v>
      </c>
      <c r="P414" t="s">
        <v>756</v>
      </c>
      <c r="Q414" t="s">
        <v>1031</v>
      </c>
    </row>
    <row r="415" spans="1:17" x14ac:dyDescent="0.25">
      <c r="A415" t="s">
        <v>19</v>
      </c>
      <c r="B415">
        <v>141.35</v>
      </c>
      <c r="C415">
        <v>103.35</v>
      </c>
      <c r="D415">
        <v>3.6001000000000003</v>
      </c>
      <c r="E415">
        <v>16.349999999999994</v>
      </c>
      <c r="F415">
        <v>103.35</v>
      </c>
      <c r="G415">
        <v>3.6001000000000003</v>
      </c>
      <c r="H415">
        <v>1.2</v>
      </c>
      <c r="I415">
        <v>0.9</v>
      </c>
      <c r="J415">
        <v>56.126477890366417</v>
      </c>
      <c r="K415">
        <v>1500</v>
      </c>
      <c r="L415">
        <v>0</v>
      </c>
      <c r="N415">
        <v>29</v>
      </c>
      <c r="O415" s="60" t="s">
        <v>1221</v>
      </c>
      <c r="P415" t="s">
        <v>824</v>
      </c>
      <c r="Q415" t="s">
        <v>2395</v>
      </c>
    </row>
    <row r="416" spans="1:17" x14ac:dyDescent="0.25">
      <c r="A416" t="s">
        <v>19</v>
      </c>
      <c r="B416">
        <v>16.349999999999994</v>
      </c>
      <c r="C416">
        <v>103.35</v>
      </c>
      <c r="D416">
        <v>3.6001000000000003</v>
      </c>
      <c r="E416">
        <v>16.349999999999994</v>
      </c>
      <c r="F416">
        <v>104.69999999999999</v>
      </c>
      <c r="G416">
        <v>3.6001000000000003</v>
      </c>
      <c r="H416">
        <v>1.2</v>
      </c>
      <c r="I416">
        <v>0.9</v>
      </c>
      <c r="J416">
        <v>0.60616596121595478</v>
      </c>
      <c r="K416">
        <v>1500</v>
      </c>
      <c r="L416">
        <v>0</v>
      </c>
      <c r="N416">
        <v>29</v>
      </c>
      <c r="O416" s="60" t="s">
        <v>1222</v>
      </c>
      <c r="P416" t="s">
        <v>825</v>
      </c>
      <c r="Q416" t="s">
        <v>1032</v>
      </c>
    </row>
    <row r="417" spans="1:17" x14ac:dyDescent="0.25">
      <c r="A417" t="s">
        <v>19</v>
      </c>
      <c r="B417">
        <v>16.349999999999994</v>
      </c>
      <c r="C417">
        <v>104.69999999999999</v>
      </c>
      <c r="D417">
        <v>3.6001000000000003</v>
      </c>
      <c r="E417">
        <v>141.35</v>
      </c>
      <c r="F417">
        <v>104.69999999999999</v>
      </c>
      <c r="G417">
        <v>3.6001000000000003</v>
      </c>
      <c r="H417">
        <v>1.2</v>
      </c>
      <c r="I417">
        <v>0.9</v>
      </c>
      <c r="J417">
        <v>56.126477890366417</v>
      </c>
      <c r="K417">
        <v>1500</v>
      </c>
      <c r="L417">
        <v>0</v>
      </c>
      <c r="N417">
        <v>29</v>
      </c>
      <c r="O417" s="60" t="s">
        <v>1223</v>
      </c>
      <c r="P417" t="s">
        <v>755</v>
      </c>
      <c r="Q417" t="s">
        <v>2394</v>
      </c>
    </row>
    <row r="418" spans="1:17" x14ac:dyDescent="0.25">
      <c r="A418" t="s">
        <v>19</v>
      </c>
      <c r="B418">
        <v>141.35</v>
      </c>
      <c r="C418">
        <v>104.69999999999999</v>
      </c>
      <c r="D418">
        <v>3.6001000000000003</v>
      </c>
      <c r="E418">
        <v>141.35</v>
      </c>
      <c r="F418">
        <v>108.74999999999999</v>
      </c>
      <c r="G418">
        <v>3.6001000000000003</v>
      </c>
      <c r="H418">
        <v>1.2</v>
      </c>
      <c r="I418">
        <v>0.9</v>
      </c>
      <c r="J418">
        <v>1.8184978836478705</v>
      </c>
      <c r="K418">
        <v>1500</v>
      </c>
      <c r="L418">
        <v>0</v>
      </c>
      <c r="N418">
        <v>29</v>
      </c>
      <c r="O418" s="60" t="s">
        <v>1224</v>
      </c>
      <c r="P418" t="s">
        <v>756</v>
      </c>
      <c r="Q418" t="s">
        <v>1033</v>
      </c>
    </row>
    <row r="419" spans="1:17" x14ac:dyDescent="0.25">
      <c r="A419" t="s">
        <v>19</v>
      </c>
      <c r="B419">
        <v>141.35</v>
      </c>
      <c r="C419">
        <v>108.75</v>
      </c>
      <c r="D419">
        <v>3.6001000000000003</v>
      </c>
      <c r="E419">
        <v>16.349999999999994</v>
      </c>
      <c r="F419">
        <v>108.75</v>
      </c>
      <c r="G419">
        <v>3.6001000000000003</v>
      </c>
      <c r="H419">
        <v>1.2</v>
      </c>
      <c r="I419">
        <v>0.9</v>
      </c>
      <c r="J419">
        <v>56.126477890366417</v>
      </c>
      <c r="K419">
        <v>1500</v>
      </c>
      <c r="L419">
        <v>0</v>
      </c>
      <c r="N419">
        <v>29</v>
      </c>
      <c r="O419" s="60" t="s">
        <v>1225</v>
      </c>
      <c r="P419" t="s">
        <v>824</v>
      </c>
      <c r="Q419" t="s">
        <v>2395</v>
      </c>
    </row>
    <row r="420" spans="1:17" x14ac:dyDescent="0.25">
      <c r="A420" t="s">
        <v>19</v>
      </c>
      <c r="B420">
        <v>16.349999999999994</v>
      </c>
      <c r="C420">
        <v>108.75</v>
      </c>
      <c r="D420">
        <v>3.6001000000000003</v>
      </c>
      <c r="E420">
        <v>16.349999999999994</v>
      </c>
      <c r="F420">
        <v>110.1</v>
      </c>
      <c r="G420">
        <v>3.6001000000000003</v>
      </c>
      <c r="H420">
        <v>1.2</v>
      </c>
      <c r="I420">
        <v>0.9</v>
      </c>
      <c r="J420">
        <v>0.60616596121595478</v>
      </c>
      <c r="K420">
        <v>1500</v>
      </c>
      <c r="L420">
        <v>0</v>
      </c>
      <c r="N420">
        <v>29</v>
      </c>
      <c r="O420" s="60" t="s">
        <v>1226</v>
      </c>
      <c r="P420" t="s">
        <v>825</v>
      </c>
      <c r="Q420" t="s">
        <v>1034</v>
      </c>
    </row>
    <row r="421" spans="1:17" x14ac:dyDescent="0.25">
      <c r="A421" t="s">
        <v>19</v>
      </c>
      <c r="B421">
        <v>16.349999999999994</v>
      </c>
      <c r="C421">
        <v>110.1</v>
      </c>
      <c r="D421">
        <v>3.6001000000000003</v>
      </c>
      <c r="E421">
        <v>141.35</v>
      </c>
      <c r="F421">
        <v>110.1</v>
      </c>
      <c r="G421">
        <v>3.6001000000000003</v>
      </c>
      <c r="H421">
        <v>1.2</v>
      </c>
      <c r="I421">
        <v>0.9</v>
      </c>
      <c r="J421">
        <v>56.126477890366417</v>
      </c>
      <c r="K421">
        <v>1500</v>
      </c>
      <c r="L421">
        <v>0</v>
      </c>
      <c r="N421">
        <v>29</v>
      </c>
      <c r="O421" s="60" t="s">
        <v>1227</v>
      </c>
      <c r="P421" t="s">
        <v>755</v>
      </c>
      <c r="Q421" t="s">
        <v>2394</v>
      </c>
    </row>
    <row r="422" spans="1:17" x14ac:dyDescent="0.25">
      <c r="A422" t="s">
        <v>19</v>
      </c>
      <c r="B422">
        <v>141.35</v>
      </c>
      <c r="C422">
        <v>110.1</v>
      </c>
      <c r="D422">
        <v>3.6001000000000003</v>
      </c>
      <c r="E422">
        <v>141.35</v>
      </c>
      <c r="F422">
        <v>114.14999999999999</v>
      </c>
      <c r="G422">
        <v>3.6001000000000003</v>
      </c>
      <c r="H422">
        <v>1.2</v>
      </c>
      <c r="I422">
        <v>0.9</v>
      </c>
      <c r="J422">
        <v>1.8184978836478705</v>
      </c>
      <c r="K422">
        <v>1500</v>
      </c>
      <c r="L422">
        <v>0</v>
      </c>
      <c r="N422">
        <v>29</v>
      </c>
      <c r="O422" s="60" t="s">
        <v>1228</v>
      </c>
      <c r="P422" t="s">
        <v>756</v>
      </c>
      <c r="Q422" t="s">
        <v>1035</v>
      </c>
    </row>
    <row r="423" spans="1:17" x14ac:dyDescent="0.25">
      <c r="A423" t="s">
        <v>19</v>
      </c>
      <c r="B423">
        <v>141.35</v>
      </c>
      <c r="C423">
        <v>114.14999999999999</v>
      </c>
      <c r="D423">
        <v>3.6001000000000003</v>
      </c>
      <c r="E423">
        <v>16.349999999999994</v>
      </c>
      <c r="F423">
        <v>114.14999999999999</v>
      </c>
      <c r="G423">
        <v>3.6001000000000003</v>
      </c>
      <c r="H423">
        <v>1.2</v>
      </c>
      <c r="I423">
        <v>0.9</v>
      </c>
      <c r="J423">
        <v>56.126477890366417</v>
      </c>
      <c r="K423">
        <v>1500</v>
      </c>
      <c r="L423">
        <v>0</v>
      </c>
      <c r="N423">
        <v>29</v>
      </c>
      <c r="O423" s="60" t="s">
        <v>1229</v>
      </c>
      <c r="P423" t="s">
        <v>824</v>
      </c>
      <c r="Q423" t="s">
        <v>2395</v>
      </c>
    </row>
    <row r="424" spans="1:17" x14ac:dyDescent="0.25">
      <c r="A424" t="s">
        <v>19</v>
      </c>
      <c r="B424">
        <v>16.349999999999994</v>
      </c>
      <c r="C424">
        <v>114.14999999999999</v>
      </c>
      <c r="D424">
        <v>3.6001000000000003</v>
      </c>
      <c r="E424">
        <v>16.349999999999994</v>
      </c>
      <c r="F424">
        <v>115.49999999999999</v>
      </c>
      <c r="G424">
        <v>3.6001000000000003</v>
      </c>
      <c r="H424">
        <v>1.2</v>
      </c>
      <c r="I424">
        <v>0.9</v>
      </c>
      <c r="J424">
        <v>0.60616596121595478</v>
      </c>
      <c r="K424">
        <v>1500</v>
      </c>
      <c r="L424">
        <v>0</v>
      </c>
      <c r="N424">
        <v>29</v>
      </c>
      <c r="O424" s="60" t="s">
        <v>1230</v>
      </c>
      <c r="P424" t="s">
        <v>825</v>
      </c>
      <c r="Q424" t="s">
        <v>1036</v>
      </c>
    </row>
    <row r="425" spans="1:17" x14ac:dyDescent="0.25">
      <c r="A425" t="s">
        <v>19</v>
      </c>
      <c r="B425">
        <v>16.349999999999994</v>
      </c>
      <c r="C425">
        <v>115.49999999999999</v>
      </c>
      <c r="D425">
        <v>3.6001000000000003</v>
      </c>
      <c r="E425">
        <v>141.35</v>
      </c>
      <c r="F425">
        <v>115.49999999999999</v>
      </c>
      <c r="G425">
        <v>3.6001000000000003</v>
      </c>
      <c r="H425">
        <v>1.2</v>
      </c>
      <c r="I425">
        <v>0.9</v>
      </c>
      <c r="J425">
        <v>56.126477890366417</v>
      </c>
      <c r="K425">
        <v>1500</v>
      </c>
      <c r="L425">
        <v>0</v>
      </c>
      <c r="N425">
        <v>29</v>
      </c>
      <c r="O425" s="60" t="s">
        <v>1231</v>
      </c>
      <c r="P425" t="s">
        <v>755</v>
      </c>
      <c r="Q425" t="s">
        <v>2394</v>
      </c>
    </row>
    <row r="426" spans="1:17" x14ac:dyDescent="0.25">
      <c r="A426" t="s">
        <v>19</v>
      </c>
      <c r="B426">
        <v>141.35</v>
      </c>
      <c r="C426">
        <v>115.49999999999999</v>
      </c>
      <c r="D426">
        <v>3.6001000000000003</v>
      </c>
      <c r="E426">
        <v>141.35</v>
      </c>
      <c r="F426">
        <v>119.54999999999998</v>
      </c>
      <c r="G426">
        <v>3.6001000000000003</v>
      </c>
      <c r="H426">
        <v>1.2</v>
      </c>
      <c r="I426">
        <v>0.9</v>
      </c>
      <c r="J426">
        <v>1.8184978836478705</v>
      </c>
      <c r="K426">
        <v>1500</v>
      </c>
      <c r="L426">
        <v>0</v>
      </c>
      <c r="N426">
        <v>29</v>
      </c>
      <c r="O426" s="60" t="s">
        <v>1232</v>
      </c>
      <c r="P426" t="s">
        <v>756</v>
      </c>
      <c r="Q426" t="s">
        <v>1037</v>
      </c>
    </row>
    <row r="427" spans="1:17" x14ac:dyDescent="0.25">
      <c r="A427" t="s">
        <v>19</v>
      </c>
      <c r="B427">
        <v>141.35</v>
      </c>
      <c r="C427">
        <v>119.55</v>
      </c>
      <c r="D427">
        <v>3.6001000000000003</v>
      </c>
      <c r="E427">
        <v>16.349999999999994</v>
      </c>
      <c r="F427">
        <v>119.55</v>
      </c>
      <c r="G427">
        <v>3.6001000000000003</v>
      </c>
      <c r="H427">
        <v>1.2</v>
      </c>
      <c r="I427">
        <v>0.9</v>
      </c>
      <c r="J427">
        <v>56.126477890366417</v>
      </c>
      <c r="K427">
        <v>1500</v>
      </c>
      <c r="L427">
        <v>0</v>
      </c>
      <c r="N427">
        <v>29</v>
      </c>
      <c r="O427" s="60" t="s">
        <v>2050</v>
      </c>
      <c r="P427" t="s">
        <v>824</v>
      </c>
      <c r="Q427" t="s">
        <v>2395</v>
      </c>
    </row>
    <row r="428" spans="1:17" x14ac:dyDescent="0.25">
      <c r="A428" t="s">
        <v>19</v>
      </c>
      <c r="B428">
        <v>16.349999999999994</v>
      </c>
      <c r="C428">
        <v>119.55</v>
      </c>
      <c r="D428">
        <v>3.6001000000000003</v>
      </c>
      <c r="E428">
        <v>16.349999999999994</v>
      </c>
      <c r="F428">
        <v>120.89999999999999</v>
      </c>
      <c r="G428">
        <v>3.6001000000000003</v>
      </c>
      <c r="H428">
        <v>1.2</v>
      </c>
      <c r="I428">
        <v>0.9</v>
      </c>
      <c r="J428">
        <v>0.60616596121595478</v>
      </c>
      <c r="K428">
        <v>1500</v>
      </c>
      <c r="L428">
        <v>0</v>
      </c>
      <c r="N428">
        <v>29</v>
      </c>
      <c r="O428" s="60" t="s">
        <v>2051</v>
      </c>
      <c r="P428" t="s">
        <v>825</v>
      </c>
      <c r="Q428" t="s">
        <v>1935</v>
      </c>
    </row>
    <row r="429" spans="1:17" x14ac:dyDescent="0.25">
      <c r="A429" t="s">
        <v>19</v>
      </c>
      <c r="B429">
        <v>16.349999999999994</v>
      </c>
      <c r="C429">
        <v>120.89999999999999</v>
      </c>
      <c r="D429">
        <v>3.6001000000000003</v>
      </c>
      <c r="E429">
        <v>141.35</v>
      </c>
      <c r="F429">
        <v>120.89999999999999</v>
      </c>
      <c r="G429">
        <v>3.6001000000000003</v>
      </c>
      <c r="H429">
        <v>1.2</v>
      </c>
      <c r="I429">
        <v>0.9</v>
      </c>
      <c r="J429">
        <v>56.126477890366417</v>
      </c>
      <c r="K429">
        <v>1500</v>
      </c>
      <c r="L429">
        <v>0</v>
      </c>
      <c r="N429">
        <v>29</v>
      </c>
      <c r="O429" s="60" t="s">
        <v>2052</v>
      </c>
      <c r="P429" t="s">
        <v>755</v>
      </c>
      <c r="Q429" t="s">
        <v>2394</v>
      </c>
    </row>
    <row r="430" spans="1:17" x14ac:dyDescent="0.25">
      <c r="A430" t="s">
        <v>19</v>
      </c>
      <c r="B430">
        <v>141.35</v>
      </c>
      <c r="C430">
        <v>120.89999999999999</v>
      </c>
      <c r="D430">
        <v>3.6001000000000003</v>
      </c>
      <c r="E430">
        <v>141.35</v>
      </c>
      <c r="F430">
        <v>124.94999999999999</v>
      </c>
      <c r="G430">
        <v>3.6001000000000003</v>
      </c>
      <c r="H430">
        <v>1.2</v>
      </c>
      <c r="I430">
        <v>0.9</v>
      </c>
      <c r="J430">
        <v>1.8184978836478705</v>
      </c>
      <c r="K430">
        <v>1500</v>
      </c>
      <c r="L430">
        <v>0</v>
      </c>
      <c r="N430">
        <v>29</v>
      </c>
      <c r="O430" s="60" t="s">
        <v>2053</v>
      </c>
      <c r="P430" t="s">
        <v>756</v>
      </c>
      <c r="Q430" t="s">
        <v>1938</v>
      </c>
    </row>
    <row r="431" spans="1:17" x14ac:dyDescent="0.25">
      <c r="A431" t="s">
        <v>19</v>
      </c>
      <c r="B431">
        <v>141.35</v>
      </c>
      <c r="C431">
        <v>124.95</v>
      </c>
      <c r="D431">
        <v>3.6001000000000003</v>
      </c>
      <c r="E431">
        <v>16.349999999999994</v>
      </c>
      <c r="F431">
        <v>124.95</v>
      </c>
      <c r="G431">
        <v>3.6001000000000003</v>
      </c>
      <c r="H431">
        <v>1.2</v>
      </c>
      <c r="I431">
        <v>0.9</v>
      </c>
      <c r="J431">
        <v>56.126477890366417</v>
      </c>
      <c r="K431">
        <v>1500</v>
      </c>
      <c r="L431">
        <v>0</v>
      </c>
      <c r="N431">
        <v>29</v>
      </c>
      <c r="O431" s="60" t="s">
        <v>2054</v>
      </c>
      <c r="P431" t="s">
        <v>824</v>
      </c>
      <c r="Q431" t="s">
        <v>2395</v>
      </c>
    </row>
    <row r="432" spans="1:17" x14ac:dyDescent="0.25">
      <c r="A432" t="s">
        <v>19</v>
      </c>
      <c r="B432">
        <v>16.349999999999994</v>
      </c>
      <c r="C432">
        <v>124.95</v>
      </c>
      <c r="D432">
        <v>3.6001000000000003</v>
      </c>
      <c r="E432">
        <v>16.349999999999994</v>
      </c>
      <c r="F432">
        <v>126.3</v>
      </c>
      <c r="G432">
        <v>3.6001000000000003</v>
      </c>
      <c r="H432">
        <v>1.2</v>
      </c>
      <c r="I432">
        <v>0.9</v>
      </c>
      <c r="J432">
        <v>0.60616596121595478</v>
      </c>
      <c r="K432">
        <v>1500</v>
      </c>
      <c r="L432">
        <v>0</v>
      </c>
      <c r="N432">
        <v>29</v>
      </c>
      <c r="O432" s="60" t="s">
        <v>2055</v>
      </c>
      <c r="P432" t="s">
        <v>825</v>
      </c>
      <c r="Q432" t="s">
        <v>1941</v>
      </c>
    </row>
    <row r="433" spans="1:17" x14ac:dyDescent="0.25">
      <c r="A433" t="s">
        <v>19</v>
      </c>
      <c r="B433">
        <v>16.349999999999994</v>
      </c>
      <c r="C433">
        <v>126.3</v>
      </c>
      <c r="D433">
        <v>3.6001000000000003</v>
      </c>
      <c r="E433">
        <v>141.35</v>
      </c>
      <c r="F433">
        <v>126.3</v>
      </c>
      <c r="G433">
        <v>3.6001000000000003</v>
      </c>
      <c r="H433">
        <v>1.2</v>
      </c>
      <c r="I433">
        <v>0.9</v>
      </c>
      <c r="J433">
        <v>56.126477890366417</v>
      </c>
      <c r="K433">
        <v>1500</v>
      </c>
      <c r="L433">
        <v>0</v>
      </c>
      <c r="N433">
        <v>29</v>
      </c>
      <c r="O433" s="60" t="s">
        <v>2056</v>
      </c>
      <c r="P433" t="s">
        <v>755</v>
      </c>
      <c r="Q433" t="s">
        <v>2394</v>
      </c>
    </row>
    <row r="434" spans="1:17" x14ac:dyDescent="0.25">
      <c r="A434" t="s">
        <v>19</v>
      </c>
      <c r="B434">
        <v>141.35</v>
      </c>
      <c r="C434">
        <v>126.3</v>
      </c>
      <c r="D434">
        <v>3.6001000000000003</v>
      </c>
      <c r="E434">
        <v>141.35</v>
      </c>
      <c r="F434">
        <v>130.35</v>
      </c>
      <c r="G434">
        <v>3.6001000000000003</v>
      </c>
      <c r="H434">
        <v>1.2</v>
      </c>
      <c r="I434">
        <v>0.9</v>
      </c>
      <c r="J434">
        <v>1.8184978836478705</v>
      </c>
      <c r="K434">
        <v>1500</v>
      </c>
      <c r="L434">
        <v>0</v>
      </c>
      <c r="N434">
        <v>29</v>
      </c>
      <c r="O434" s="60" t="s">
        <v>2057</v>
      </c>
      <c r="P434" t="s">
        <v>756</v>
      </c>
      <c r="Q434" t="s">
        <v>1944</v>
      </c>
    </row>
    <row r="435" spans="1:17" x14ac:dyDescent="0.25">
      <c r="A435" t="s">
        <v>39</v>
      </c>
      <c r="B435">
        <v>-1.25</v>
      </c>
      <c r="C435">
        <v>2100</v>
      </c>
      <c r="N435">
        <v>29</v>
      </c>
      <c r="O435" s="60" t="s">
        <v>906</v>
      </c>
      <c r="P435" t="s">
        <v>753</v>
      </c>
      <c r="Q435" t="s">
        <v>845</v>
      </c>
    </row>
    <row r="436" spans="1:17" x14ac:dyDescent="0.25">
      <c r="A436" t="s">
        <v>660</v>
      </c>
      <c r="B436">
        <v>0.9</v>
      </c>
      <c r="C436">
        <v>10000</v>
      </c>
      <c r="N436">
        <v>29</v>
      </c>
      <c r="O436" s="60" t="s">
        <v>906</v>
      </c>
      <c r="P436" t="s">
        <v>753</v>
      </c>
      <c r="Q436" t="s">
        <v>833</v>
      </c>
    </row>
    <row r="437" spans="1:17" x14ac:dyDescent="0.25">
      <c r="A437" t="s">
        <v>23</v>
      </c>
      <c r="B437">
        <v>141.35</v>
      </c>
      <c r="C437">
        <v>130.35</v>
      </c>
      <c r="D437">
        <v>3.6001000000000003</v>
      </c>
      <c r="E437">
        <v>141.35</v>
      </c>
      <c r="F437">
        <v>76.349999999999994</v>
      </c>
      <c r="G437">
        <v>4.5000999999999998</v>
      </c>
      <c r="H437">
        <v>0</v>
      </c>
      <c r="I437">
        <v>0</v>
      </c>
      <c r="K437">
        <v>48000</v>
      </c>
      <c r="N437">
        <v>0</v>
      </c>
      <c r="O437" s="60">
        <v>0</v>
      </c>
      <c r="P437" t="s">
        <v>661</v>
      </c>
      <c r="Q437" t="s">
        <v>2058</v>
      </c>
    </row>
    <row r="438" spans="1:17" x14ac:dyDescent="0.25">
      <c r="A438" t="s">
        <v>19</v>
      </c>
      <c r="B438">
        <v>141.35</v>
      </c>
      <c r="C438">
        <v>76.349999999999994</v>
      </c>
      <c r="D438">
        <v>4.5000999999999998</v>
      </c>
      <c r="E438">
        <v>16.349999999999994</v>
      </c>
      <c r="F438">
        <v>76.349999999999994</v>
      </c>
      <c r="G438">
        <v>4.5000999999999998</v>
      </c>
      <c r="H438">
        <v>1.2</v>
      </c>
      <c r="I438">
        <v>0.9</v>
      </c>
      <c r="J438">
        <v>56.126477890366417</v>
      </c>
      <c r="K438">
        <v>1500</v>
      </c>
      <c r="L438">
        <v>0</v>
      </c>
      <c r="N438">
        <v>29</v>
      </c>
      <c r="O438" s="60" t="s">
        <v>2059</v>
      </c>
      <c r="P438" t="s">
        <v>2001</v>
      </c>
      <c r="Q438" t="s">
        <v>2393</v>
      </c>
    </row>
    <row r="439" spans="1:17" x14ac:dyDescent="0.25">
      <c r="A439" t="s">
        <v>19</v>
      </c>
      <c r="B439">
        <v>16.349999999999994</v>
      </c>
      <c r="C439">
        <v>76.349999999999994</v>
      </c>
      <c r="D439">
        <v>4.5000999999999998</v>
      </c>
      <c r="E439">
        <v>16.349999999999994</v>
      </c>
      <c r="F439">
        <v>77.699999999999989</v>
      </c>
      <c r="G439">
        <v>4.5000999999999998</v>
      </c>
      <c r="H439">
        <v>1.2</v>
      </c>
      <c r="I439">
        <v>0.9</v>
      </c>
      <c r="J439">
        <v>0.60616596121595478</v>
      </c>
      <c r="K439">
        <v>1500</v>
      </c>
      <c r="L439">
        <v>0</v>
      </c>
      <c r="N439">
        <v>29</v>
      </c>
      <c r="O439" s="60" t="s">
        <v>2060</v>
      </c>
      <c r="P439" t="s">
        <v>2003</v>
      </c>
      <c r="Q439" t="s">
        <v>876</v>
      </c>
    </row>
    <row r="440" spans="1:17" x14ac:dyDescent="0.25">
      <c r="A440" t="s">
        <v>19</v>
      </c>
      <c r="B440">
        <v>16.349999999999994</v>
      </c>
      <c r="C440">
        <v>77.699999999999989</v>
      </c>
      <c r="D440">
        <v>4.5000999999999998</v>
      </c>
      <c r="E440">
        <v>141.35</v>
      </c>
      <c r="F440">
        <v>77.699999999999989</v>
      </c>
      <c r="G440">
        <v>4.5000999999999998</v>
      </c>
      <c r="H440">
        <v>1.2</v>
      </c>
      <c r="I440">
        <v>0.9</v>
      </c>
      <c r="J440">
        <v>56.126477890366417</v>
      </c>
      <c r="K440">
        <v>1500</v>
      </c>
      <c r="L440">
        <v>0</v>
      </c>
      <c r="N440">
        <v>29</v>
      </c>
      <c r="O440" s="60" t="s">
        <v>2061</v>
      </c>
      <c r="P440" t="s">
        <v>2005</v>
      </c>
      <c r="Q440" t="s">
        <v>2394</v>
      </c>
    </row>
    <row r="441" spans="1:17" x14ac:dyDescent="0.25">
      <c r="A441" t="s">
        <v>19</v>
      </c>
      <c r="B441">
        <v>141.35</v>
      </c>
      <c r="C441">
        <v>77.699999999999989</v>
      </c>
      <c r="D441">
        <v>4.5000999999999998</v>
      </c>
      <c r="E441">
        <v>141.35</v>
      </c>
      <c r="F441">
        <v>81.749999999999986</v>
      </c>
      <c r="G441">
        <v>4.5000999999999998</v>
      </c>
      <c r="H441">
        <v>1.2</v>
      </c>
      <c r="I441">
        <v>0.9</v>
      </c>
      <c r="J441">
        <v>1.8184978836478705</v>
      </c>
      <c r="K441">
        <v>1500</v>
      </c>
      <c r="L441">
        <v>0</v>
      </c>
      <c r="N441">
        <v>29</v>
      </c>
      <c r="O441" s="60" t="s">
        <v>2062</v>
      </c>
      <c r="P441" t="s">
        <v>2007</v>
      </c>
      <c r="Q441" t="s">
        <v>877</v>
      </c>
    </row>
    <row r="442" spans="1:17" x14ac:dyDescent="0.25">
      <c r="A442" t="s">
        <v>19</v>
      </c>
      <c r="B442">
        <v>141.35</v>
      </c>
      <c r="C442">
        <v>81.75</v>
      </c>
      <c r="D442">
        <v>4.5000999999999998</v>
      </c>
      <c r="E442">
        <v>16.349999999999994</v>
      </c>
      <c r="F442">
        <v>81.75</v>
      </c>
      <c r="G442">
        <v>4.5000999999999998</v>
      </c>
      <c r="H442">
        <v>1.2</v>
      </c>
      <c r="I442">
        <v>0.9</v>
      </c>
      <c r="J442">
        <v>56.126477890366417</v>
      </c>
      <c r="K442">
        <v>1500</v>
      </c>
      <c r="L442">
        <v>0</v>
      </c>
      <c r="N442">
        <v>29</v>
      </c>
      <c r="O442" s="60" t="s">
        <v>1233</v>
      </c>
      <c r="P442" t="s">
        <v>805</v>
      </c>
      <c r="Q442" t="s">
        <v>2395</v>
      </c>
    </row>
    <row r="443" spans="1:17" x14ac:dyDescent="0.25">
      <c r="A443" t="s">
        <v>19</v>
      </c>
      <c r="B443">
        <v>16.349999999999994</v>
      </c>
      <c r="C443">
        <v>81.75</v>
      </c>
      <c r="D443">
        <v>4.5000999999999998</v>
      </c>
      <c r="E443">
        <v>16.349999999999994</v>
      </c>
      <c r="F443">
        <v>83.1</v>
      </c>
      <c r="G443">
        <v>4.5000999999999998</v>
      </c>
      <c r="H443">
        <v>1.2</v>
      </c>
      <c r="I443">
        <v>0.9</v>
      </c>
      <c r="J443">
        <v>0.60616596121595478</v>
      </c>
      <c r="K443">
        <v>1500</v>
      </c>
      <c r="L443">
        <v>0</v>
      </c>
      <c r="N443">
        <v>29</v>
      </c>
      <c r="O443" s="60" t="s">
        <v>1234</v>
      </c>
      <c r="P443" t="s">
        <v>806</v>
      </c>
      <c r="Q443" t="s">
        <v>1024</v>
      </c>
    </row>
    <row r="444" spans="1:17" x14ac:dyDescent="0.25">
      <c r="A444" t="s">
        <v>19</v>
      </c>
      <c r="B444">
        <v>16.349999999999994</v>
      </c>
      <c r="C444">
        <v>83.1</v>
      </c>
      <c r="D444">
        <v>4.5000999999999998</v>
      </c>
      <c r="E444">
        <v>141.35</v>
      </c>
      <c r="F444">
        <v>83.1</v>
      </c>
      <c r="G444">
        <v>4.5000999999999998</v>
      </c>
      <c r="H444">
        <v>1.2</v>
      </c>
      <c r="I444">
        <v>0.9</v>
      </c>
      <c r="J444">
        <v>56.126477890366417</v>
      </c>
      <c r="K444">
        <v>1500</v>
      </c>
      <c r="L444">
        <v>0</v>
      </c>
      <c r="N444">
        <v>29</v>
      </c>
      <c r="O444" s="60" t="s">
        <v>1235</v>
      </c>
      <c r="P444" t="s">
        <v>826</v>
      </c>
      <c r="Q444" t="s">
        <v>2394</v>
      </c>
    </row>
    <row r="445" spans="1:17" x14ac:dyDescent="0.25">
      <c r="A445" t="s">
        <v>19</v>
      </c>
      <c r="B445">
        <v>141.35</v>
      </c>
      <c r="C445">
        <v>83.1</v>
      </c>
      <c r="D445">
        <v>4.5000999999999998</v>
      </c>
      <c r="E445">
        <v>141.35</v>
      </c>
      <c r="F445">
        <v>87.149999999999991</v>
      </c>
      <c r="G445">
        <v>4.5000999999999998</v>
      </c>
      <c r="H445">
        <v>1.2</v>
      </c>
      <c r="I445">
        <v>0.9</v>
      </c>
      <c r="J445">
        <v>1.8184978836478705</v>
      </c>
      <c r="K445">
        <v>1500</v>
      </c>
      <c r="L445">
        <v>0</v>
      </c>
      <c r="N445">
        <v>29</v>
      </c>
      <c r="O445" s="60" t="s">
        <v>1236</v>
      </c>
      <c r="P445" t="s">
        <v>761</v>
      </c>
      <c r="Q445" t="s">
        <v>1025</v>
      </c>
    </row>
    <row r="446" spans="1:17" x14ac:dyDescent="0.25">
      <c r="A446" t="s">
        <v>19</v>
      </c>
      <c r="B446">
        <v>141.35</v>
      </c>
      <c r="C446">
        <v>87.149999999999991</v>
      </c>
      <c r="D446">
        <v>4.5000999999999998</v>
      </c>
      <c r="E446">
        <v>16.349999999999994</v>
      </c>
      <c r="F446">
        <v>87.149999999999991</v>
      </c>
      <c r="G446">
        <v>4.5000999999999998</v>
      </c>
      <c r="H446">
        <v>1.2</v>
      </c>
      <c r="I446">
        <v>0.9</v>
      </c>
      <c r="J446">
        <v>56.126477890366417</v>
      </c>
      <c r="K446">
        <v>1500</v>
      </c>
      <c r="L446">
        <v>0</v>
      </c>
      <c r="N446">
        <v>29</v>
      </c>
      <c r="O446" s="60" t="s">
        <v>1237</v>
      </c>
      <c r="P446" t="s">
        <v>805</v>
      </c>
      <c r="Q446" t="s">
        <v>2395</v>
      </c>
    </row>
    <row r="447" spans="1:17" x14ac:dyDescent="0.25">
      <c r="A447" t="s">
        <v>19</v>
      </c>
      <c r="B447">
        <v>16.349999999999994</v>
      </c>
      <c r="C447">
        <v>87.149999999999991</v>
      </c>
      <c r="D447">
        <v>4.5000999999999998</v>
      </c>
      <c r="E447">
        <v>16.349999999999994</v>
      </c>
      <c r="F447">
        <v>88.499999999999986</v>
      </c>
      <c r="G447">
        <v>4.5000999999999998</v>
      </c>
      <c r="H447">
        <v>1.2</v>
      </c>
      <c r="I447">
        <v>0.9</v>
      </c>
      <c r="J447">
        <v>0.60616596121595478</v>
      </c>
      <c r="K447">
        <v>1500</v>
      </c>
      <c r="L447">
        <v>0</v>
      </c>
      <c r="N447">
        <v>29</v>
      </c>
      <c r="O447" s="60" t="s">
        <v>1238</v>
      </c>
      <c r="P447" t="s">
        <v>806</v>
      </c>
      <c r="Q447" t="s">
        <v>1026</v>
      </c>
    </row>
    <row r="448" spans="1:17" x14ac:dyDescent="0.25">
      <c r="A448" t="s">
        <v>19</v>
      </c>
      <c r="B448">
        <v>16.349999999999994</v>
      </c>
      <c r="C448">
        <v>88.499999999999986</v>
      </c>
      <c r="D448">
        <v>4.5000999999999998</v>
      </c>
      <c r="E448">
        <v>141.35</v>
      </c>
      <c r="F448">
        <v>88.499999999999986</v>
      </c>
      <c r="G448">
        <v>4.5000999999999998</v>
      </c>
      <c r="H448">
        <v>1.2</v>
      </c>
      <c r="I448">
        <v>0.9</v>
      </c>
      <c r="J448">
        <v>56.126477890366417</v>
      </c>
      <c r="K448">
        <v>1500</v>
      </c>
      <c r="L448">
        <v>0</v>
      </c>
      <c r="N448">
        <v>29</v>
      </c>
      <c r="O448" s="60" t="s">
        <v>1239</v>
      </c>
      <c r="P448" t="s">
        <v>826</v>
      </c>
      <c r="Q448" t="s">
        <v>2394</v>
      </c>
    </row>
    <row r="449" spans="1:17" x14ac:dyDescent="0.25">
      <c r="A449" t="s">
        <v>19</v>
      </c>
      <c r="B449">
        <v>141.35</v>
      </c>
      <c r="C449">
        <v>88.499999999999986</v>
      </c>
      <c r="D449">
        <v>4.5000999999999998</v>
      </c>
      <c r="E449">
        <v>141.35</v>
      </c>
      <c r="F449">
        <v>92.549999999999983</v>
      </c>
      <c r="G449">
        <v>4.5000999999999998</v>
      </c>
      <c r="H449">
        <v>1.2</v>
      </c>
      <c r="I449">
        <v>0.9</v>
      </c>
      <c r="J449">
        <v>1.8184978836478705</v>
      </c>
      <c r="K449">
        <v>1500</v>
      </c>
      <c r="L449">
        <v>0</v>
      </c>
      <c r="N449">
        <v>29</v>
      </c>
      <c r="O449" s="60" t="s">
        <v>1240</v>
      </c>
      <c r="P449" t="s">
        <v>761</v>
      </c>
      <c r="Q449" t="s">
        <v>1027</v>
      </c>
    </row>
    <row r="450" spans="1:17" x14ac:dyDescent="0.25">
      <c r="A450" t="s">
        <v>19</v>
      </c>
      <c r="B450">
        <v>141.35</v>
      </c>
      <c r="C450">
        <v>92.55</v>
      </c>
      <c r="D450">
        <v>4.5000999999999998</v>
      </c>
      <c r="E450">
        <v>16.349999999999994</v>
      </c>
      <c r="F450">
        <v>92.55</v>
      </c>
      <c r="G450">
        <v>4.5000999999999998</v>
      </c>
      <c r="H450">
        <v>1.2</v>
      </c>
      <c r="I450">
        <v>0.9</v>
      </c>
      <c r="J450">
        <v>56.126477890366417</v>
      </c>
      <c r="K450">
        <v>1500</v>
      </c>
      <c r="L450">
        <v>0</v>
      </c>
      <c r="N450">
        <v>29</v>
      </c>
      <c r="O450" s="60" t="s">
        <v>1241</v>
      </c>
      <c r="P450" t="s">
        <v>805</v>
      </c>
      <c r="Q450" t="s">
        <v>2395</v>
      </c>
    </row>
    <row r="451" spans="1:17" x14ac:dyDescent="0.25">
      <c r="A451" t="s">
        <v>19</v>
      </c>
      <c r="B451">
        <v>16.349999999999994</v>
      </c>
      <c r="C451">
        <v>92.55</v>
      </c>
      <c r="D451">
        <v>4.5000999999999998</v>
      </c>
      <c r="E451">
        <v>16.349999999999994</v>
      </c>
      <c r="F451">
        <v>93.899999999999991</v>
      </c>
      <c r="G451">
        <v>4.5000999999999998</v>
      </c>
      <c r="H451">
        <v>1.2</v>
      </c>
      <c r="I451">
        <v>0.9</v>
      </c>
      <c r="J451">
        <v>0.60616596121595478</v>
      </c>
      <c r="K451">
        <v>1500</v>
      </c>
      <c r="L451">
        <v>0</v>
      </c>
      <c r="N451">
        <v>29</v>
      </c>
      <c r="O451" s="60" t="s">
        <v>1242</v>
      </c>
      <c r="P451" t="s">
        <v>806</v>
      </c>
      <c r="Q451" t="s">
        <v>1028</v>
      </c>
    </row>
    <row r="452" spans="1:17" x14ac:dyDescent="0.25">
      <c r="A452" t="s">
        <v>19</v>
      </c>
      <c r="B452">
        <v>16.349999999999994</v>
      </c>
      <c r="C452">
        <v>93.899999999999991</v>
      </c>
      <c r="D452">
        <v>4.5000999999999998</v>
      </c>
      <c r="E452">
        <v>141.35</v>
      </c>
      <c r="F452">
        <v>93.899999999999991</v>
      </c>
      <c r="G452">
        <v>4.5000999999999998</v>
      </c>
      <c r="H452">
        <v>1.2</v>
      </c>
      <c r="I452">
        <v>0.9</v>
      </c>
      <c r="J452">
        <v>56.126477890366417</v>
      </c>
      <c r="K452">
        <v>1500</v>
      </c>
      <c r="L452">
        <v>0</v>
      </c>
      <c r="N452">
        <v>29</v>
      </c>
      <c r="O452" s="60" t="s">
        <v>1243</v>
      </c>
      <c r="P452" t="s">
        <v>826</v>
      </c>
      <c r="Q452" t="s">
        <v>2394</v>
      </c>
    </row>
    <row r="453" spans="1:17" x14ac:dyDescent="0.25">
      <c r="A453" t="s">
        <v>19</v>
      </c>
      <c r="B453">
        <v>141.35</v>
      </c>
      <c r="C453">
        <v>93.899999999999991</v>
      </c>
      <c r="D453">
        <v>4.5000999999999998</v>
      </c>
      <c r="E453">
        <v>141.35</v>
      </c>
      <c r="F453">
        <v>97.949999999999989</v>
      </c>
      <c r="G453">
        <v>4.5000999999999998</v>
      </c>
      <c r="H453">
        <v>1.2</v>
      </c>
      <c r="I453">
        <v>0.9</v>
      </c>
      <c r="J453">
        <v>1.8184978836478705</v>
      </c>
      <c r="K453">
        <v>1500</v>
      </c>
      <c r="L453">
        <v>0</v>
      </c>
      <c r="N453">
        <v>29</v>
      </c>
      <c r="O453" s="60" t="s">
        <v>1244</v>
      </c>
      <c r="P453" t="s">
        <v>761</v>
      </c>
      <c r="Q453" t="s">
        <v>1029</v>
      </c>
    </row>
    <row r="454" spans="1:17" x14ac:dyDescent="0.25">
      <c r="A454" t="s">
        <v>19</v>
      </c>
      <c r="B454">
        <v>141.35</v>
      </c>
      <c r="C454">
        <v>97.949999999999989</v>
      </c>
      <c r="D454">
        <v>4.5000999999999998</v>
      </c>
      <c r="E454">
        <v>16.349999999999994</v>
      </c>
      <c r="F454">
        <v>97.949999999999989</v>
      </c>
      <c r="G454">
        <v>4.5000999999999998</v>
      </c>
      <c r="H454">
        <v>1.2</v>
      </c>
      <c r="I454">
        <v>0.9</v>
      </c>
      <c r="J454">
        <v>56.126477890366417</v>
      </c>
      <c r="K454">
        <v>1500</v>
      </c>
      <c r="L454">
        <v>0</v>
      </c>
      <c r="N454">
        <v>29</v>
      </c>
      <c r="O454" s="60" t="s">
        <v>1245</v>
      </c>
      <c r="P454" t="s">
        <v>805</v>
      </c>
      <c r="Q454" t="s">
        <v>2395</v>
      </c>
    </row>
    <row r="455" spans="1:17" x14ac:dyDescent="0.25">
      <c r="A455" t="s">
        <v>19</v>
      </c>
      <c r="B455">
        <v>16.349999999999994</v>
      </c>
      <c r="C455">
        <v>97.949999999999989</v>
      </c>
      <c r="D455">
        <v>4.5000999999999998</v>
      </c>
      <c r="E455">
        <v>16.349999999999994</v>
      </c>
      <c r="F455">
        <v>99.299999999999983</v>
      </c>
      <c r="G455">
        <v>4.5000999999999998</v>
      </c>
      <c r="H455">
        <v>1.2</v>
      </c>
      <c r="I455">
        <v>0.9</v>
      </c>
      <c r="J455">
        <v>0.60616596121595478</v>
      </c>
      <c r="K455">
        <v>1500</v>
      </c>
      <c r="L455">
        <v>0</v>
      </c>
      <c r="N455">
        <v>29</v>
      </c>
      <c r="O455" s="60" t="s">
        <v>1246</v>
      </c>
      <c r="P455" t="s">
        <v>806</v>
      </c>
      <c r="Q455" t="s">
        <v>1030</v>
      </c>
    </row>
    <row r="456" spans="1:17" x14ac:dyDescent="0.25">
      <c r="A456" t="s">
        <v>19</v>
      </c>
      <c r="B456">
        <v>16.349999999999994</v>
      </c>
      <c r="C456">
        <v>99.299999999999983</v>
      </c>
      <c r="D456">
        <v>4.5000999999999998</v>
      </c>
      <c r="E456">
        <v>141.35</v>
      </c>
      <c r="F456">
        <v>99.299999999999983</v>
      </c>
      <c r="G456">
        <v>4.5000999999999998</v>
      </c>
      <c r="H456">
        <v>1.2</v>
      </c>
      <c r="I456">
        <v>0.9</v>
      </c>
      <c r="J456">
        <v>56.126477890366417</v>
      </c>
      <c r="K456">
        <v>1500</v>
      </c>
      <c r="L456">
        <v>0</v>
      </c>
      <c r="N456">
        <v>29</v>
      </c>
      <c r="O456" s="60" t="s">
        <v>1247</v>
      </c>
      <c r="P456" t="s">
        <v>826</v>
      </c>
      <c r="Q456" t="s">
        <v>2394</v>
      </c>
    </row>
    <row r="457" spans="1:17" x14ac:dyDescent="0.25">
      <c r="A457" t="s">
        <v>19</v>
      </c>
      <c r="B457">
        <v>141.35</v>
      </c>
      <c r="C457">
        <v>99.299999999999983</v>
      </c>
      <c r="D457">
        <v>4.5000999999999998</v>
      </c>
      <c r="E457">
        <v>141.35</v>
      </c>
      <c r="F457">
        <v>103.35</v>
      </c>
      <c r="G457">
        <v>4.5000999999999998</v>
      </c>
      <c r="H457">
        <v>1.2</v>
      </c>
      <c r="I457">
        <v>0.9</v>
      </c>
      <c r="J457">
        <v>1.8184978836478705</v>
      </c>
      <c r="K457">
        <v>1500</v>
      </c>
      <c r="L457">
        <v>0</v>
      </c>
      <c r="N457">
        <v>29</v>
      </c>
      <c r="O457" s="60" t="s">
        <v>1248</v>
      </c>
      <c r="P457" t="s">
        <v>761</v>
      </c>
      <c r="Q457" t="s">
        <v>1031</v>
      </c>
    </row>
    <row r="458" spans="1:17" x14ac:dyDescent="0.25">
      <c r="A458" t="s">
        <v>19</v>
      </c>
      <c r="B458">
        <v>141.35</v>
      </c>
      <c r="C458">
        <v>103.35</v>
      </c>
      <c r="D458">
        <v>4.5000999999999998</v>
      </c>
      <c r="E458">
        <v>16.349999999999994</v>
      </c>
      <c r="F458">
        <v>103.35</v>
      </c>
      <c r="G458">
        <v>4.5000999999999998</v>
      </c>
      <c r="H458">
        <v>1.2</v>
      </c>
      <c r="I458">
        <v>0.9</v>
      </c>
      <c r="J458">
        <v>56.126477890366417</v>
      </c>
      <c r="K458">
        <v>1500</v>
      </c>
      <c r="L458">
        <v>0</v>
      </c>
      <c r="N458">
        <v>29</v>
      </c>
      <c r="O458" s="60" t="s">
        <v>1249</v>
      </c>
      <c r="P458" t="s">
        <v>805</v>
      </c>
      <c r="Q458" t="s">
        <v>2395</v>
      </c>
    </row>
    <row r="459" spans="1:17" x14ac:dyDescent="0.25">
      <c r="A459" t="s">
        <v>19</v>
      </c>
      <c r="B459">
        <v>16.349999999999994</v>
      </c>
      <c r="C459">
        <v>103.35</v>
      </c>
      <c r="D459">
        <v>4.5000999999999998</v>
      </c>
      <c r="E459">
        <v>16.349999999999994</v>
      </c>
      <c r="F459">
        <v>104.69999999999999</v>
      </c>
      <c r="G459">
        <v>4.5000999999999998</v>
      </c>
      <c r="H459">
        <v>1.2</v>
      </c>
      <c r="I459">
        <v>0.9</v>
      </c>
      <c r="J459">
        <v>0.60616596121595478</v>
      </c>
      <c r="K459">
        <v>1500</v>
      </c>
      <c r="L459">
        <v>0</v>
      </c>
      <c r="N459">
        <v>29</v>
      </c>
      <c r="O459" s="60" t="s">
        <v>1250</v>
      </c>
      <c r="P459" t="s">
        <v>806</v>
      </c>
      <c r="Q459" t="s">
        <v>1032</v>
      </c>
    </row>
    <row r="460" spans="1:17" x14ac:dyDescent="0.25">
      <c r="A460" t="s">
        <v>19</v>
      </c>
      <c r="B460">
        <v>16.349999999999994</v>
      </c>
      <c r="C460">
        <v>104.69999999999999</v>
      </c>
      <c r="D460">
        <v>4.5000999999999998</v>
      </c>
      <c r="E460">
        <v>141.35</v>
      </c>
      <c r="F460">
        <v>104.69999999999999</v>
      </c>
      <c r="G460">
        <v>4.5000999999999998</v>
      </c>
      <c r="H460">
        <v>1.2</v>
      </c>
      <c r="I460">
        <v>0.9</v>
      </c>
      <c r="J460">
        <v>56.126477890366417</v>
      </c>
      <c r="K460">
        <v>1500</v>
      </c>
      <c r="L460">
        <v>0</v>
      </c>
      <c r="N460">
        <v>29</v>
      </c>
      <c r="O460" s="60" t="s">
        <v>1251</v>
      </c>
      <c r="P460" t="s">
        <v>826</v>
      </c>
      <c r="Q460" t="s">
        <v>2394</v>
      </c>
    </row>
    <row r="461" spans="1:17" x14ac:dyDescent="0.25">
      <c r="A461" t="s">
        <v>19</v>
      </c>
      <c r="B461">
        <v>141.35</v>
      </c>
      <c r="C461">
        <v>104.69999999999999</v>
      </c>
      <c r="D461">
        <v>4.5000999999999998</v>
      </c>
      <c r="E461">
        <v>141.35</v>
      </c>
      <c r="F461">
        <v>108.74999999999999</v>
      </c>
      <c r="G461">
        <v>4.5000999999999998</v>
      </c>
      <c r="H461">
        <v>1.2</v>
      </c>
      <c r="I461">
        <v>0.9</v>
      </c>
      <c r="J461">
        <v>1.8184978836478705</v>
      </c>
      <c r="K461">
        <v>1500</v>
      </c>
      <c r="L461">
        <v>0</v>
      </c>
      <c r="N461">
        <v>29</v>
      </c>
      <c r="O461" s="60" t="s">
        <v>1252</v>
      </c>
      <c r="P461" t="s">
        <v>761</v>
      </c>
      <c r="Q461" t="s">
        <v>1033</v>
      </c>
    </row>
    <row r="462" spans="1:17" x14ac:dyDescent="0.25">
      <c r="A462" t="s">
        <v>19</v>
      </c>
      <c r="B462">
        <v>141.35</v>
      </c>
      <c r="C462">
        <v>108.75</v>
      </c>
      <c r="D462">
        <v>4.5000999999999998</v>
      </c>
      <c r="E462">
        <v>16.349999999999994</v>
      </c>
      <c r="F462">
        <v>108.75</v>
      </c>
      <c r="G462">
        <v>4.5000999999999998</v>
      </c>
      <c r="H462">
        <v>1.2</v>
      </c>
      <c r="I462">
        <v>0.9</v>
      </c>
      <c r="J462">
        <v>56.126477890366417</v>
      </c>
      <c r="K462">
        <v>1500</v>
      </c>
      <c r="L462">
        <v>0</v>
      </c>
      <c r="N462">
        <v>29</v>
      </c>
      <c r="O462" s="60" t="s">
        <v>1253</v>
      </c>
      <c r="P462" t="s">
        <v>805</v>
      </c>
      <c r="Q462" t="s">
        <v>2395</v>
      </c>
    </row>
    <row r="463" spans="1:17" x14ac:dyDescent="0.25">
      <c r="A463" t="s">
        <v>19</v>
      </c>
      <c r="B463">
        <v>16.349999999999994</v>
      </c>
      <c r="C463">
        <v>108.75</v>
      </c>
      <c r="D463">
        <v>4.5000999999999998</v>
      </c>
      <c r="E463">
        <v>16.349999999999994</v>
      </c>
      <c r="F463">
        <v>110.1</v>
      </c>
      <c r="G463">
        <v>4.5000999999999998</v>
      </c>
      <c r="H463">
        <v>1.2</v>
      </c>
      <c r="I463">
        <v>0.9</v>
      </c>
      <c r="J463">
        <v>0.60616596121595478</v>
      </c>
      <c r="K463">
        <v>1500</v>
      </c>
      <c r="L463">
        <v>0</v>
      </c>
      <c r="N463">
        <v>29</v>
      </c>
      <c r="O463" s="60" t="s">
        <v>1254</v>
      </c>
      <c r="P463" t="s">
        <v>806</v>
      </c>
      <c r="Q463" t="s">
        <v>1034</v>
      </c>
    </row>
    <row r="464" spans="1:17" x14ac:dyDescent="0.25">
      <c r="A464" t="s">
        <v>19</v>
      </c>
      <c r="B464">
        <v>16.349999999999994</v>
      </c>
      <c r="C464">
        <v>110.1</v>
      </c>
      <c r="D464">
        <v>4.5000999999999998</v>
      </c>
      <c r="E464">
        <v>141.35</v>
      </c>
      <c r="F464">
        <v>110.1</v>
      </c>
      <c r="G464">
        <v>4.5000999999999998</v>
      </c>
      <c r="H464">
        <v>1.2</v>
      </c>
      <c r="I464">
        <v>0.9</v>
      </c>
      <c r="J464">
        <v>56.126477890366417</v>
      </c>
      <c r="K464">
        <v>1500</v>
      </c>
      <c r="L464">
        <v>0</v>
      </c>
      <c r="N464">
        <v>29</v>
      </c>
      <c r="O464" s="60" t="s">
        <v>1255</v>
      </c>
      <c r="P464" t="s">
        <v>826</v>
      </c>
      <c r="Q464" t="s">
        <v>2394</v>
      </c>
    </row>
    <row r="465" spans="1:17" x14ac:dyDescent="0.25">
      <c r="A465" t="s">
        <v>19</v>
      </c>
      <c r="B465">
        <v>141.35</v>
      </c>
      <c r="C465">
        <v>110.1</v>
      </c>
      <c r="D465">
        <v>4.5000999999999998</v>
      </c>
      <c r="E465">
        <v>141.35</v>
      </c>
      <c r="F465">
        <v>114.14999999999999</v>
      </c>
      <c r="G465">
        <v>4.5000999999999998</v>
      </c>
      <c r="H465">
        <v>1.2</v>
      </c>
      <c r="I465">
        <v>0.9</v>
      </c>
      <c r="J465">
        <v>1.8184978836478705</v>
      </c>
      <c r="K465">
        <v>1500</v>
      </c>
      <c r="L465">
        <v>0</v>
      </c>
      <c r="N465">
        <v>29</v>
      </c>
      <c r="O465" s="60" t="s">
        <v>1256</v>
      </c>
      <c r="P465" t="s">
        <v>761</v>
      </c>
      <c r="Q465" t="s">
        <v>1035</v>
      </c>
    </row>
    <row r="466" spans="1:17" x14ac:dyDescent="0.25">
      <c r="A466" t="s">
        <v>19</v>
      </c>
      <c r="B466">
        <v>141.35</v>
      </c>
      <c r="C466">
        <v>114.14999999999999</v>
      </c>
      <c r="D466">
        <v>4.5000999999999998</v>
      </c>
      <c r="E466">
        <v>16.349999999999994</v>
      </c>
      <c r="F466">
        <v>114.14999999999999</v>
      </c>
      <c r="G466">
        <v>4.5000999999999998</v>
      </c>
      <c r="H466">
        <v>1.2</v>
      </c>
      <c r="I466">
        <v>0.9</v>
      </c>
      <c r="J466">
        <v>56.126477890366417</v>
      </c>
      <c r="K466">
        <v>1500</v>
      </c>
      <c r="L466">
        <v>0</v>
      </c>
      <c r="N466">
        <v>29</v>
      </c>
      <c r="O466" s="60" t="s">
        <v>1257</v>
      </c>
      <c r="P466" t="s">
        <v>805</v>
      </c>
      <c r="Q466" t="s">
        <v>2395</v>
      </c>
    </row>
    <row r="467" spans="1:17" x14ac:dyDescent="0.25">
      <c r="A467" t="s">
        <v>19</v>
      </c>
      <c r="B467">
        <v>16.349999999999994</v>
      </c>
      <c r="C467">
        <v>114.14999999999999</v>
      </c>
      <c r="D467">
        <v>4.5000999999999998</v>
      </c>
      <c r="E467">
        <v>16.349999999999994</v>
      </c>
      <c r="F467">
        <v>115.49999999999999</v>
      </c>
      <c r="G467">
        <v>4.5000999999999998</v>
      </c>
      <c r="H467">
        <v>1.2</v>
      </c>
      <c r="I467">
        <v>0.9</v>
      </c>
      <c r="J467">
        <v>0.60616596121595478</v>
      </c>
      <c r="K467">
        <v>1500</v>
      </c>
      <c r="L467">
        <v>0</v>
      </c>
      <c r="N467">
        <v>29</v>
      </c>
      <c r="O467" s="60" t="s">
        <v>1258</v>
      </c>
      <c r="P467" t="s">
        <v>806</v>
      </c>
      <c r="Q467" t="s">
        <v>1036</v>
      </c>
    </row>
    <row r="468" spans="1:17" x14ac:dyDescent="0.25">
      <c r="A468" t="s">
        <v>19</v>
      </c>
      <c r="B468">
        <v>16.349999999999994</v>
      </c>
      <c r="C468">
        <v>115.49999999999999</v>
      </c>
      <c r="D468">
        <v>4.5000999999999998</v>
      </c>
      <c r="E468">
        <v>141.35</v>
      </c>
      <c r="F468">
        <v>115.49999999999999</v>
      </c>
      <c r="G468">
        <v>4.5000999999999998</v>
      </c>
      <c r="H468">
        <v>1.2</v>
      </c>
      <c r="I468">
        <v>0.9</v>
      </c>
      <c r="J468">
        <v>56.126477890366417</v>
      </c>
      <c r="K468">
        <v>1500</v>
      </c>
      <c r="L468">
        <v>0</v>
      </c>
      <c r="N468">
        <v>29</v>
      </c>
      <c r="O468" s="60" t="s">
        <v>1259</v>
      </c>
      <c r="P468" t="s">
        <v>826</v>
      </c>
      <c r="Q468" t="s">
        <v>2394</v>
      </c>
    </row>
    <row r="469" spans="1:17" x14ac:dyDescent="0.25">
      <c r="A469" t="s">
        <v>19</v>
      </c>
      <c r="B469">
        <v>141.35</v>
      </c>
      <c r="C469">
        <v>115.49999999999999</v>
      </c>
      <c r="D469">
        <v>4.5000999999999998</v>
      </c>
      <c r="E469">
        <v>141.35</v>
      </c>
      <c r="F469">
        <v>119.54999999999998</v>
      </c>
      <c r="G469">
        <v>4.5000999999999998</v>
      </c>
      <c r="H469">
        <v>1.2</v>
      </c>
      <c r="I469">
        <v>0.9</v>
      </c>
      <c r="J469">
        <v>1.8184978836478705</v>
      </c>
      <c r="K469">
        <v>1500</v>
      </c>
      <c r="L469">
        <v>0</v>
      </c>
      <c r="N469">
        <v>29</v>
      </c>
      <c r="O469" s="60" t="s">
        <v>1260</v>
      </c>
      <c r="P469" t="s">
        <v>761</v>
      </c>
      <c r="Q469" t="s">
        <v>1037</v>
      </c>
    </row>
    <row r="470" spans="1:17" x14ac:dyDescent="0.25">
      <c r="A470" t="s">
        <v>19</v>
      </c>
      <c r="B470">
        <v>141.35</v>
      </c>
      <c r="C470">
        <v>119.55</v>
      </c>
      <c r="D470">
        <v>4.5000999999999998</v>
      </c>
      <c r="E470">
        <v>16.349999999999994</v>
      </c>
      <c r="F470">
        <v>119.55</v>
      </c>
      <c r="G470">
        <v>4.5000999999999998</v>
      </c>
      <c r="H470">
        <v>1.2</v>
      </c>
      <c r="I470">
        <v>0.9</v>
      </c>
      <c r="J470">
        <v>56.126477890366417</v>
      </c>
      <c r="K470">
        <v>1500</v>
      </c>
      <c r="L470">
        <v>0</v>
      </c>
      <c r="N470">
        <v>29</v>
      </c>
      <c r="O470" s="60" t="s">
        <v>2063</v>
      </c>
      <c r="P470" t="s">
        <v>805</v>
      </c>
      <c r="Q470" t="s">
        <v>2395</v>
      </c>
    </row>
    <row r="471" spans="1:17" x14ac:dyDescent="0.25">
      <c r="A471" t="s">
        <v>19</v>
      </c>
      <c r="B471">
        <v>16.349999999999994</v>
      </c>
      <c r="C471">
        <v>119.55</v>
      </c>
      <c r="D471">
        <v>4.5000999999999998</v>
      </c>
      <c r="E471">
        <v>16.349999999999994</v>
      </c>
      <c r="F471">
        <v>120.89999999999999</v>
      </c>
      <c r="G471">
        <v>4.5000999999999998</v>
      </c>
      <c r="H471">
        <v>1.2</v>
      </c>
      <c r="I471">
        <v>0.9</v>
      </c>
      <c r="J471">
        <v>0.60616596121595478</v>
      </c>
      <c r="K471">
        <v>1500</v>
      </c>
      <c r="L471">
        <v>0</v>
      </c>
      <c r="N471">
        <v>29</v>
      </c>
      <c r="O471" s="60" t="s">
        <v>2064</v>
      </c>
      <c r="P471" t="s">
        <v>806</v>
      </c>
      <c r="Q471" t="s">
        <v>1935</v>
      </c>
    </row>
    <row r="472" spans="1:17" x14ac:dyDescent="0.25">
      <c r="A472" t="s">
        <v>19</v>
      </c>
      <c r="B472">
        <v>16.349999999999994</v>
      </c>
      <c r="C472">
        <v>120.89999999999999</v>
      </c>
      <c r="D472">
        <v>4.5000999999999998</v>
      </c>
      <c r="E472">
        <v>141.35</v>
      </c>
      <c r="F472">
        <v>120.89999999999999</v>
      </c>
      <c r="G472">
        <v>4.5000999999999998</v>
      </c>
      <c r="H472">
        <v>1.2</v>
      </c>
      <c r="I472">
        <v>0.9</v>
      </c>
      <c r="J472">
        <v>56.126477890366417</v>
      </c>
      <c r="K472">
        <v>1500</v>
      </c>
      <c r="L472">
        <v>0</v>
      </c>
      <c r="N472">
        <v>29</v>
      </c>
      <c r="O472" s="60" t="s">
        <v>2065</v>
      </c>
      <c r="P472" t="s">
        <v>826</v>
      </c>
      <c r="Q472" t="s">
        <v>2394</v>
      </c>
    </row>
    <row r="473" spans="1:17" x14ac:dyDescent="0.25">
      <c r="A473" t="s">
        <v>19</v>
      </c>
      <c r="B473">
        <v>141.35</v>
      </c>
      <c r="C473">
        <v>120.89999999999999</v>
      </c>
      <c r="D473">
        <v>4.5000999999999998</v>
      </c>
      <c r="E473">
        <v>141.35</v>
      </c>
      <c r="F473">
        <v>124.94999999999999</v>
      </c>
      <c r="G473">
        <v>4.5000999999999998</v>
      </c>
      <c r="H473">
        <v>1.2</v>
      </c>
      <c r="I473">
        <v>0.9</v>
      </c>
      <c r="J473">
        <v>1.8184978836478705</v>
      </c>
      <c r="K473">
        <v>1500</v>
      </c>
      <c r="L473">
        <v>0</v>
      </c>
      <c r="N473">
        <v>29</v>
      </c>
      <c r="O473" s="60" t="s">
        <v>2066</v>
      </c>
      <c r="P473" t="s">
        <v>761</v>
      </c>
      <c r="Q473" t="s">
        <v>1938</v>
      </c>
    </row>
    <row r="474" spans="1:17" x14ac:dyDescent="0.25">
      <c r="A474" t="s">
        <v>19</v>
      </c>
      <c r="B474">
        <v>141.35</v>
      </c>
      <c r="C474">
        <v>124.95</v>
      </c>
      <c r="D474">
        <v>4.5000999999999998</v>
      </c>
      <c r="E474">
        <v>16.349999999999994</v>
      </c>
      <c r="F474">
        <v>124.95</v>
      </c>
      <c r="G474">
        <v>4.5000999999999998</v>
      </c>
      <c r="H474">
        <v>1.2</v>
      </c>
      <c r="I474">
        <v>0.9</v>
      </c>
      <c r="J474">
        <v>56.126477890366417</v>
      </c>
      <c r="K474">
        <v>1500</v>
      </c>
      <c r="L474">
        <v>0</v>
      </c>
      <c r="N474">
        <v>29</v>
      </c>
      <c r="O474" s="60" t="s">
        <v>2067</v>
      </c>
      <c r="P474" t="s">
        <v>805</v>
      </c>
      <c r="Q474" t="s">
        <v>2395</v>
      </c>
    </row>
    <row r="475" spans="1:17" x14ac:dyDescent="0.25">
      <c r="A475" t="s">
        <v>19</v>
      </c>
      <c r="B475">
        <v>16.349999999999994</v>
      </c>
      <c r="C475">
        <v>124.95</v>
      </c>
      <c r="D475">
        <v>4.5000999999999998</v>
      </c>
      <c r="E475">
        <v>16.349999999999994</v>
      </c>
      <c r="F475">
        <v>126.3</v>
      </c>
      <c r="G475">
        <v>4.5000999999999998</v>
      </c>
      <c r="H475">
        <v>1.2</v>
      </c>
      <c r="I475">
        <v>0.9</v>
      </c>
      <c r="J475">
        <v>0.60616596121595478</v>
      </c>
      <c r="K475">
        <v>1500</v>
      </c>
      <c r="L475">
        <v>0</v>
      </c>
      <c r="N475">
        <v>29</v>
      </c>
      <c r="O475" s="60" t="s">
        <v>2068</v>
      </c>
      <c r="P475" t="s">
        <v>806</v>
      </c>
      <c r="Q475" t="s">
        <v>1941</v>
      </c>
    </row>
    <row r="476" spans="1:17" x14ac:dyDescent="0.25">
      <c r="A476" t="s">
        <v>19</v>
      </c>
      <c r="B476">
        <v>16.349999999999994</v>
      </c>
      <c r="C476">
        <v>126.3</v>
      </c>
      <c r="D476">
        <v>4.5000999999999998</v>
      </c>
      <c r="E476">
        <v>141.35</v>
      </c>
      <c r="F476">
        <v>126.3</v>
      </c>
      <c r="G476">
        <v>4.5000999999999998</v>
      </c>
      <c r="H476">
        <v>1.2</v>
      </c>
      <c r="I476">
        <v>0.9</v>
      </c>
      <c r="J476">
        <v>56.126477890366417</v>
      </c>
      <c r="K476">
        <v>1500</v>
      </c>
      <c r="L476">
        <v>0</v>
      </c>
      <c r="N476">
        <v>29</v>
      </c>
      <c r="O476" s="60" t="s">
        <v>2069</v>
      </c>
      <c r="P476" t="s">
        <v>826</v>
      </c>
      <c r="Q476" t="s">
        <v>2394</v>
      </c>
    </row>
    <row r="477" spans="1:17" x14ac:dyDescent="0.25">
      <c r="A477" t="s">
        <v>19</v>
      </c>
      <c r="B477">
        <v>141.35</v>
      </c>
      <c r="C477">
        <v>126.3</v>
      </c>
      <c r="D477">
        <v>4.5000999999999998</v>
      </c>
      <c r="E477">
        <v>141.35</v>
      </c>
      <c r="F477">
        <v>130.35</v>
      </c>
      <c r="G477">
        <v>4.5000999999999998</v>
      </c>
      <c r="H477">
        <v>1.2</v>
      </c>
      <c r="I477">
        <v>0.9</v>
      </c>
      <c r="J477">
        <v>1.8184978836478705</v>
      </c>
      <c r="K477">
        <v>1500</v>
      </c>
      <c r="L477">
        <v>0</v>
      </c>
      <c r="N477">
        <v>29</v>
      </c>
      <c r="O477" s="60" t="s">
        <v>2070</v>
      </c>
      <c r="P477" t="s">
        <v>761</v>
      </c>
      <c r="Q477" t="s">
        <v>1944</v>
      </c>
    </row>
    <row r="478" spans="1:17" x14ac:dyDescent="0.25">
      <c r="A478" t="s">
        <v>49</v>
      </c>
      <c r="B478" t="s">
        <v>811</v>
      </c>
      <c r="N478">
        <v>29</v>
      </c>
      <c r="O478" s="60" t="s">
        <v>907</v>
      </c>
      <c r="P478" t="s">
        <v>759</v>
      </c>
      <c r="Q478" t="s">
        <v>811</v>
      </c>
    </row>
    <row r="479" spans="1:17" x14ac:dyDescent="0.25">
      <c r="A479" t="s">
        <v>49</v>
      </c>
      <c r="B479" t="s">
        <v>203</v>
      </c>
      <c r="C479">
        <v>0</v>
      </c>
      <c r="N479">
        <v>29</v>
      </c>
      <c r="O479" s="60" t="s">
        <v>908</v>
      </c>
      <c r="P479" t="s">
        <v>764</v>
      </c>
      <c r="Q479" t="s">
        <v>467</v>
      </c>
    </row>
    <row r="480" spans="1:17" x14ac:dyDescent="0.25">
      <c r="A480" t="s">
        <v>49</v>
      </c>
      <c r="B480" t="s">
        <v>634</v>
      </c>
      <c r="N480">
        <v>29</v>
      </c>
      <c r="O480" s="60" t="s">
        <v>909</v>
      </c>
      <c r="P480" t="s">
        <v>813</v>
      </c>
      <c r="Q480" t="s">
        <v>634</v>
      </c>
    </row>
    <row r="481" spans="1:17" x14ac:dyDescent="0.25">
      <c r="A481" t="s">
        <v>23</v>
      </c>
      <c r="B481">
        <v>141.35</v>
      </c>
      <c r="C481">
        <v>130.35</v>
      </c>
      <c r="D481">
        <v>4.5000999999999998</v>
      </c>
      <c r="E481">
        <v>15</v>
      </c>
      <c r="F481">
        <v>75</v>
      </c>
      <c r="G481">
        <v>4.5</v>
      </c>
      <c r="H481">
        <v>0</v>
      </c>
      <c r="I481">
        <v>0</v>
      </c>
      <c r="K481">
        <v>48000</v>
      </c>
      <c r="N481">
        <v>0</v>
      </c>
      <c r="O481" s="60">
        <v>0</v>
      </c>
      <c r="P481" t="s">
        <v>661</v>
      </c>
      <c r="Q481" t="s">
        <v>2071</v>
      </c>
    </row>
    <row r="482" spans="1:17" x14ac:dyDescent="0.25">
      <c r="A482" t="s">
        <v>19</v>
      </c>
      <c r="B482">
        <v>15</v>
      </c>
      <c r="C482">
        <v>75</v>
      </c>
      <c r="D482">
        <v>4.5</v>
      </c>
      <c r="E482">
        <v>15</v>
      </c>
      <c r="F482">
        <v>79.05</v>
      </c>
      <c r="G482">
        <v>4.5</v>
      </c>
      <c r="H482">
        <v>1.2</v>
      </c>
      <c r="I482">
        <v>0.9</v>
      </c>
      <c r="J482">
        <v>1.8184978836478705</v>
      </c>
      <c r="K482">
        <v>1500</v>
      </c>
      <c r="L482">
        <v>0</v>
      </c>
      <c r="N482">
        <v>29</v>
      </c>
      <c r="O482" s="60" t="s">
        <v>2072</v>
      </c>
      <c r="P482" t="s">
        <v>2018</v>
      </c>
      <c r="Q482" t="s">
        <v>879</v>
      </c>
    </row>
    <row r="483" spans="1:17" x14ac:dyDescent="0.25">
      <c r="A483" t="s">
        <v>19</v>
      </c>
      <c r="B483">
        <v>15</v>
      </c>
      <c r="C483">
        <v>79.05</v>
      </c>
      <c r="D483">
        <v>4.5</v>
      </c>
      <c r="E483">
        <v>140</v>
      </c>
      <c r="F483">
        <v>79.05</v>
      </c>
      <c r="G483">
        <v>4.5</v>
      </c>
      <c r="H483">
        <v>1.2</v>
      </c>
      <c r="I483">
        <v>0.9</v>
      </c>
      <c r="J483">
        <v>56.126477890366417</v>
      </c>
      <c r="K483">
        <v>1500</v>
      </c>
      <c r="L483">
        <v>0</v>
      </c>
      <c r="N483">
        <v>29</v>
      </c>
      <c r="O483" s="60" t="s">
        <v>2073</v>
      </c>
      <c r="P483" t="s">
        <v>2020</v>
      </c>
      <c r="Q483" t="s">
        <v>2396</v>
      </c>
    </row>
    <row r="484" spans="1:17" x14ac:dyDescent="0.25">
      <c r="A484" t="s">
        <v>19</v>
      </c>
      <c r="B484">
        <v>140</v>
      </c>
      <c r="C484">
        <v>79.05</v>
      </c>
      <c r="D484">
        <v>4.5</v>
      </c>
      <c r="E484">
        <v>140</v>
      </c>
      <c r="F484">
        <v>80.399999999999991</v>
      </c>
      <c r="G484">
        <v>4.5</v>
      </c>
      <c r="H484">
        <v>1.2</v>
      </c>
      <c r="I484">
        <v>0.9</v>
      </c>
      <c r="J484">
        <v>0.60616596121595478</v>
      </c>
      <c r="K484">
        <v>1500</v>
      </c>
      <c r="L484">
        <v>0</v>
      </c>
      <c r="N484">
        <v>29</v>
      </c>
      <c r="O484" s="60" t="s">
        <v>2074</v>
      </c>
      <c r="P484" t="s">
        <v>2022</v>
      </c>
      <c r="Q484" t="s">
        <v>880</v>
      </c>
    </row>
    <row r="485" spans="1:17" x14ac:dyDescent="0.25">
      <c r="A485" t="s">
        <v>19</v>
      </c>
      <c r="B485">
        <v>140</v>
      </c>
      <c r="C485">
        <v>80.399999999999991</v>
      </c>
      <c r="D485">
        <v>4.5</v>
      </c>
      <c r="E485">
        <v>15</v>
      </c>
      <c r="F485">
        <v>80.399999999999991</v>
      </c>
      <c r="G485">
        <v>4.5</v>
      </c>
      <c r="H485">
        <v>1.2</v>
      </c>
      <c r="I485">
        <v>0.9</v>
      </c>
      <c r="J485">
        <v>56.126477890366417</v>
      </c>
      <c r="K485">
        <v>1500</v>
      </c>
      <c r="L485">
        <v>0</v>
      </c>
      <c r="N485">
        <v>29</v>
      </c>
      <c r="O485" s="60" t="s">
        <v>2075</v>
      </c>
      <c r="P485" t="s">
        <v>2024</v>
      </c>
      <c r="Q485" t="s">
        <v>2397</v>
      </c>
    </row>
    <row r="486" spans="1:17" x14ac:dyDescent="0.25">
      <c r="A486" t="s">
        <v>19</v>
      </c>
      <c r="B486">
        <v>15</v>
      </c>
      <c r="C486">
        <v>80.400000000000006</v>
      </c>
      <c r="D486">
        <v>4.5</v>
      </c>
      <c r="E486">
        <v>15</v>
      </c>
      <c r="F486">
        <v>84.45</v>
      </c>
      <c r="G486">
        <v>4.5</v>
      </c>
      <c r="H486">
        <v>1.2</v>
      </c>
      <c r="I486">
        <v>0.9</v>
      </c>
      <c r="J486">
        <v>1.8184978836478705</v>
      </c>
      <c r="K486">
        <v>1500</v>
      </c>
      <c r="L486">
        <v>0</v>
      </c>
      <c r="N486">
        <v>29</v>
      </c>
      <c r="O486" s="60" t="s">
        <v>1261</v>
      </c>
      <c r="P486" t="s">
        <v>827</v>
      </c>
      <c r="Q486" t="s">
        <v>1065</v>
      </c>
    </row>
    <row r="487" spans="1:17" x14ac:dyDescent="0.25">
      <c r="A487" t="s">
        <v>19</v>
      </c>
      <c r="B487">
        <v>15</v>
      </c>
      <c r="C487">
        <v>84.45</v>
      </c>
      <c r="D487">
        <v>4.5</v>
      </c>
      <c r="E487">
        <v>140</v>
      </c>
      <c r="F487">
        <v>84.45</v>
      </c>
      <c r="G487">
        <v>4.5</v>
      </c>
      <c r="H487">
        <v>1.2</v>
      </c>
      <c r="I487">
        <v>0.9</v>
      </c>
      <c r="J487">
        <v>56.126477890366417</v>
      </c>
      <c r="K487">
        <v>1500</v>
      </c>
      <c r="L487">
        <v>0</v>
      </c>
      <c r="N487">
        <v>29</v>
      </c>
      <c r="O487" s="60" t="s">
        <v>1262</v>
      </c>
      <c r="P487" t="s">
        <v>828</v>
      </c>
      <c r="Q487" t="s">
        <v>2396</v>
      </c>
    </row>
    <row r="488" spans="1:17" x14ac:dyDescent="0.25">
      <c r="A488" t="s">
        <v>19</v>
      </c>
      <c r="B488">
        <v>140</v>
      </c>
      <c r="C488">
        <v>84.45</v>
      </c>
      <c r="D488">
        <v>4.5</v>
      </c>
      <c r="E488">
        <v>140</v>
      </c>
      <c r="F488">
        <v>85.8</v>
      </c>
      <c r="G488">
        <v>4.5</v>
      </c>
      <c r="H488">
        <v>1.2</v>
      </c>
      <c r="I488">
        <v>0.9</v>
      </c>
      <c r="J488">
        <v>0.60616596121595478</v>
      </c>
      <c r="K488">
        <v>1500</v>
      </c>
      <c r="L488">
        <v>0</v>
      </c>
      <c r="N488">
        <v>29</v>
      </c>
      <c r="O488" s="60" t="s">
        <v>1263</v>
      </c>
      <c r="P488" t="s">
        <v>829</v>
      </c>
      <c r="Q488" t="s">
        <v>1066</v>
      </c>
    </row>
    <row r="489" spans="1:17" x14ac:dyDescent="0.25">
      <c r="A489" t="s">
        <v>19</v>
      </c>
      <c r="B489">
        <v>140</v>
      </c>
      <c r="C489">
        <v>85.8</v>
      </c>
      <c r="D489">
        <v>4.5</v>
      </c>
      <c r="E489">
        <v>15</v>
      </c>
      <c r="F489">
        <v>85.8</v>
      </c>
      <c r="G489">
        <v>4.5</v>
      </c>
      <c r="H489">
        <v>1.2</v>
      </c>
      <c r="I489">
        <v>0.9</v>
      </c>
      <c r="J489">
        <v>56.126477890366417</v>
      </c>
      <c r="K489">
        <v>1500</v>
      </c>
      <c r="L489">
        <v>0</v>
      </c>
      <c r="N489">
        <v>29</v>
      </c>
      <c r="O489" s="60" t="s">
        <v>1264</v>
      </c>
      <c r="P489" t="s">
        <v>814</v>
      </c>
      <c r="Q489" t="s">
        <v>2397</v>
      </c>
    </row>
    <row r="490" spans="1:17" x14ac:dyDescent="0.25">
      <c r="A490" t="s">
        <v>19</v>
      </c>
      <c r="B490">
        <v>15</v>
      </c>
      <c r="C490">
        <v>85.8</v>
      </c>
      <c r="D490">
        <v>4.5</v>
      </c>
      <c r="E490">
        <v>15</v>
      </c>
      <c r="F490">
        <v>89.85</v>
      </c>
      <c r="G490">
        <v>4.5</v>
      </c>
      <c r="H490">
        <v>1.2</v>
      </c>
      <c r="I490">
        <v>0.9</v>
      </c>
      <c r="J490">
        <v>1.8184978836478705</v>
      </c>
      <c r="K490">
        <v>1500</v>
      </c>
      <c r="L490">
        <v>0</v>
      </c>
      <c r="N490">
        <v>29</v>
      </c>
      <c r="O490" s="60" t="s">
        <v>1265</v>
      </c>
      <c r="P490" t="s">
        <v>827</v>
      </c>
      <c r="Q490" t="s">
        <v>1067</v>
      </c>
    </row>
    <row r="491" spans="1:17" x14ac:dyDescent="0.25">
      <c r="A491" t="s">
        <v>19</v>
      </c>
      <c r="B491">
        <v>15</v>
      </c>
      <c r="C491">
        <v>89.85</v>
      </c>
      <c r="D491">
        <v>4.5</v>
      </c>
      <c r="E491">
        <v>140</v>
      </c>
      <c r="F491">
        <v>89.85</v>
      </c>
      <c r="G491">
        <v>4.5</v>
      </c>
      <c r="H491">
        <v>1.2</v>
      </c>
      <c r="I491">
        <v>0.9</v>
      </c>
      <c r="J491">
        <v>56.126477890366417</v>
      </c>
      <c r="K491">
        <v>1500</v>
      </c>
      <c r="L491">
        <v>0</v>
      </c>
      <c r="N491">
        <v>29</v>
      </c>
      <c r="O491" s="60" t="s">
        <v>1266</v>
      </c>
      <c r="P491" t="s">
        <v>828</v>
      </c>
      <c r="Q491" t="s">
        <v>2396</v>
      </c>
    </row>
    <row r="492" spans="1:17" x14ac:dyDescent="0.25">
      <c r="A492" t="s">
        <v>19</v>
      </c>
      <c r="B492">
        <v>140</v>
      </c>
      <c r="C492">
        <v>89.85</v>
      </c>
      <c r="D492">
        <v>4.5</v>
      </c>
      <c r="E492">
        <v>140</v>
      </c>
      <c r="F492">
        <v>91.199999999999989</v>
      </c>
      <c r="G492">
        <v>4.5</v>
      </c>
      <c r="H492">
        <v>1.2</v>
      </c>
      <c r="I492">
        <v>0.9</v>
      </c>
      <c r="J492">
        <v>0.60616596121595478</v>
      </c>
      <c r="K492">
        <v>1500</v>
      </c>
      <c r="L492">
        <v>0</v>
      </c>
      <c r="N492">
        <v>29</v>
      </c>
      <c r="O492" s="60" t="s">
        <v>1267</v>
      </c>
      <c r="P492" t="s">
        <v>829</v>
      </c>
      <c r="Q492" t="s">
        <v>1068</v>
      </c>
    </row>
    <row r="493" spans="1:17" x14ac:dyDescent="0.25">
      <c r="A493" t="s">
        <v>19</v>
      </c>
      <c r="B493">
        <v>140</v>
      </c>
      <c r="C493">
        <v>91.199999999999989</v>
      </c>
      <c r="D493">
        <v>4.5</v>
      </c>
      <c r="E493">
        <v>15</v>
      </c>
      <c r="F493">
        <v>91.199999999999989</v>
      </c>
      <c r="G493">
        <v>4.5</v>
      </c>
      <c r="H493">
        <v>1.2</v>
      </c>
      <c r="I493">
        <v>0.9</v>
      </c>
      <c r="J493">
        <v>56.126477890366417</v>
      </c>
      <c r="K493">
        <v>1500</v>
      </c>
      <c r="L493">
        <v>0</v>
      </c>
      <c r="N493">
        <v>29</v>
      </c>
      <c r="O493" s="60" t="s">
        <v>1268</v>
      </c>
      <c r="P493" t="s">
        <v>814</v>
      </c>
      <c r="Q493" t="s">
        <v>2397</v>
      </c>
    </row>
    <row r="494" spans="1:17" x14ac:dyDescent="0.25">
      <c r="A494" t="s">
        <v>19</v>
      </c>
      <c r="B494">
        <v>15</v>
      </c>
      <c r="C494">
        <v>91.2</v>
      </c>
      <c r="D494">
        <v>4.5</v>
      </c>
      <c r="E494">
        <v>15</v>
      </c>
      <c r="F494">
        <v>95.25</v>
      </c>
      <c r="G494">
        <v>4.5</v>
      </c>
      <c r="H494">
        <v>1.2</v>
      </c>
      <c r="I494">
        <v>0.9</v>
      </c>
      <c r="J494">
        <v>1.8184978836478705</v>
      </c>
      <c r="K494">
        <v>1500</v>
      </c>
      <c r="L494">
        <v>0</v>
      </c>
      <c r="N494">
        <v>29</v>
      </c>
      <c r="O494" s="60" t="s">
        <v>1269</v>
      </c>
      <c r="P494" t="s">
        <v>827</v>
      </c>
      <c r="Q494" t="s">
        <v>1069</v>
      </c>
    </row>
    <row r="495" spans="1:17" x14ac:dyDescent="0.25">
      <c r="A495" t="s">
        <v>19</v>
      </c>
      <c r="B495">
        <v>15</v>
      </c>
      <c r="C495">
        <v>95.25</v>
      </c>
      <c r="D495">
        <v>4.5</v>
      </c>
      <c r="E495">
        <v>140</v>
      </c>
      <c r="F495">
        <v>95.25</v>
      </c>
      <c r="G495">
        <v>4.5</v>
      </c>
      <c r="H495">
        <v>1.2</v>
      </c>
      <c r="I495">
        <v>0.9</v>
      </c>
      <c r="J495">
        <v>56.126477890366417</v>
      </c>
      <c r="K495">
        <v>1500</v>
      </c>
      <c r="L495">
        <v>0</v>
      </c>
      <c r="N495">
        <v>29</v>
      </c>
      <c r="O495" s="60" t="s">
        <v>1270</v>
      </c>
      <c r="P495" t="s">
        <v>828</v>
      </c>
      <c r="Q495" t="s">
        <v>2396</v>
      </c>
    </row>
    <row r="496" spans="1:17" x14ac:dyDescent="0.25">
      <c r="A496" t="s">
        <v>19</v>
      </c>
      <c r="B496">
        <v>140</v>
      </c>
      <c r="C496">
        <v>95.25</v>
      </c>
      <c r="D496">
        <v>4.5</v>
      </c>
      <c r="E496">
        <v>140</v>
      </c>
      <c r="F496">
        <v>96.6</v>
      </c>
      <c r="G496">
        <v>4.5</v>
      </c>
      <c r="H496">
        <v>1.2</v>
      </c>
      <c r="I496">
        <v>0.9</v>
      </c>
      <c r="J496">
        <v>0.60616596121595478</v>
      </c>
      <c r="K496">
        <v>1500</v>
      </c>
      <c r="L496">
        <v>0</v>
      </c>
      <c r="N496">
        <v>29</v>
      </c>
      <c r="O496" s="60" t="s">
        <v>1271</v>
      </c>
      <c r="P496" t="s">
        <v>829</v>
      </c>
      <c r="Q496" t="s">
        <v>1070</v>
      </c>
    </row>
    <row r="497" spans="1:17" x14ac:dyDescent="0.25">
      <c r="A497" t="s">
        <v>19</v>
      </c>
      <c r="B497">
        <v>140</v>
      </c>
      <c r="C497">
        <v>96.6</v>
      </c>
      <c r="D497">
        <v>4.5</v>
      </c>
      <c r="E497">
        <v>15</v>
      </c>
      <c r="F497">
        <v>96.6</v>
      </c>
      <c r="G497">
        <v>4.5</v>
      </c>
      <c r="H497">
        <v>1.2</v>
      </c>
      <c r="I497">
        <v>0.9</v>
      </c>
      <c r="J497">
        <v>56.126477890366417</v>
      </c>
      <c r="K497">
        <v>1500</v>
      </c>
      <c r="L497">
        <v>0</v>
      </c>
      <c r="N497">
        <v>29</v>
      </c>
      <c r="O497" s="60" t="s">
        <v>1272</v>
      </c>
      <c r="P497" t="s">
        <v>814</v>
      </c>
      <c r="Q497" t="s">
        <v>2397</v>
      </c>
    </row>
    <row r="498" spans="1:17" x14ac:dyDescent="0.25">
      <c r="A498" t="s">
        <v>19</v>
      </c>
      <c r="B498">
        <v>15</v>
      </c>
      <c r="C498">
        <v>96.6</v>
      </c>
      <c r="D498">
        <v>4.5</v>
      </c>
      <c r="E498">
        <v>15</v>
      </c>
      <c r="F498">
        <v>100.65</v>
      </c>
      <c r="G498">
        <v>4.5</v>
      </c>
      <c r="H498">
        <v>1.2</v>
      </c>
      <c r="I498">
        <v>0.9</v>
      </c>
      <c r="J498">
        <v>1.8184978836478705</v>
      </c>
      <c r="K498">
        <v>1500</v>
      </c>
      <c r="L498">
        <v>0</v>
      </c>
      <c r="N498">
        <v>29</v>
      </c>
      <c r="O498" s="60" t="s">
        <v>1273</v>
      </c>
      <c r="P498" t="s">
        <v>827</v>
      </c>
      <c r="Q498" t="s">
        <v>1071</v>
      </c>
    </row>
    <row r="499" spans="1:17" x14ac:dyDescent="0.25">
      <c r="A499" t="s">
        <v>19</v>
      </c>
      <c r="B499">
        <v>15</v>
      </c>
      <c r="C499">
        <v>100.65</v>
      </c>
      <c r="D499">
        <v>4.5</v>
      </c>
      <c r="E499">
        <v>140</v>
      </c>
      <c r="F499">
        <v>100.65</v>
      </c>
      <c r="G499">
        <v>4.5</v>
      </c>
      <c r="H499">
        <v>1.2</v>
      </c>
      <c r="I499">
        <v>0.9</v>
      </c>
      <c r="J499">
        <v>56.126477890366417</v>
      </c>
      <c r="K499">
        <v>1500</v>
      </c>
      <c r="L499">
        <v>0</v>
      </c>
      <c r="N499">
        <v>29</v>
      </c>
      <c r="O499" s="60" t="s">
        <v>1274</v>
      </c>
      <c r="P499" t="s">
        <v>828</v>
      </c>
      <c r="Q499" t="s">
        <v>2396</v>
      </c>
    </row>
    <row r="500" spans="1:17" x14ac:dyDescent="0.25">
      <c r="A500" t="s">
        <v>19</v>
      </c>
      <c r="B500">
        <v>140</v>
      </c>
      <c r="C500">
        <v>100.65</v>
      </c>
      <c r="D500">
        <v>4.5</v>
      </c>
      <c r="E500">
        <v>140</v>
      </c>
      <c r="F500">
        <v>102</v>
      </c>
      <c r="G500">
        <v>4.5</v>
      </c>
      <c r="H500">
        <v>1.2</v>
      </c>
      <c r="I500">
        <v>0.9</v>
      </c>
      <c r="J500">
        <v>0.60616596121595478</v>
      </c>
      <c r="K500">
        <v>1500</v>
      </c>
      <c r="L500">
        <v>0</v>
      </c>
      <c r="N500">
        <v>29</v>
      </c>
      <c r="O500" s="60" t="s">
        <v>1275</v>
      </c>
      <c r="P500" t="s">
        <v>829</v>
      </c>
      <c r="Q500" t="s">
        <v>1072</v>
      </c>
    </row>
    <row r="501" spans="1:17" x14ac:dyDescent="0.25">
      <c r="A501" t="s">
        <v>19</v>
      </c>
      <c r="B501">
        <v>140</v>
      </c>
      <c r="C501">
        <v>102</v>
      </c>
      <c r="D501">
        <v>4.5</v>
      </c>
      <c r="E501">
        <v>15</v>
      </c>
      <c r="F501">
        <v>102</v>
      </c>
      <c r="G501">
        <v>4.5</v>
      </c>
      <c r="H501">
        <v>1.2</v>
      </c>
      <c r="I501">
        <v>0.9</v>
      </c>
      <c r="J501">
        <v>56.126477890366417</v>
      </c>
      <c r="K501">
        <v>1500</v>
      </c>
      <c r="L501">
        <v>0</v>
      </c>
      <c r="N501">
        <v>29</v>
      </c>
      <c r="O501" s="60" t="s">
        <v>1276</v>
      </c>
      <c r="P501" t="s">
        <v>814</v>
      </c>
      <c r="Q501" t="s">
        <v>2397</v>
      </c>
    </row>
    <row r="502" spans="1:17" x14ac:dyDescent="0.25">
      <c r="A502" t="s">
        <v>19</v>
      </c>
      <c r="B502">
        <v>15</v>
      </c>
      <c r="C502">
        <v>102</v>
      </c>
      <c r="D502">
        <v>4.5</v>
      </c>
      <c r="E502">
        <v>15</v>
      </c>
      <c r="F502">
        <v>106.05</v>
      </c>
      <c r="G502">
        <v>4.5</v>
      </c>
      <c r="H502">
        <v>1.2</v>
      </c>
      <c r="I502">
        <v>0.9</v>
      </c>
      <c r="J502">
        <v>1.8184978836478705</v>
      </c>
      <c r="K502">
        <v>1500</v>
      </c>
      <c r="L502">
        <v>0</v>
      </c>
      <c r="N502">
        <v>29</v>
      </c>
      <c r="O502" s="60" t="s">
        <v>1277</v>
      </c>
      <c r="P502" t="s">
        <v>827</v>
      </c>
      <c r="Q502" t="s">
        <v>1073</v>
      </c>
    </row>
    <row r="503" spans="1:17" x14ac:dyDescent="0.25">
      <c r="A503" t="s">
        <v>19</v>
      </c>
      <c r="B503">
        <v>15</v>
      </c>
      <c r="C503">
        <v>106.05</v>
      </c>
      <c r="D503">
        <v>4.5</v>
      </c>
      <c r="E503">
        <v>140</v>
      </c>
      <c r="F503">
        <v>106.05</v>
      </c>
      <c r="G503">
        <v>4.5</v>
      </c>
      <c r="H503">
        <v>1.2</v>
      </c>
      <c r="I503">
        <v>0.9</v>
      </c>
      <c r="J503">
        <v>56.126477890366417</v>
      </c>
      <c r="K503">
        <v>1500</v>
      </c>
      <c r="L503">
        <v>0</v>
      </c>
      <c r="N503">
        <v>29</v>
      </c>
      <c r="O503" s="60" t="s">
        <v>1278</v>
      </c>
      <c r="P503" t="s">
        <v>828</v>
      </c>
      <c r="Q503" t="s">
        <v>2396</v>
      </c>
    </row>
    <row r="504" spans="1:17" x14ac:dyDescent="0.25">
      <c r="A504" t="s">
        <v>19</v>
      </c>
      <c r="B504">
        <v>140</v>
      </c>
      <c r="C504">
        <v>106.05</v>
      </c>
      <c r="D504">
        <v>4.5</v>
      </c>
      <c r="E504">
        <v>140</v>
      </c>
      <c r="F504">
        <v>107.39999999999999</v>
      </c>
      <c r="G504">
        <v>4.5</v>
      </c>
      <c r="H504">
        <v>1.2</v>
      </c>
      <c r="I504">
        <v>0.9</v>
      </c>
      <c r="J504">
        <v>0.60616596121595478</v>
      </c>
      <c r="K504">
        <v>1500</v>
      </c>
      <c r="L504">
        <v>0</v>
      </c>
      <c r="N504">
        <v>29</v>
      </c>
      <c r="O504" s="60" t="s">
        <v>1279</v>
      </c>
      <c r="P504" t="s">
        <v>829</v>
      </c>
      <c r="Q504" t="s">
        <v>1074</v>
      </c>
    </row>
    <row r="505" spans="1:17" x14ac:dyDescent="0.25">
      <c r="A505" t="s">
        <v>19</v>
      </c>
      <c r="B505">
        <v>140</v>
      </c>
      <c r="C505">
        <v>107.39999999999999</v>
      </c>
      <c r="D505">
        <v>4.5</v>
      </c>
      <c r="E505">
        <v>15</v>
      </c>
      <c r="F505">
        <v>107.39999999999999</v>
      </c>
      <c r="G505">
        <v>4.5</v>
      </c>
      <c r="H505">
        <v>1.2</v>
      </c>
      <c r="I505">
        <v>0.9</v>
      </c>
      <c r="J505">
        <v>56.126477890366417</v>
      </c>
      <c r="K505">
        <v>1500</v>
      </c>
      <c r="L505">
        <v>0</v>
      </c>
      <c r="N505">
        <v>29</v>
      </c>
      <c r="O505" s="60" t="s">
        <v>1280</v>
      </c>
      <c r="P505" t="s">
        <v>814</v>
      </c>
      <c r="Q505" t="s">
        <v>2397</v>
      </c>
    </row>
    <row r="506" spans="1:17" x14ac:dyDescent="0.25">
      <c r="A506" t="s">
        <v>19</v>
      </c>
      <c r="B506">
        <v>15</v>
      </c>
      <c r="C506">
        <v>107.4</v>
      </c>
      <c r="D506">
        <v>4.5</v>
      </c>
      <c r="E506">
        <v>15</v>
      </c>
      <c r="F506">
        <v>111.45</v>
      </c>
      <c r="G506">
        <v>4.5</v>
      </c>
      <c r="H506">
        <v>1.2</v>
      </c>
      <c r="I506">
        <v>0.9</v>
      </c>
      <c r="J506">
        <v>1.8184978836478705</v>
      </c>
      <c r="K506">
        <v>1500</v>
      </c>
      <c r="L506">
        <v>0</v>
      </c>
      <c r="N506">
        <v>29</v>
      </c>
      <c r="O506" s="60" t="s">
        <v>1281</v>
      </c>
      <c r="P506" t="s">
        <v>827</v>
      </c>
      <c r="Q506" t="s">
        <v>1075</v>
      </c>
    </row>
    <row r="507" spans="1:17" x14ac:dyDescent="0.25">
      <c r="A507" t="s">
        <v>19</v>
      </c>
      <c r="B507">
        <v>15</v>
      </c>
      <c r="C507">
        <v>111.45</v>
      </c>
      <c r="D507">
        <v>4.5</v>
      </c>
      <c r="E507">
        <v>140</v>
      </c>
      <c r="F507">
        <v>111.45</v>
      </c>
      <c r="G507">
        <v>4.5</v>
      </c>
      <c r="H507">
        <v>1.2</v>
      </c>
      <c r="I507">
        <v>0.9</v>
      </c>
      <c r="J507">
        <v>56.126477890366417</v>
      </c>
      <c r="K507">
        <v>1500</v>
      </c>
      <c r="L507">
        <v>0</v>
      </c>
      <c r="N507">
        <v>29</v>
      </c>
      <c r="O507" s="60" t="s">
        <v>1282</v>
      </c>
      <c r="P507" t="s">
        <v>828</v>
      </c>
      <c r="Q507" t="s">
        <v>2396</v>
      </c>
    </row>
    <row r="508" spans="1:17" x14ac:dyDescent="0.25">
      <c r="A508" t="s">
        <v>19</v>
      </c>
      <c r="B508">
        <v>140</v>
      </c>
      <c r="C508">
        <v>111.45</v>
      </c>
      <c r="D508">
        <v>4.5</v>
      </c>
      <c r="E508">
        <v>140</v>
      </c>
      <c r="F508">
        <v>112.8</v>
      </c>
      <c r="G508">
        <v>4.5</v>
      </c>
      <c r="H508">
        <v>1.2</v>
      </c>
      <c r="I508">
        <v>0.9</v>
      </c>
      <c r="J508">
        <v>0.60616596121595478</v>
      </c>
      <c r="K508">
        <v>1500</v>
      </c>
      <c r="L508">
        <v>0</v>
      </c>
      <c r="N508">
        <v>29</v>
      </c>
      <c r="O508" s="60" t="s">
        <v>1283</v>
      </c>
      <c r="P508" t="s">
        <v>829</v>
      </c>
      <c r="Q508" t="s">
        <v>1076</v>
      </c>
    </row>
    <row r="509" spans="1:17" x14ac:dyDescent="0.25">
      <c r="A509" t="s">
        <v>19</v>
      </c>
      <c r="B509">
        <v>140</v>
      </c>
      <c r="C509">
        <v>112.8</v>
      </c>
      <c r="D509">
        <v>4.5</v>
      </c>
      <c r="E509">
        <v>15</v>
      </c>
      <c r="F509">
        <v>112.8</v>
      </c>
      <c r="G509">
        <v>4.5</v>
      </c>
      <c r="H509">
        <v>1.2</v>
      </c>
      <c r="I509">
        <v>0.9</v>
      </c>
      <c r="J509">
        <v>56.126477890366417</v>
      </c>
      <c r="K509">
        <v>1500</v>
      </c>
      <c r="L509">
        <v>0</v>
      </c>
      <c r="N509">
        <v>29</v>
      </c>
      <c r="O509" s="60" t="s">
        <v>1284</v>
      </c>
      <c r="P509" t="s">
        <v>814</v>
      </c>
      <c r="Q509" t="s">
        <v>2397</v>
      </c>
    </row>
    <row r="510" spans="1:17" x14ac:dyDescent="0.25">
      <c r="A510" t="s">
        <v>19</v>
      </c>
      <c r="B510">
        <v>15</v>
      </c>
      <c r="C510">
        <v>112.8</v>
      </c>
      <c r="D510">
        <v>4.5</v>
      </c>
      <c r="E510">
        <v>15</v>
      </c>
      <c r="F510">
        <v>116.85</v>
      </c>
      <c r="G510">
        <v>4.5</v>
      </c>
      <c r="H510">
        <v>1.2</v>
      </c>
      <c r="I510">
        <v>0.9</v>
      </c>
      <c r="J510">
        <v>1.8184978836478705</v>
      </c>
      <c r="K510">
        <v>1500</v>
      </c>
      <c r="L510">
        <v>0</v>
      </c>
      <c r="N510">
        <v>29</v>
      </c>
      <c r="O510" s="60" t="s">
        <v>1285</v>
      </c>
      <c r="P510" t="s">
        <v>827</v>
      </c>
      <c r="Q510" t="s">
        <v>1077</v>
      </c>
    </row>
    <row r="511" spans="1:17" x14ac:dyDescent="0.25">
      <c r="A511" t="s">
        <v>19</v>
      </c>
      <c r="B511">
        <v>15</v>
      </c>
      <c r="C511">
        <v>116.85</v>
      </c>
      <c r="D511">
        <v>4.5</v>
      </c>
      <c r="E511">
        <v>140</v>
      </c>
      <c r="F511">
        <v>116.85</v>
      </c>
      <c r="G511">
        <v>4.5</v>
      </c>
      <c r="H511">
        <v>1.2</v>
      </c>
      <c r="I511">
        <v>0.9</v>
      </c>
      <c r="J511">
        <v>56.126477890366417</v>
      </c>
      <c r="K511">
        <v>1500</v>
      </c>
      <c r="L511">
        <v>0</v>
      </c>
      <c r="N511">
        <v>29</v>
      </c>
      <c r="O511" s="60" t="s">
        <v>1286</v>
      </c>
      <c r="P511" t="s">
        <v>828</v>
      </c>
      <c r="Q511" t="s">
        <v>2396</v>
      </c>
    </row>
    <row r="512" spans="1:17" x14ac:dyDescent="0.25">
      <c r="A512" t="s">
        <v>19</v>
      </c>
      <c r="B512">
        <v>140</v>
      </c>
      <c r="C512">
        <v>116.85</v>
      </c>
      <c r="D512">
        <v>4.5</v>
      </c>
      <c r="E512">
        <v>140</v>
      </c>
      <c r="F512">
        <v>118.19999999999999</v>
      </c>
      <c r="G512">
        <v>4.5</v>
      </c>
      <c r="H512">
        <v>1.2</v>
      </c>
      <c r="I512">
        <v>0.9</v>
      </c>
      <c r="J512">
        <v>0.60616596121595478</v>
      </c>
      <c r="K512">
        <v>1500</v>
      </c>
      <c r="L512">
        <v>0</v>
      </c>
      <c r="N512">
        <v>29</v>
      </c>
      <c r="O512" s="60" t="s">
        <v>1287</v>
      </c>
      <c r="P512" t="s">
        <v>829</v>
      </c>
      <c r="Q512" t="s">
        <v>1078</v>
      </c>
    </row>
    <row r="513" spans="1:17" x14ac:dyDescent="0.25">
      <c r="A513" t="s">
        <v>19</v>
      </c>
      <c r="B513">
        <v>140</v>
      </c>
      <c r="C513">
        <v>118.19999999999999</v>
      </c>
      <c r="D513">
        <v>4.5</v>
      </c>
      <c r="E513">
        <v>15</v>
      </c>
      <c r="F513">
        <v>118.19999999999999</v>
      </c>
      <c r="G513">
        <v>4.5</v>
      </c>
      <c r="H513">
        <v>1.2</v>
      </c>
      <c r="I513">
        <v>0.9</v>
      </c>
      <c r="J513">
        <v>56.126477890366417</v>
      </c>
      <c r="K513">
        <v>1500</v>
      </c>
      <c r="L513">
        <v>0</v>
      </c>
      <c r="N513">
        <v>29</v>
      </c>
      <c r="O513" s="60" t="s">
        <v>1288</v>
      </c>
      <c r="P513" t="s">
        <v>814</v>
      </c>
      <c r="Q513" t="s">
        <v>2397</v>
      </c>
    </row>
    <row r="514" spans="1:17" x14ac:dyDescent="0.25">
      <c r="A514" t="s">
        <v>19</v>
      </c>
      <c r="B514">
        <v>15</v>
      </c>
      <c r="C514">
        <v>118.2</v>
      </c>
      <c r="D514">
        <v>4.5</v>
      </c>
      <c r="E514">
        <v>15</v>
      </c>
      <c r="F514">
        <v>122.25</v>
      </c>
      <c r="G514">
        <v>4.5</v>
      </c>
      <c r="H514">
        <v>1.2</v>
      </c>
      <c r="I514">
        <v>0.9</v>
      </c>
      <c r="J514">
        <v>1.8184978836478705</v>
      </c>
      <c r="K514">
        <v>1500</v>
      </c>
      <c r="L514">
        <v>0</v>
      </c>
      <c r="N514">
        <v>29</v>
      </c>
      <c r="O514" s="60" t="s">
        <v>2076</v>
      </c>
      <c r="P514" t="s">
        <v>827</v>
      </c>
      <c r="Q514" t="s">
        <v>1955</v>
      </c>
    </row>
    <row r="515" spans="1:17" x14ac:dyDescent="0.25">
      <c r="A515" t="s">
        <v>19</v>
      </c>
      <c r="B515">
        <v>15</v>
      </c>
      <c r="C515">
        <v>122.25</v>
      </c>
      <c r="D515">
        <v>4.5</v>
      </c>
      <c r="E515">
        <v>140</v>
      </c>
      <c r="F515">
        <v>122.25</v>
      </c>
      <c r="G515">
        <v>4.5</v>
      </c>
      <c r="H515">
        <v>1.2</v>
      </c>
      <c r="I515">
        <v>0.9</v>
      </c>
      <c r="J515">
        <v>56.126477890366417</v>
      </c>
      <c r="K515">
        <v>1500</v>
      </c>
      <c r="L515">
        <v>0</v>
      </c>
      <c r="N515">
        <v>29</v>
      </c>
      <c r="O515" s="60" t="s">
        <v>2077</v>
      </c>
      <c r="P515" t="s">
        <v>828</v>
      </c>
      <c r="Q515" t="s">
        <v>2396</v>
      </c>
    </row>
    <row r="516" spans="1:17" x14ac:dyDescent="0.25">
      <c r="A516" t="s">
        <v>19</v>
      </c>
      <c r="B516">
        <v>140</v>
      </c>
      <c r="C516">
        <v>122.25</v>
      </c>
      <c r="D516">
        <v>4.5</v>
      </c>
      <c r="E516">
        <v>140</v>
      </c>
      <c r="F516">
        <v>123.6</v>
      </c>
      <c r="G516">
        <v>4.5</v>
      </c>
      <c r="H516">
        <v>1.2</v>
      </c>
      <c r="I516">
        <v>0.9</v>
      </c>
      <c r="J516">
        <v>0.60616596121595478</v>
      </c>
      <c r="K516">
        <v>1500</v>
      </c>
      <c r="L516">
        <v>0</v>
      </c>
      <c r="N516">
        <v>29</v>
      </c>
      <c r="O516" s="60" t="s">
        <v>2078</v>
      </c>
      <c r="P516" t="s">
        <v>829</v>
      </c>
      <c r="Q516" t="s">
        <v>1958</v>
      </c>
    </row>
    <row r="517" spans="1:17" x14ac:dyDescent="0.25">
      <c r="A517" t="s">
        <v>19</v>
      </c>
      <c r="B517">
        <v>140</v>
      </c>
      <c r="C517">
        <v>123.6</v>
      </c>
      <c r="D517">
        <v>4.5</v>
      </c>
      <c r="E517">
        <v>15</v>
      </c>
      <c r="F517">
        <v>123.6</v>
      </c>
      <c r="G517">
        <v>4.5</v>
      </c>
      <c r="H517">
        <v>1.2</v>
      </c>
      <c r="I517">
        <v>0.9</v>
      </c>
      <c r="J517">
        <v>56.126477890366417</v>
      </c>
      <c r="K517">
        <v>1500</v>
      </c>
      <c r="L517">
        <v>0</v>
      </c>
      <c r="N517">
        <v>29</v>
      </c>
      <c r="O517" s="60" t="s">
        <v>2079</v>
      </c>
      <c r="P517" t="s">
        <v>814</v>
      </c>
      <c r="Q517" t="s">
        <v>2397</v>
      </c>
    </row>
    <row r="518" spans="1:17" x14ac:dyDescent="0.25">
      <c r="A518" t="s">
        <v>19</v>
      </c>
      <c r="B518">
        <v>15</v>
      </c>
      <c r="C518">
        <v>123.60000000000001</v>
      </c>
      <c r="D518">
        <v>4.5</v>
      </c>
      <c r="E518">
        <v>15</v>
      </c>
      <c r="F518">
        <v>127.65</v>
      </c>
      <c r="G518">
        <v>4.5</v>
      </c>
      <c r="H518">
        <v>1.2</v>
      </c>
      <c r="I518">
        <v>0.9</v>
      </c>
      <c r="J518">
        <v>1.8184978836478705</v>
      </c>
      <c r="K518">
        <v>1500</v>
      </c>
      <c r="L518">
        <v>0</v>
      </c>
      <c r="N518">
        <v>29</v>
      </c>
      <c r="O518" s="60" t="s">
        <v>2080</v>
      </c>
      <c r="P518" t="s">
        <v>827</v>
      </c>
      <c r="Q518" t="s">
        <v>1961</v>
      </c>
    </row>
    <row r="519" spans="1:17" x14ac:dyDescent="0.25">
      <c r="A519" t="s">
        <v>19</v>
      </c>
      <c r="B519">
        <v>15</v>
      </c>
      <c r="C519">
        <v>127.65</v>
      </c>
      <c r="D519">
        <v>4.5</v>
      </c>
      <c r="E519">
        <v>140</v>
      </c>
      <c r="F519">
        <v>127.65</v>
      </c>
      <c r="G519">
        <v>4.5</v>
      </c>
      <c r="H519">
        <v>1.2</v>
      </c>
      <c r="I519">
        <v>0.9</v>
      </c>
      <c r="J519">
        <v>56.126477890366417</v>
      </c>
      <c r="K519">
        <v>1500</v>
      </c>
      <c r="L519">
        <v>0</v>
      </c>
      <c r="N519">
        <v>29</v>
      </c>
      <c r="O519" s="60" t="s">
        <v>2081</v>
      </c>
      <c r="P519" t="s">
        <v>828</v>
      </c>
      <c r="Q519" t="s">
        <v>2396</v>
      </c>
    </row>
    <row r="520" spans="1:17" x14ac:dyDescent="0.25">
      <c r="A520" t="s">
        <v>19</v>
      </c>
      <c r="B520">
        <v>140</v>
      </c>
      <c r="C520">
        <v>127.65</v>
      </c>
      <c r="D520">
        <v>4.5</v>
      </c>
      <c r="E520">
        <v>140</v>
      </c>
      <c r="F520">
        <v>129</v>
      </c>
      <c r="G520">
        <v>4.5</v>
      </c>
      <c r="H520">
        <v>1.2</v>
      </c>
      <c r="I520">
        <v>0.9</v>
      </c>
      <c r="J520">
        <v>0.60616596121595478</v>
      </c>
      <c r="K520">
        <v>1500</v>
      </c>
      <c r="L520">
        <v>0</v>
      </c>
      <c r="N520">
        <v>29</v>
      </c>
      <c r="O520" s="60" t="s">
        <v>2082</v>
      </c>
      <c r="P520" t="s">
        <v>829</v>
      </c>
      <c r="Q520" t="s">
        <v>1964</v>
      </c>
    </row>
    <row r="521" spans="1:17" x14ac:dyDescent="0.25">
      <c r="A521" t="s">
        <v>19</v>
      </c>
      <c r="B521">
        <v>140</v>
      </c>
      <c r="C521">
        <v>129</v>
      </c>
      <c r="D521">
        <v>4.5</v>
      </c>
      <c r="E521">
        <v>15</v>
      </c>
      <c r="F521">
        <v>129</v>
      </c>
      <c r="G521">
        <v>4.5</v>
      </c>
      <c r="H521">
        <v>1.2</v>
      </c>
      <c r="I521">
        <v>0.9</v>
      </c>
      <c r="J521">
        <v>56.126477890366417</v>
      </c>
      <c r="K521">
        <v>1500</v>
      </c>
      <c r="L521">
        <v>0</v>
      </c>
      <c r="N521">
        <v>29</v>
      </c>
      <c r="O521" s="60" t="s">
        <v>2083</v>
      </c>
      <c r="P521" t="s">
        <v>814</v>
      </c>
      <c r="Q521" t="s">
        <v>2397</v>
      </c>
    </row>
    <row r="522" spans="1:17" x14ac:dyDescent="0.25">
      <c r="A522" t="s">
        <v>39</v>
      </c>
      <c r="B522">
        <v>-1.25</v>
      </c>
      <c r="C522">
        <v>2100</v>
      </c>
      <c r="N522">
        <v>29</v>
      </c>
      <c r="O522" s="60" t="s">
        <v>910</v>
      </c>
      <c r="P522" t="s">
        <v>757</v>
      </c>
      <c r="Q522" t="s">
        <v>845</v>
      </c>
    </row>
    <row r="523" spans="1:17" x14ac:dyDescent="0.25">
      <c r="A523" t="s">
        <v>660</v>
      </c>
      <c r="B523">
        <v>0.9</v>
      </c>
      <c r="C523">
        <v>10000</v>
      </c>
      <c r="N523">
        <v>29</v>
      </c>
      <c r="O523" s="60" t="s">
        <v>910</v>
      </c>
      <c r="P523" t="s">
        <v>757</v>
      </c>
      <c r="Q523" t="s">
        <v>816</v>
      </c>
    </row>
    <row r="524" spans="1:17" x14ac:dyDescent="0.25">
      <c r="A524" t="s">
        <v>23</v>
      </c>
      <c r="B524">
        <v>15</v>
      </c>
      <c r="C524">
        <v>129</v>
      </c>
      <c r="D524">
        <v>4.5</v>
      </c>
      <c r="E524">
        <v>15</v>
      </c>
      <c r="F524">
        <v>75</v>
      </c>
      <c r="G524">
        <v>5.4</v>
      </c>
      <c r="H524">
        <v>0</v>
      </c>
      <c r="I524">
        <v>0</v>
      </c>
      <c r="K524">
        <v>48000</v>
      </c>
      <c r="N524">
        <v>0</v>
      </c>
      <c r="O524" s="60">
        <v>0</v>
      </c>
      <c r="P524" t="s">
        <v>661</v>
      </c>
      <c r="Q524" t="s">
        <v>2084</v>
      </c>
    </row>
    <row r="525" spans="1:17" x14ac:dyDescent="0.25">
      <c r="A525" t="s">
        <v>19</v>
      </c>
      <c r="B525">
        <v>15</v>
      </c>
      <c r="C525">
        <v>75</v>
      </c>
      <c r="D525">
        <v>5.4</v>
      </c>
      <c r="E525">
        <v>15</v>
      </c>
      <c r="F525">
        <v>79.05</v>
      </c>
      <c r="G525">
        <v>5.4</v>
      </c>
      <c r="H525">
        <v>1.2</v>
      </c>
      <c r="I525">
        <v>0.9</v>
      </c>
      <c r="J525">
        <v>1.8184978836478705</v>
      </c>
      <c r="K525">
        <v>1500</v>
      </c>
      <c r="L525">
        <v>0</v>
      </c>
      <c r="N525">
        <v>29</v>
      </c>
      <c r="O525" s="60" t="s">
        <v>2085</v>
      </c>
      <c r="P525" t="s">
        <v>1968</v>
      </c>
      <c r="Q525" t="s">
        <v>879</v>
      </c>
    </row>
    <row r="526" spans="1:17" x14ac:dyDescent="0.25">
      <c r="A526" t="s">
        <v>19</v>
      </c>
      <c r="B526">
        <v>15</v>
      </c>
      <c r="C526">
        <v>79.05</v>
      </c>
      <c r="D526">
        <v>5.4</v>
      </c>
      <c r="E526">
        <v>140</v>
      </c>
      <c r="F526">
        <v>79.05</v>
      </c>
      <c r="G526">
        <v>5.4</v>
      </c>
      <c r="H526">
        <v>1.2</v>
      </c>
      <c r="I526">
        <v>0.9</v>
      </c>
      <c r="J526">
        <v>56.126477890366417</v>
      </c>
      <c r="K526">
        <v>1500</v>
      </c>
      <c r="L526">
        <v>0</v>
      </c>
      <c r="N526">
        <v>29</v>
      </c>
      <c r="O526" s="60" t="s">
        <v>2086</v>
      </c>
      <c r="P526" t="s">
        <v>1970</v>
      </c>
      <c r="Q526" t="s">
        <v>2396</v>
      </c>
    </row>
    <row r="527" spans="1:17" x14ac:dyDescent="0.25">
      <c r="A527" t="s">
        <v>19</v>
      </c>
      <c r="B527">
        <v>140</v>
      </c>
      <c r="C527">
        <v>79.05</v>
      </c>
      <c r="D527">
        <v>5.4</v>
      </c>
      <c r="E527">
        <v>140</v>
      </c>
      <c r="F527">
        <v>80.399999999999991</v>
      </c>
      <c r="G527">
        <v>5.4</v>
      </c>
      <c r="H527">
        <v>1.2</v>
      </c>
      <c r="I527">
        <v>0.9</v>
      </c>
      <c r="J527">
        <v>0.60616596121595478</v>
      </c>
      <c r="K527">
        <v>1500</v>
      </c>
      <c r="L527">
        <v>0</v>
      </c>
      <c r="N527">
        <v>29</v>
      </c>
      <c r="O527" s="60" t="s">
        <v>2087</v>
      </c>
      <c r="P527" t="s">
        <v>1972</v>
      </c>
      <c r="Q527" t="s">
        <v>880</v>
      </c>
    </row>
    <row r="528" spans="1:17" x14ac:dyDescent="0.25">
      <c r="A528" t="s">
        <v>19</v>
      </c>
      <c r="B528">
        <v>140</v>
      </c>
      <c r="C528">
        <v>80.399999999999991</v>
      </c>
      <c r="D528">
        <v>5.4</v>
      </c>
      <c r="E528">
        <v>15</v>
      </c>
      <c r="F528">
        <v>80.399999999999991</v>
      </c>
      <c r="G528">
        <v>5.4</v>
      </c>
      <c r="H528">
        <v>1.2</v>
      </c>
      <c r="I528">
        <v>0.9</v>
      </c>
      <c r="J528">
        <v>56.126477890366417</v>
      </c>
      <c r="K528">
        <v>1500</v>
      </c>
      <c r="L528">
        <v>0</v>
      </c>
      <c r="N528">
        <v>29</v>
      </c>
      <c r="O528" s="60" t="s">
        <v>2088</v>
      </c>
      <c r="P528" t="s">
        <v>1974</v>
      </c>
      <c r="Q528" t="s">
        <v>2397</v>
      </c>
    </row>
    <row r="529" spans="1:17" x14ac:dyDescent="0.25">
      <c r="A529" t="s">
        <v>19</v>
      </c>
      <c r="B529">
        <v>15</v>
      </c>
      <c r="C529">
        <v>80.400000000000006</v>
      </c>
      <c r="D529">
        <v>5.4</v>
      </c>
      <c r="E529">
        <v>15</v>
      </c>
      <c r="F529">
        <v>84.45</v>
      </c>
      <c r="G529">
        <v>5.4</v>
      </c>
      <c r="H529">
        <v>1.2</v>
      </c>
      <c r="I529">
        <v>0.9</v>
      </c>
      <c r="J529">
        <v>1.8184978836478705</v>
      </c>
      <c r="K529">
        <v>1500</v>
      </c>
      <c r="L529">
        <v>0</v>
      </c>
      <c r="N529">
        <v>29</v>
      </c>
      <c r="O529" s="60" t="s">
        <v>1289</v>
      </c>
      <c r="P529" t="s">
        <v>823</v>
      </c>
      <c r="Q529" t="s">
        <v>1065</v>
      </c>
    </row>
    <row r="530" spans="1:17" x14ac:dyDescent="0.25">
      <c r="A530" t="s">
        <v>19</v>
      </c>
      <c r="B530">
        <v>15</v>
      </c>
      <c r="C530">
        <v>84.45</v>
      </c>
      <c r="D530">
        <v>5.4</v>
      </c>
      <c r="E530">
        <v>140</v>
      </c>
      <c r="F530">
        <v>84.45</v>
      </c>
      <c r="G530">
        <v>5.4</v>
      </c>
      <c r="H530">
        <v>1.2</v>
      </c>
      <c r="I530">
        <v>0.9</v>
      </c>
      <c r="J530">
        <v>56.126477890366417</v>
      </c>
      <c r="K530">
        <v>1500</v>
      </c>
      <c r="L530">
        <v>0</v>
      </c>
      <c r="N530">
        <v>29</v>
      </c>
      <c r="O530" s="60" t="s">
        <v>1290</v>
      </c>
      <c r="P530" t="s">
        <v>750</v>
      </c>
      <c r="Q530" t="s">
        <v>2396</v>
      </c>
    </row>
    <row r="531" spans="1:17" x14ac:dyDescent="0.25">
      <c r="A531" t="s">
        <v>19</v>
      </c>
      <c r="B531">
        <v>140</v>
      </c>
      <c r="C531">
        <v>84.45</v>
      </c>
      <c r="D531">
        <v>5.4</v>
      </c>
      <c r="E531">
        <v>140</v>
      </c>
      <c r="F531">
        <v>85.8</v>
      </c>
      <c r="G531">
        <v>5.4</v>
      </c>
      <c r="H531">
        <v>1.2</v>
      </c>
      <c r="I531">
        <v>0.9</v>
      </c>
      <c r="J531">
        <v>0.60616596121595478</v>
      </c>
      <c r="K531">
        <v>1500</v>
      </c>
      <c r="L531">
        <v>0</v>
      </c>
      <c r="N531">
        <v>29</v>
      </c>
      <c r="O531" s="60" t="s">
        <v>1291</v>
      </c>
      <c r="P531" t="s">
        <v>751</v>
      </c>
      <c r="Q531" t="s">
        <v>1066</v>
      </c>
    </row>
    <row r="532" spans="1:17" x14ac:dyDescent="0.25">
      <c r="A532" t="s">
        <v>19</v>
      </c>
      <c r="B532">
        <v>140</v>
      </c>
      <c r="C532">
        <v>85.8</v>
      </c>
      <c r="D532">
        <v>5.4</v>
      </c>
      <c r="E532">
        <v>15</v>
      </c>
      <c r="F532">
        <v>85.8</v>
      </c>
      <c r="G532">
        <v>5.4</v>
      </c>
      <c r="H532">
        <v>1.2</v>
      </c>
      <c r="I532">
        <v>0.9</v>
      </c>
      <c r="J532">
        <v>56.126477890366417</v>
      </c>
      <c r="K532">
        <v>1500</v>
      </c>
      <c r="L532">
        <v>0</v>
      </c>
      <c r="N532">
        <v>29</v>
      </c>
      <c r="O532" s="60" t="s">
        <v>911</v>
      </c>
      <c r="P532" t="s">
        <v>752</v>
      </c>
      <c r="Q532" t="s">
        <v>2397</v>
      </c>
    </row>
    <row r="533" spans="1:17" x14ac:dyDescent="0.25">
      <c r="A533" t="s">
        <v>19</v>
      </c>
      <c r="B533">
        <v>15</v>
      </c>
      <c r="C533">
        <v>85.8</v>
      </c>
      <c r="D533">
        <v>5.4</v>
      </c>
      <c r="E533">
        <v>15</v>
      </c>
      <c r="F533">
        <v>89.85</v>
      </c>
      <c r="G533">
        <v>5.4</v>
      </c>
      <c r="H533">
        <v>1.2</v>
      </c>
      <c r="I533">
        <v>0.9</v>
      </c>
      <c r="J533">
        <v>1.8184978836478705</v>
      </c>
      <c r="K533">
        <v>1500</v>
      </c>
      <c r="L533">
        <v>0</v>
      </c>
      <c r="N533">
        <v>29</v>
      </c>
      <c r="O533" s="60" t="s">
        <v>1292</v>
      </c>
      <c r="P533" t="s">
        <v>823</v>
      </c>
      <c r="Q533" t="s">
        <v>1067</v>
      </c>
    </row>
    <row r="534" spans="1:17" x14ac:dyDescent="0.25">
      <c r="A534" t="s">
        <v>19</v>
      </c>
      <c r="B534">
        <v>15</v>
      </c>
      <c r="C534">
        <v>89.85</v>
      </c>
      <c r="D534">
        <v>5.4</v>
      </c>
      <c r="E534">
        <v>140</v>
      </c>
      <c r="F534">
        <v>89.85</v>
      </c>
      <c r="G534">
        <v>5.4</v>
      </c>
      <c r="H534">
        <v>1.2</v>
      </c>
      <c r="I534">
        <v>0.9</v>
      </c>
      <c r="J534">
        <v>56.126477890366417</v>
      </c>
      <c r="K534">
        <v>1500</v>
      </c>
      <c r="L534">
        <v>0</v>
      </c>
      <c r="N534">
        <v>29</v>
      </c>
      <c r="O534" s="60" t="s">
        <v>1293</v>
      </c>
      <c r="P534" t="s">
        <v>750</v>
      </c>
      <c r="Q534" t="s">
        <v>2396</v>
      </c>
    </row>
    <row r="535" spans="1:17" x14ac:dyDescent="0.25">
      <c r="A535" t="s">
        <v>19</v>
      </c>
      <c r="B535">
        <v>140</v>
      </c>
      <c r="C535">
        <v>89.85</v>
      </c>
      <c r="D535">
        <v>5.4</v>
      </c>
      <c r="E535">
        <v>140</v>
      </c>
      <c r="F535">
        <v>91.199999999999989</v>
      </c>
      <c r="G535">
        <v>5.4</v>
      </c>
      <c r="H535">
        <v>1.2</v>
      </c>
      <c r="I535">
        <v>0.9</v>
      </c>
      <c r="J535">
        <v>0.60616596121595478</v>
      </c>
      <c r="K535">
        <v>1500</v>
      </c>
      <c r="L535">
        <v>0</v>
      </c>
      <c r="N535">
        <v>29</v>
      </c>
      <c r="O535" s="60" t="s">
        <v>1294</v>
      </c>
      <c r="P535" t="s">
        <v>751</v>
      </c>
      <c r="Q535" t="s">
        <v>1068</v>
      </c>
    </row>
    <row r="536" spans="1:17" x14ac:dyDescent="0.25">
      <c r="A536" t="s">
        <v>19</v>
      </c>
      <c r="B536">
        <v>140</v>
      </c>
      <c r="C536">
        <v>91.199999999999989</v>
      </c>
      <c r="D536">
        <v>5.4</v>
      </c>
      <c r="E536">
        <v>15</v>
      </c>
      <c r="F536">
        <v>91.199999999999989</v>
      </c>
      <c r="G536">
        <v>5.4</v>
      </c>
      <c r="H536">
        <v>1.2</v>
      </c>
      <c r="I536">
        <v>0.9</v>
      </c>
      <c r="J536">
        <v>56.126477890366417</v>
      </c>
      <c r="K536">
        <v>1500</v>
      </c>
      <c r="L536">
        <v>0</v>
      </c>
      <c r="N536">
        <v>29</v>
      </c>
      <c r="O536" s="60" t="s">
        <v>912</v>
      </c>
      <c r="P536" t="s">
        <v>752</v>
      </c>
      <c r="Q536" t="s">
        <v>2397</v>
      </c>
    </row>
    <row r="537" spans="1:17" x14ac:dyDescent="0.25">
      <c r="A537" t="s">
        <v>19</v>
      </c>
      <c r="B537">
        <v>15</v>
      </c>
      <c r="C537">
        <v>91.2</v>
      </c>
      <c r="D537">
        <v>5.4</v>
      </c>
      <c r="E537">
        <v>15</v>
      </c>
      <c r="F537">
        <v>95.25</v>
      </c>
      <c r="G537">
        <v>5.4</v>
      </c>
      <c r="H537">
        <v>1.2</v>
      </c>
      <c r="I537">
        <v>0.9</v>
      </c>
      <c r="J537">
        <v>1.8184978836478705</v>
      </c>
      <c r="K537">
        <v>1500</v>
      </c>
      <c r="L537">
        <v>0</v>
      </c>
      <c r="N537">
        <v>29</v>
      </c>
      <c r="O537" s="60" t="s">
        <v>1295</v>
      </c>
      <c r="P537" t="s">
        <v>823</v>
      </c>
      <c r="Q537" t="s">
        <v>1069</v>
      </c>
    </row>
    <row r="538" spans="1:17" x14ac:dyDescent="0.25">
      <c r="A538" t="s">
        <v>19</v>
      </c>
      <c r="B538">
        <v>15</v>
      </c>
      <c r="C538">
        <v>95.25</v>
      </c>
      <c r="D538">
        <v>5.4</v>
      </c>
      <c r="E538">
        <v>140</v>
      </c>
      <c r="F538">
        <v>95.25</v>
      </c>
      <c r="G538">
        <v>5.4</v>
      </c>
      <c r="H538">
        <v>1.2</v>
      </c>
      <c r="I538">
        <v>0.9</v>
      </c>
      <c r="J538">
        <v>56.126477890366417</v>
      </c>
      <c r="K538">
        <v>1500</v>
      </c>
      <c r="L538">
        <v>0</v>
      </c>
      <c r="N538">
        <v>29</v>
      </c>
      <c r="O538" s="60" t="s">
        <v>1296</v>
      </c>
      <c r="P538" t="s">
        <v>750</v>
      </c>
      <c r="Q538" t="s">
        <v>2396</v>
      </c>
    </row>
    <row r="539" spans="1:17" x14ac:dyDescent="0.25">
      <c r="A539" t="s">
        <v>19</v>
      </c>
      <c r="B539">
        <v>140</v>
      </c>
      <c r="C539">
        <v>95.25</v>
      </c>
      <c r="D539">
        <v>5.4</v>
      </c>
      <c r="E539">
        <v>140</v>
      </c>
      <c r="F539">
        <v>96.6</v>
      </c>
      <c r="G539">
        <v>5.4</v>
      </c>
      <c r="H539">
        <v>1.2</v>
      </c>
      <c r="I539">
        <v>0.9</v>
      </c>
      <c r="J539">
        <v>0.60616596121595478</v>
      </c>
      <c r="K539">
        <v>1500</v>
      </c>
      <c r="L539">
        <v>0</v>
      </c>
      <c r="N539">
        <v>29</v>
      </c>
      <c r="O539" s="60" t="s">
        <v>1297</v>
      </c>
      <c r="P539" t="s">
        <v>751</v>
      </c>
      <c r="Q539" t="s">
        <v>1070</v>
      </c>
    </row>
    <row r="540" spans="1:17" x14ac:dyDescent="0.25">
      <c r="A540" t="s">
        <v>19</v>
      </c>
      <c r="B540">
        <v>140</v>
      </c>
      <c r="C540">
        <v>96.6</v>
      </c>
      <c r="D540">
        <v>5.4</v>
      </c>
      <c r="E540">
        <v>15</v>
      </c>
      <c r="F540">
        <v>96.6</v>
      </c>
      <c r="G540">
        <v>5.4</v>
      </c>
      <c r="H540">
        <v>1.2</v>
      </c>
      <c r="I540">
        <v>0.9</v>
      </c>
      <c r="J540">
        <v>56.126477890366417</v>
      </c>
      <c r="K540">
        <v>1500</v>
      </c>
      <c r="L540">
        <v>0</v>
      </c>
      <c r="N540">
        <v>29</v>
      </c>
      <c r="O540" s="60" t="s">
        <v>913</v>
      </c>
      <c r="P540" t="s">
        <v>752</v>
      </c>
      <c r="Q540" t="s">
        <v>2397</v>
      </c>
    </row>
    <row r="541" spans="1:17" x14ac:dyDescent="0.25">
      <c r="A541" t="s">
        <v>19</v>
      </c>
      <c r="B541">
        <v>15</v>
      </c>
      <c r="C541">
        <v>96.6</v>
      </c>
      <c r="D541">
        <v>5.4</v>
      </c>
      <c r="E541">
        <v>15</v>
      </c>
      <c r="F541">
        <v>100.65</v>
      </c>
      <c r="G541">
        <v>5.4</v>
      </c>
      <c r="H541">
        <v>1.2</v>
      </c>
      <c r="I541">
        <v>0.9</v>
      </c>
      <c r="J541">
        <v>1.8184978836478705</v>
      </c>
      <c r="K541">
        <v>1500</v>
      </c>
      <c r="L541">
        <v>0</v>
      </c>
      <c r="N541">
        <v>29</v>
      </c>
      <c r="O541" s="60" t="s">
        <v>1298</v>
      </c>
      <c r="P541" t="s">
        <v>823</v>
      </c>
      <c r="Q541" t="s">
        <v>1071</v>
      </c>
    </row>
    <row r="542" spans="1:17" x14ac:dyDescent="0.25">
      <c r="A542" t="s">
        <v>19</v>
      </c>
      <c r="B542">
        <v>15</v>
      </c>
      <c r="C542">
        <v>100.65</v>
      </c>
      <c r="D542">
        <v>5.4</v>
      </c>
      <c r="E542">
        <v>140</v>
      </c>
      <c r="F542">
        <v>100.65</v>
      </c>
      <c r="G542">
        <v>5.4</v>
      </c>
      <c r="H542">
        <v>1.2</v>
      </c>
      <c r="I542">
        <v>0.9</v>
      </c>
      <c r="J542">
        <v>56.126477890366417</v>
      </c>
      <c r="K542">
        <v>1500</v>
      </c>
      <c r="L542">
        <v>0</v>
      </c>
      <c r="N542">
        <v>29</v>
      </c>
      <c r="O542" s="60" t="s">
        <v>1299</v>
      </c>
      <c r="P542" t="s">
        <v>750</v>
      </c>
      <c r="Q542" t="s">
        <v>2396</v>
      </c>
    </row>
    <row r="543" spans="1:17" x14ac:dyDescent="0.25">
      <c r="A543" t="s">
        <v>19</v>
      </c>
      <c r="B543">
        <v>140</v>
      </c>
      <c r="C543">
        <v>100.65</v>
      </c>
      <c r="D543">
        <v>5.4</v>
      </c>
      <c r="E543">
        <v>140</v>
      </c>
      <c r="F543">
        <v>102</v>
      </c>
      <c r="G543">
        <v>5.4</v>
      </c>
      <c r="H543">
        <v>1.2</v>
      </c>
      <c r="I543">
        <v>0.9</v>
      </c>
      <c r="J543">
        <v>0.60616596121595478</v>
      </c>
      <c r="K543">
        <v>1500</v>
      </c>
      <c r="L543">
        <v>0</v>
      </c>
      <c r="N543">
        <v>29</v>
      </c>
      <c r="O543" s="60" t="s">
        <v>1300</v>
      </c>
      <c r="P543" t="s">
        <v>751</v>
      </c>
      <c r="Q543" t="s">
        <v>1072</v>
      </c>
    </row>
    <row r="544" spans="1:17" x14ac:dyDescent="0.25">
      <c r="A544" t="s">
        <v>19</v>
      </c>
      <c r="B544">
        <v>140</v>
      </c>
      <c r="C544">
        <v>102</v>
      </c>
      <c r="D544">
        <v>5.4</v>
      </c>
      <c r="E544">
        <v>15</v>
      </c>
      <c r="F544">
        <v>102</v>
      </c>
      <c r="G544">
        <v>5.4</v>
      </c>
      <c r="H544">
        <v>1.2</v>
      </c>
      <c r="I544">
        <v>0.9</v>
      </c>
      <c r="J544">
        <v>56.126477890366417</v>
      </c>
      <c r="K544">
        <v>1500</v>
      </c>
      <c r="L544">
        <v>0</v>
      </c>
      <c r="N544">
        <v>29</v>
      </c>
      <c r="O544" s="60" t="s">
        <v>914</v>
      </c>
      <c r="P544" t="s">
        <v>752</v>
      </c>
      <c r="Q544" t="s">
        <v>2397</v>
      </c>
    </row>
    <row r="545" spans="1:17" x14ac:dyDescent="0.25">
      <c r="A545" t="s">
        <v>19</v>
      </c>
      <c r="B545">
        <v>15</v>
      </c>
      <c r="C545">
        <v>102</v>
      </c>
      <c r="D545">
        <v>5.4</v>
      </c>
      <c r="E545">
        <v>15</v>
      </c>
      <c r="F545">
        <v>106.05</v>
      </c>
      <c r="G545">
        <v>5.4</v>
      </c>
      <c r="H545">
        <v>1.2</v>
      </c>
      <c r="I545">
        <v>0.9</v>
      </c>
      <c r="J545">
        <v>1.8184978836478705</v>
      </c>
      <c r="K545">
        <v>1500</v>
      </c>
      <c r="L545">
        <v>0</v>
      </c>
      <c r="N545">
        <v>29</v>
      </c>
      <c r="O545" s="60" t="s">
        <v>1301</v>
      </c>
      <c r="P545" t="s">
        <v>823</v>
      </c>
      <c r="Q545" t="s">
        <v>1073</v>
      </c>
    </row>
    <row r="546" spans="1:17" x14ac:dyDescent="0.25">
      <c r="A546" t="s">
        <v>19</v>
      </c>
      <c r="B546">
        <v>15</v>
      </c>
      <c r="C546">
        <v>106.05</v>
      </c>
      <c r="D546">
        <v>5.4</v>
      </c>
      <c r="E546">
        <v>140</v>
      </c>
      <c r="F546">
        <v>106.05</v>
      </c>
      <c r="G546">
        <v>5.4</v>
      </c>
      <c r="H546">
        <v>1.2</v>
      </c>
      <c r="I546">
        <v>0.9</v>
      </c>
      <c r="J546">
        <v>56.126477890366417</v>
      </c>
      <c r="K546">
        <v>1500</v>
      </c>
      <c r="L546">
        <v>0</v>
      </c>
      <c r="N546">
        <v>29</v>
      </c>
      <c r="O546" s="60" t="s">
        <v>1302</v>
      </c>
      <c r="P546" t="s">
        <v>750</v>
      </c>
      <c r="Q546" t="s">
        <v>2396</v>
      </c>
    </row>
    <row r="547" spans="1:17" x14ac:dyDescent="0.25">
      <c r="A547" t="s">
        <v>19</v>
      </c>
      <c r="B547">
        <v>140</v>
      </c>
      <c r="C547">
        <v>106.05</v>
      </c>
      <c r="D547">
        <v>5.4</v>
      </c>
      <c r="E547">
        <v>140</v>
      </c>
      <c r="F547">
        <v>107.39999999999999</v>
      </c>
      <c r="G547">
        <v>5.4</v>
      </c>
      <c r="H547">
        <v>1.2</v>
      </c>
      <c r="I547">
        <v>0.9</v>
      </c>
      <c r="J547">
        <v>0.60616596121595478</v>
      </c>
      <c r="K547">
        <v>1500</v>
      </c>
      <c r="L547">
        <v>0</v>
      </c>
      <c r="N547">
        <v>29</v>
      </c>
      <c r="O547" s="60" t="s">
        <v>1303</v>
      </c>
      <c r="P547" t="s">
        <v>751</v>
      </c>
      <c r="Q547" t="s">
        <v>1074</v>
      </c>
    </row>
    <row r="548" spans="1:17" x14ac:dyDescent="0.25">
      <c r="A548" t="s">
        <v>19</v>
      </c>
      <c r="B548">
        <v>140</v>
      </c>
      <c r="C548">
        <v>107.39999999999999</v>
      </c>
      <c r="D548">
        <v>5.4</v>
      </c>
      <c r="E548">
        <v>15</v>
      </c>
      <c r="F548">
        <v>107.39999999999999</v>
      </c>
      <c r="G548">
        <v>5.4</v>
      </c>
      <c r="H548">
        <v>1.2</v>
      </c>
      <c r="I548">
        <v>0.9</v>
      </c>
      <c r="J548">
        <v>56.126477890366417</v>
      </c>
      <c r="K548">
        <v>1500</v>
      </c>
      <c r="L548">
        <v>0</v>
      </c>
      <c r="N548">
        <v>29</v>
      </c>
      <c r="O548" s="60" t="s">
        <v>915</v>
      </c>
      <c r="P548" t="s">
        <v>752</v>
      </c>
      <c r="Q548" t="s">
        <v>2397</v>
      </c>
    </row>
    <row r="549" spans="1:17" x14ac:dyDescent="0.25">
      <c r="A549" t="s">
        <v>19</v>
      </c>
      <c r="B549">
        <v>15</v>
      </c>
      <c r="C549">
        <v>107.4</v>
      </c>
      <c r="D549">
        <v>5.4</v>
      </c>
      <c r="E549">
        <v>15</v>
      </c>
      <c r="F549">
        <v>111.45</v>
      </c>
      <c r="G549">
        <v>5.4</v>
      </c>
      <c r="H549">
        <v>1.2</v>
      </c>
      <c r="I549">
        <v>0.9</v>
      </c>
      <c r="J549">
        <v>1.8184978836478705</v>
      </c>
      <c r="K549">
        <v>1500</v>
      </c>
      <c r="L549">
        <v>0</v>
      </c>
      <c r="N549">
        <v>29</v>
      </c>
      <c r="O549" s="60" t="s">
        <v>1304</v>
      </c>
      <c r="P549" t="s">
        <v>823</v>
      </c>
      <c r="Q549" t="s">
        <v>1075</v>
      </c>
    </row>
    <row r="550" spans="1:17" x14ac:dyDescent="0.25">
      <c r="A550" t="s">
        <v>19</v>
      </c>
      <c r="B550">
        <v>15</v>
      </c>
      <c r="C550">
        <v>111.45</v>
      </c>
      <c r="D550">
        <v>5.4</v>
      </c>
      <c r="E550">
        <v>140</v>
      </c>
      <c r="F550">
        <v>111.45</v>
      </c>
      <c r="G550">
        <v>5.4</v>
      </c>
      <c r="H550">
        <v>1.2</v>
      </c>
      <c r="I550">
        <v>0.9</v>
      </c>
      <c r="J550">
        <v>56.126477890366417</v>
      </c>
      <c r="K550">
        <v>1500</v>
      </c>
      <c r="L550">
        <v>0</v>
      </c>
      <c r="N550">
        <v>29</v>
      </c>
      <c r="O550" s="60" t="s">
        <v>1305</v>
      </c>
      <c r="P550" t="s">
        <v>750</v>
      </c>
      <c r="Q550" t="s">
        <v>2396</v>
      </c>
    </row>
    <row r="551" spans="1:17" x14ac:dyDescent="0.25">
      <c r="A551" t="s">
        <v>19</v>
      </c>
      <c r="B551">
        <v>140</v>
      </c>
      <c r="C551">
        <v>111.45</v>
      </c>
      <c r="D551">
        <v>5.4</v>
      </c>
      <c r="E551">
        <v>140</v>
      </c>
      <c r="F551">
        <v>112.8</v>
      </c>
      <c r="G551">
        <v>5.4</v>
      </c>
      <c r="H551">
        <v>1.2</v>
      </c>
      <c r="I551">
        <v>0.9</v>
      </c>
      <c r="J551">
        <v>0.60616596121595478</v>
      </c>
      <c r="K551">
        <v>1500</v>
      </c>
      <c r="L551">
        <v>0</v>
      </c>
      <c r="N551">
        <v>29</v>
      </c>
      <c r="O551" s="60" t="s">
        <v>1306</v>
      </c>
      <c r="P551" t="s">
        <v>751</v>
      </c>
      <c r="Q551" t="s">
        <v>1076</v>
      </c>
    </row>
    <row r="552" spans="1:17" x14ac:dyDescent="0.25">
      <c r="A552" t="s">
        <v>19</v>
      </c>
      <c r="B552">
        <v>140</v>
      </c>
      <c r="C552">
        <v>112.8</v>
      </c>
      <c r="D552">
        <v>5.4</v>
      </c>
      <c r="E552">
        <v>15</v>
      </c>
      <c r="F552">
        <v>112.8</v>
      </c>
      <c r="G552">
        <v>5.4</v>
      </c>
      <c r="H552">
        <v>1.2</v>
      </c>
      <c r="I552">
        <v>0.9</v>
      </c>
      <c r="J552">
        <v>56.126477890366417</v>
      </c>
      <c r="K552">
        <v>1500</v>
      </c>
      <c r="L552">
        <v>0</v>
      </c>
      <c r="N552">
        <v>29</v>
      </c>
      <c r="O552" s="60" t="s">
        <v>916</v>
      </c>
      <c r="P552" t="s">
        <v>752</v>
      </c>
      <c r="Q552" t="s">
        <v>2397</v>
      </c>
    </row>
    <row r="553" spans="1:17" x14ac:dyDescent="0.25">
      <c r="A553" t="s">
        <v>19</v>
      </c>
      <c r="B553">
        <v>15</v>
      </c>
      <c r="C553">
        <v>112.8</v>
      </c>
      <c r="D553">
        <v>5.4</v>
      </c>
      <c r="E553">
        <v>15</v>
      </c>
      <c r="F553">
        <v>116.85</v>
      </c>
      <c r="G553">
        <v>5.4</v>
      </c>
      <c r="H553">
        <v>1.2</v>
      </c>
      <c r="I553">
        <v>0.9</v>
      </c>
      <c r="J553">
        <v>1.8184978836478705</v>
      </c>
      <c r="K553">
        <v>1500</v>
      </c>
      <c r="L553">
        <v>0</v>
      </c>
      <c r="N553">
        <v>29</v>
      </c>
      <c r="O553" s="60" t="s">
        <v>1307</v>
      </c>
      <c r="P553" t="s">
        <v>823</v>
      </c>
      <c r="Q553" t="s">
        <v>1077</v>
      </c>
    </row>
    <row r="554" spans="1:17" x14ac:dyDescent="0.25">
      <c r="A554" t="s">
        <v>19</v>
      </c>
      <c r="B554">
        <v>15</v>
      </c>
      <c r="C554">
        <v>116.85</v>
      </c>
      <c r="D554">
        <v>5.4</v>
      </c>
      <c r="E554">
        <v>140</v>
      </c>
      <c r="F554">
        <v>116.85</v>
      </c>
      <c r="G554">
        <v>5.4</v>
      </c>
      <c r="H554">
        <v>1.2</v>
      </c>
      <c r="I554">
        <v>0.9</v>
      </c>
      <c r="J554">
        <v>56.126477890366417</v>
      </c>
      <c r="K554">
        <v>1500</v>
      </c>
      <c r="L554">
        <v>0</v>
      </c>
      <c r="N554">
        <v>29</v>
      </c>
      <c r="O554" s="60" t="s">
        <v>1308</v>
      </c>
      <c r="P554" t="s">
        <v>750</v>
      </c>
      <c r="Q554" t="s">
        <v>2396</v>
      </c>
    </row>
    <row r="555" spans="1:17" x14ac:dyDescent="0.25">
      <c r="A555" t="s">
        <v>19</v>
      </c>
      <c r="B555">
        <v>140</v>
      </c>
      <c r="C555">
        <v>116.85</v>
      </c>
      <c r="D555">
        <v>5.4</v>
      </c>
      <c r="E555">
        <v>140</v>
      </c>
      <c r="F555">
        <v>118.19999999999999</v>
      </c>
      <c r="G555">
        <v>5.4</v>
      </c>
      <c r="H555">
        <v>1.2</v>
      </c>
      <c r="I555">
        <v>0.9</v>
      </c>
      <c r="J555">
        <v>0.60616596121595478</v>
      </c>
      <c r="K555">
        <v>1500</v>
      </c>
      <c r="L555">
        <v>0</v>
      </c>
      <c r="N555">
        <v>29</v>
      </c>
      <c r="O555" s="60" t="s">
        <v>1309</v>
      </c>
      <c r="P555" t="s">
        <v>751</v>
      </c>
      <c r="Q555" t="s">
        <v>1078</v>
      </c>
    </row>
    <row r="556" spans="1:17" x14ac:dyDescent="0.25">
      <c r="A556" t="s">
        <v>19</v>
      </c>
      <c r="B556">
        <v>140</v>
      </c>
      <c r="C556">
        <v>118.19999999999999</v>
      </c>
      <c r="D556">
        <v>5.4</v>
      </c>
      <c r="E556">
        <v>15</v>
      </c>
      <c r="F556">
        <v>118.19999999999999</v>
      </c>
      <c r="G556">
        <v>5.4</v>
      </c>
      <c r="H556">
        <v>1.2</v>
      </c>
      <c r="I556">
        <v>0.9</v>
      </c>
      <c r="J556">
        <v>56.126477890366417</v>
      </c>
      <c r="K556">
        <v>1500</v>
      </c>
      <c r="L556">
        <v>0</v>
      </c>
      <c r="N556">
        <v>29</v>
      </c>
      <c r="O556" s="60" t="s">
        <v>917</v>
      </c>
      <c r="P556" t="s">
        <v>752</v>
      </c>
      <c r="Q556" t="s">
        <v>2397</v>
      </c>
    </row>
    <row r="557" spans="1:17" x14ac:dyDescent="0.25">
      <c r="A557" t="s">
        <v>19</v>
      </c>
      <c r="B557">
        <v>15</v>
      </c>
      <c r="C557">
        <v>118.2</v>
      </c>
      <c r="D557">
        <v>5.4</v>
      </c>
      <c r="E557">
        <v>15</v>
      </c>
      <c r="F557">
        <v>122.25</v>
      </c>
      <c r="G557">
        <v>5.4</v>
      </c>
      <c r="H557">
        <v>1.2</v>
      </c>
      <c r="I557">
        <v>0.9</v>
      </c>
      <c r="J557">
        <v>1.8184978836478705</v>
      </c>
      <c r="K557">
        <v>1500</v>
      </c>
      <c r="L557">
        <v>0</v>
      </c>
      <c r="N557">
        <v>29</v>
      </c>
      <c r="O557" s="60" t="s">
        <v>2089</v>
      </c>
      <c r="P557" t="s">
        <v>823</v>
      </c>
      <c r="Q557" t="s">
        <v>1955</v>
      </c>
    </row>
    <row r="558" spans="1:17" x14ac:dyDescent="0.25">
      <c r="A558" t="s">
        <v>19</v>
      </c>
      <c r="B558">
        <v>15</v>
      </c>
      <c r="C558">
        <v>122.25</v>
      </c>
      <c r="D558">
        <v>5.4</v>
      </c>
      <c r="E558">
        <v>140</v>
      </c>
      <c r="F558">
        <v>122.25</v>
      </c>
      <c r="G558">
        <v>5.4</v>
      </c>
      <c r="H558">
        <v>1.2</v>
      </c>
      <c r="I558">
        <v>0.9</v>
      </c>
      <c r="J558">
        <v>56.126477890366417</v>
      </c>
      <c r="K558">
        <v>1500</v>
      </c>
      <c r="L558">
        <v>0</v>
      </c>
      <c r="N558">
        <v>29</v>
      </c>
      <c r="O558" s="60" t="s">
        <v>2090</v>
      </c>
      <c r="P558" t="s">
        <v>750</v>
      </c>
      <c r="Q558" t="s">
        <v>2396</v>
      </c>
    </row>
    <row r="559" spans="1:17" x14ac:dyDescent="0.25">
      <c r="A559" t="s">
        <v>19</v>
      </c>
      <c r="B559">
        <v>140</v>
      </c>
      <c r="C559">
        <v>122.25</v>
      </c>
      <c r="D559">
        <v>5.4</v>
      </c>
      <c r="E559">
        <v>140</v>
      </c>
      <c r="F559">
        <v>123.6</v>
      </c>
      <c r="G559">
        <v>5.4</v>
      </c>
      <c r="H559">
        <v>1.2</v>
      </c>
      <c r="I559">
        <v>0.9</v>
      </c>
      <c r="J559">
        <v>0.60616596121595478</v>
      </c>
      <c r="K559">
        <v>1500</v>
      </c>
      <c r="L559">
        <v>0</v>
      </c>
      <c r="N559">
        <v>29</v>
      </c>
      <c r="O559" s="60" t="s">
        <v>2091</v>
      </c>
      <c r="P559" t="s">
        <v>751</v>
      </c>
      <c r="Q559" t="s">
        <v>1958</v>
      </c>
    </row>
    <row r="560" spans="1:17" x14ac:dyDescent="0.25">
      <c r="A560" t="s">
        <v>19</v>
      </c>
      <c r="B560">
        <v>140</v>
      </c>
      <c r="C560">
        <v>123.6</v>
      </c>
      <c r="D560">
        <v>5.4</v>
      </c>
      <c r="E560">
        <v>15</v>
      </c>
      <c r="F560">
        <v>123.6</v>
      </c>
      <c r="G560">
        <v>5.4</v>
      </c>
      <c r="H560">
        <v>1.2</v>
      </c>
      <c r="I560">
        <v>0.9</v>
      </c>
      <c r="J560">
        <v>56.126477890366417</v>
      </c>
      <c r="K560">
        <v>1500</v>
      </c>
      <c r="L560">
        <v>0</v>
      </c>
      <c r="N560">
        <v>29</v>
      </c>
      <c r="O560" s="60" t="s">
        <v>2092</v>
      </c>
      <c r="P560" t="s">
        <v>752</v>
      </c>
      <c r="Q560" t="s">
        <v>2397</v>
      </c>
    </row>
    <row r="561" spans="1:17" x14ac:dyDescent="0.25">
      <c r="A561" t="s">
        <v>19</v>
      </c>
      <c r="B561">
        <v>15</v>
      </c>
      <c r="C561">
        <v>123.60000000000001</v>
      </c>
      <c r="D561">
        <v>5.4</v>
      </c>
      <c r="E561">
        <v>15</v>
      </c>
      <c r="F561">
        <v>127.65</v>
      </c>
      <c r="G561">
        <v>5.4</v>
      </c>
      <c r="H561">
        <v>1.2</v>
      </c>
      <c r="I561">
        <v>0.9</v>
      </c>
      <c r="J561">
        <v>1.8184978836478705</v>
      </c>
      <c r="K561">
        <v>1500</v>
      </c>
      <c r="L561">
        <v>0</v>
      </c>
      <c r="N561">
        <v>29</v>
      </c>
      <c r="O561" s="60" t="s">
        <v>2093</v>
      </c>
      <c r="P561" t="s">
        <v>823</v>
      </c>
      <c r="Q561" t="s">
        <v>1961</v>
      </c>
    </row>
    <row r="562" spans="1:17" x14ac:dyDescent="0.25">
      <c r="A562" t="s">
        <v>19</v>
      </c>
      <c r="B562">
        <v>15</v>
      </c>
      <c r="C562">
        <v>127.65</v>
      </c>
      <c r="D562">
        <v>5.4</v>
      </c>
      <c r="E562">
        <v>140</v>
      </c>
      <c r="F562">
        <v>127.65</v>
      </c>
      <c r="G562">
        <v>5.4</v>
      </c>
      <c r="H562">
        <v>1.2</v>
      </c>
      <c r="I562">
        <v>0.9</v>
      </c>
      <c r="J562">
        <v>56.126477890366417</v>
      </c>
      <c r="K562">
        <v>1500</v>
      </c>
      <c r="L562">
        <v>0</v>
      </c>
      <c r="N562">
        <v>29</v>
      </c>
      <c r="O562" s="60" t="s">
        <v>2094</v>
      </c>
      <c r="P562" t="s">
        <v>750</v>
      </c>
      <c r="Q562" t="s">
        <v>2396</v>
      </c>
    </row>
    <row r="563" spans="1:17" x14ac:dyDescent="0.25">
      <c r="A563" t="s">
        <v>19</v>
      </c>
      <c r="B563">
        <v>140</v>
      </c>
      <c r="C563">
        <v>127.65</v>
      </c>
      <c r="D563">
        <v>5.4</v>
      </c>
      <c r="E563">
        <v>140</v>
      </c>
      <c r="F563">
        <v>129</v>
      </c>
      <c r="G563">
        <v>5.4</v>
      </c>
      <c r="H563">
        <v>1.2</v>
      </c>
      <c r="I563">
        <v>0.9</v>
      </c>
      <c r="J563">
        <v>0.60616596121595478</v>
      </c>
      <c r="K563">
        <v>1500</v>
      </c>
      <c r="L563">
        <v>0</v>
      </c>
      <c r="N563">
        <v>29</v>
      </c>
      <c r="O563" s="60" t="s">
        <v>2095</v>
      </c>
      <c r="P563" t="s">
        <v>751</v>
      </c>
      <c r="Q563" t="s">
        <v>1964</v>
      </c>
    </row>
    <row r="564" spans="1:17" x14ac:dyDescent="0.25">
      <c r="A564" t="s">
        <v>19</v>
      </c>
      <c r="B564">
        <v>140</v>
      </c>
      <c r="C564">
        <v>129</v>
      </c>
      <c r="D564">
        <v>5.4</v>
      </c>
      <c r="E564">
        <v>15</v>
      </c>
      <c r="F564">
        <v>129</v>
      </c>
      <c r="G564">
        <v>5.4</v>
      </c>
      <c r="H564">
        <v>1.2</v>
      </c>
      <c r="I564">
        <v>0.9</v>
      </c>
      <c r="J564">
        <v>56.126477890366417</v>
      </c>
      <c r="K564">
        <v>1500</v>
      </c>
      <c r="L564">
        <v>0</v>
      </c>
      <c r="N564">
        <v>29</v>
      </c>
      <c r="O564" s="60" t="s">
        <v>2096</v>
      </c>
      <c r="P564" t="s">
        <v>752</v>
      </c>
      <c r="Q564" t="s">
        <v>2397</v>
      </c>
    </row>
    <row r="565" spans="1:17" x14ac:dyDescent="0.25">
      <c r="A565" t="s">
        <v>49</v>
      </c>
      <c r="B565" t="s">
        <v>811</v>
      </c>
      <c r="N565">
        <v>29</v>
      </c>
      <c r="O565" s="60" t="s">
        <v>918</v>
      </c>
      <c r="P565" t="s">
        <v>749</v>
      </c>
      <c r="Q565" t="s">
        <v>811</v>
      </c>
    </row>
    <row r="566" spans="1:17" x14ac:dyDescent="0.25">
      <c r="A566" t="s">
        <v>49</v>
      </c>
      <c r="B566" t="s">
        <v>203</v>
      </c>
      <c r="C566">
        <v>1</v>
      </c>
      <c r="N566">
        <v>29</v>
      </c>
      <c r="O566" s="60" t="s">
        <v>919</v>
      </c>
      <c r="P566" t="s">
        <v>754</v>
      </c>
      <c r="Q566" t="s">
        <v>468</v>
      </c>
    </row>
    <row r="567" spans="1:17" x14ac:dyDescent="0.25">
      <c r="A567" t="s">
        <v>49</v>
      </c>
      <c r="B567" t="s">
        <v>634</v>
      </c>
      <c r="N567">
        <v>29</v>
      </c>
      <c r="O567" s="60" t="s">
        <v>920</v>
      </c>
      <c r="P567" t="s">
        <v>758</v>
      </c>
      <c r="Q567" t="s">
        <v>634</v>
      </c>
    </row>
    <row r="568" spans="1:17" x14ac:dyDescent="0.25">
      <c r="A568" t="s">
        <v>23</v>
      </c>
      <c r="B568">
        <v>15</v>
      </c>
      <c r="C568">
        <v>129</v>
      </c>
      <c r="D568">
        <v>5.4</v>
      </c>
      <c r="E568">
        <v>141.35</v>
      </c>
      <c r="F568">
        <v>76.349999999999994</v>
      </c>
      <c r="G568">
        <v>5.4001000000000001</v>
      </c>
      <c r="H568">
        <v>0</v>
      </c>
      <c r="I568">
        <v>0</v>
      </c>
      <c r="K568">
        <v>48000</v>
      </c>
      <c r="N568">
        <v>0</v>
      </c>
      <c r="O568" s="60">
        <v>0</v>
      </c>
      <c r="P568" t="s">
        <v>661</v>
      </c>
      <c r="Q568" t="s">
        <v>2400</v>
      </c>
    </row>
    <row r="569" spans="1:17" x14ac:dyDescent="0.25">
      <c r="A569" t="s">
        <v>19</v>
      </c>
      <c r="B569">
        <v>141.35</v>
      </c>
      <c r="C569">
        <v>76.349999999999994</v>
      </c>
      <c r="D569">
        <v>5.4001000000000001</v>
      </c>
      <c r="E569">
        <v>16.349999999999994</v>
      </c>
      <c r="F569">
        <v>76.349999999999994</v>
      </c>
      <c r="G569">
        <v>5.4001000000000001</v>
      </c>
      <c r="H569">
        <v>1.2</v>
      </c>
      <c r="I569">
        <v>0.9</v>
      </c>
      <c r="J569">
        <v>56.126477890366417</v>
      </c>
      <c r="K569">
        <v>1500</v>
      </c>
      <c r="L569">
        <v>0</v>
      </c>
      <c r="N569">
        <v>29</v>
      </c>
      <c r="O569" s="60" t="s">
        <v>2097</v>
      </c>
      <c r="P569" t="s">
        <v>1984</v>
      </c>
      <c r="Q569" t="s">
        <v>2393</v>
      </c>
    </row>
    <row r="570" spans="1:17" x14ac:dyDescent="0.25">
      <c r="A570" t="s">
        <v>19</v>
      </c>
      <c r="B570">
        <v>16.349999999999994</v>
      </c>
      <c r="C570">
        <v>76.349999999999994</v>
      </c>
      <c r="D570">
        <v>5.4001000000000001</v>
      </c>
      <c r="E570">
        <v>16.349999999999994</v>
      </c>
      <c r="F570">
        <v>77.699999999999989</v>
      </c>
      <c r="G570">
        <v>5.4001000000000001</v>
      </c>
      <c r="H570">
        <v>1.2</v>
      </c>
      <c r="I570">
        <v>0.9</v>
      </c>
      <c r="J570">
        <v>0.60616596121595478</v>
      </c>
      <c r="K570">
        <v>1500</v>
      </c>
      <c r="L570">
        <v>0</v>
      </c>
      <c r="N570">
        <v>29</v>
      </c>
      <c r="O570" s="60" t="s">
        <v>2098</v>
      </c>
      <c r="P570" t="s">
        <v>1986</v>
      </c>
      <c r="Q570" t="s">
        <v>876</v>
      </c>
    </row>
    <row r="571" spans="1:17" x14ac:dyDescent="0.25">
      <c r="A571" t="s">
        <v>19</v>
      </c>
      <c r="B571">
        <v>16.349999999999994</v>
      </c>
      <c r="C571">
        <v>77.699999999999989</v>
      </c>
      <c r="D571">
        <v>5.4001000000000001</v>
      </c>
      <c r="E571">
        <v>141.35</v>
      </c>
      <c r="F571">
        <v>77.699999999999989</v>
      </c>
      <c r="G571">
        <v>5.4001000000000001</v>
      </c>
      <c r="H571">
        <v>1.2</v>
      </c>
      <c r="I571">
        <v>0.9</v>
      </c>
      <c r="J571">
        <v>56.126477890366417</v>
      </c>
      <c r="K571">
        <v>1500</v>
      </c>
      <c r="L571">
        <v>0</v>
      </c>
      <c r="N571">
        <v>29</v>
      </c>
      <c r="O571" s="60" t="s">
        <v>2099</v>
      </c>
      <c r="P571" t="s">
        <v>1988</v>
      </c>
      <c r="Q571" t="s">
        <v>2394</v>
      </c>
    </row>
    <row r="572" spans="1:17" x14ac:dyDescent="0.25">
      <c r="A572" t="s">
        <v>19</v>
      </c>
      <c r="B572">
        <v>141.35</v>
      </c>
      <c r="C572">
        <v>77.699999999999989</v>
      </c>
      <c r="D572">
        <v>5.4001000000000001</v>
      </c>
      <c r="E572">
        <v>141.35</v>
      </c>
      <c r="F572">
        <v>81.749999999999986</v>
      </c>
      <c r="G572">
        <v>5.4001000000000001</v>
      </c>
      <c r="H572">
        <v>1.2</v>
      </c>
      <c r="I572">
        <v>0.9</v>
      </c>
      <c r="J572">
        <v>1.8184978836478705</v>
      </c>
      <c r="K572">
        <v>1500</v>
      </c>
      <c r="L572">
        <v>0</v>
      </c>
      <c r="N572">
        <v>29</v>
      </c>
      <c r="O572" s="60" t="s">
        <v>2100</v>
      </c>
      <c r="P572" t="s">
        <v>1990</v>
      </c>
      <c r="Q572" t="s">
        <v>877</v>
      </c>
    </row>
    <row r="573" spans="1:17" x14ac:dyDescent="0.25">
      <c r="A573" t="s">
        <v>19</v>
      </c>
      <c r="B573">
        <v>141.35</v>
      </c>
      <c r="C573">
        <v>81.75</v>
      </c>
      <c r="D573">
        <v>5.4001000000000001</v>
      </c>
      <c r="E573">
        <v>16.349999999999994</v>
      </c>
      <c r="F573">
        <v>81.75</v>
      </c>
      <c r="G573">
        <v>5.4001000000000001</v>
      </c>
      <c r="H573">
        <v>1.2</v>
      </c>
      <c r="I573">
        <v>0.9</v>
      </c>
      <c r="J573">
        <v>56.126477890366417</v>
      </c>
      <c r="K573">
        <v>1500</v>
      </c>
      <c r="L573">
        <v>0</v>
      </c>
      <c r="N573">
        <v>29</v>
      </c>
      <c r="O573" s="60" t="s">
        <v>1310</v>
      </c>
      <c r="P573" t="s">
        <v>824</v>
      </c>
      <c r="Q573" t="s">
        <v>2395</v>
      </c>
    </row>
    <row r="574" spans="1:17" x14ac:dyDescent="0.25">
      <c r="A574" t="s">
        <v>19</v>
      </c>
      <c r="B574">
        <v>16.349999999999994</v>
      </c>
      <c r="C574">
        <v>81.75</v>
      </c>
      <c r="D574">
        <v>5.4001000000000001</v>
      </c>
      <c r="E574">
        <v>16.349999999999994</v>
      </c>
      <c r="F574">
        <v>83.1</v>
      </c>
      <c r="G574">
        <v>5.4001000000000001</v>
      </c>
      <c r="H574">
        <v>1.2</v>
      </c>
      <c r="I574">
        <v>0.9</v>
      </c>
      <c r="J574">
        <v>0.60616596121595478</v>
      </c>
      <c r="K574">
        <v>1500</v>
      </c>
      <c r="L574">
        <v>0</v>
      </c>
      <c r="N574">
        <v>29</v>
      </c>
      <c r="O574" s="60" t="s">
        <v>1311</v>
      </c>
      <c r="P574" t="s">
        <v>825</v>
      </c>
      <c r="Q574" t="s">
        <v>1024</v>
      </c>
    </row>
    <row r="575" spans="1:17" x14ac:dyDescent="0.25">
      <c r="A575" t="s">
        <v>19</v>
      </c>
      <c r="B575">
        <v>16.349999999999994</v>
      </c>
      <c r="C575">
        <v>83.1</v>
      </c>
      <c r="D575">
        <v>5.4001000000000001</v>
      </c>
      <c r="E575">
        <v>141.35</v>
      </c>
      <c r="F575">
        <v>83.1</v>
      </c>
      <c r="G575">
        <v>5.4001000000000001</v>
      </c>
      <c r="H575">
        <v>1.2</v>
      </c>
      <c r="I575">
        <v>0.9</v>
      </c>
      <c r="J575">
        <v>56.126477890366417</v>
      </c>
      <c r="K575">
        <v>1500</v>
      </c>
      <c r="L575">
        <v>0</v>
      </c>
      <c r="N575">
        <v>29</v>
      </c>
      <c r="O575" s="60" t="s">
        <v>1312</v>
      </c>
      <c r="P575" t="s">
        <v>755</v>
      </c>
      <c r="Q575" t="s">
        <v>2394</v>
      </c>
    </row>
    <row r="576" spans="1:17" x14ac:dyDescent="0.25">
      <c r="A576" t="s">
        <v>19</v>
      </c>
      <c r="B576">
        <v>141.35</v>
      </c>
      <c r="C576">
        <v>83.1</v>
      </c>
      <c r="D576">
        <v>5.4001000000000001</v>
      </c>
      <c r="E576">
        <v>141.35</v>
      </c>
      <c r="F576">
        <v>87.149999999999991</v>
      </c>
      <c r="G576">
        <v>5.4001000000000001</v>
      </c>
      <c r="H576">
        <v>1.2</v>
      </c>
      <c r="I576">
        <v>0.9</v>
      </c>
      <c r="J576">
        <v>1.8184978836478705</v>
      </c>
      <c r="K576">
        <v>1500</v>
      </c>
      <c r="L576">
        <v>0</v>
      </c>
      <c r="N576">
        <v>29</v>
      </c>
      <c r="O576" s="60" t="s">
        <v>1313</v>
      </c>
      <c r="P576" t="s">
        <v>756</v>
      </c>
      <c r="Q576" t="s">
        <v>1025</v>
      </c>
    </row>
    <row r="577" spans="1:17" x14ac:dyDescent="0.25">
      <c r="A577" t="s">
        <v>19</v>
      </c>
      <c r="B577">
        <v>141.35</v>
      </c>
      <c r="C577">
        <v>87.149999999999991</v>
      </c>
      <c r="D577">
        <v>5.4001000000000001</v>
      </c>
      <c r="E577">
        <v>16.349999999999994</v>
      </c>
      <c r="F577">
        <v>87.149999999999991</v>
      </c>
      <c r="G577">
        <v>5.4001000000000001</v>
      </c>
      <c r="H577">
        <v>1.2</v>
      </c>
      <c r="I577">
        <v>0.9</v>
      </c>
      <c r="J577">
        <v>56.126477890366417</v>
      </c>
      <c r="K577">
        <v>1500</v>
      </c>
      <c r="L577">
        <v>0</v>
      </c>
      <c r="N577">
        <v>29</v>
      </c>
      <c r="O577" s="60" t="s">
        <v>1314</v>
      </c>
      <c r="P577" t="s">
        <v>824</v>
      </c>
      <c r="Q577" t="s">
        <v>2395</v>
      </c>
    </row>
    <row r="578" spans="1:17" x14ac:dyDescent="0.25">
      <c r="A578" t="s">
        <v>19</v>
      </c>
      <c r="B578">
        <v>16.349999999999994</v>
      </c>
      <c r="C578">
        <v>87.149999999999991</v>
      </c>
      <c r="D578">
        <v>5.4001000000000001</v>
      </c>
      <c r="E578">
        <v>16.349999999999994</v>
      </c>
      <c r="F578">
        <v>88.499999999999986</v>
      </c>
      <c r="G578">
        <v>5.4001000000000001</v>
      </c>
      <c r="H578">
        <v>1.2</v>
      </c>
      <c r="I578">
        <v>0.9</v>
      </c>
      <c r="J578">
        <v>0.60616596121595478</v>
      </c>
      <c r="K578">
        <v>1500</v>
      </c>
      <c r="L578">
        <v>0</v>
      </c>
      <c r="N578">
        <v>29</v>
      </c>
      <c r="O578" s="60" t="s">
        <v>1315</v>
      </c>
      <c r="P578" t="s">
        <v>825</v>
      </c>
      <c r="Q578" t="s">
        <v>1026</v>
      </c>
    </row>
    <row r="579" spans="1:17" x14ac:dyDescent="0.25">
      <c r="A579" t="s">
        <v>19</v>
      </c>
      <c r="B579">
        <v>16.349999999999994</v>
      </c>
      <c r="C579">
        <v>88.499999999999986</v>
      </c>
      <c r="D579">
        <v>5.4001000000000001</v>
      </c>
      <c r="E579">
        <v>141.35</v>
      </c>
      <c r="F579">
        <v>88.499999999999986</v>
      </c>
      <c r="G579">
        <v>5.4001000000000001</v>
      </c>
      <c r="H579">
        <v>1.2</v>
      </c>
      <c r="I579">
        <v>0.9</v>
      </c>
      <c r="J579">
        <v>56.126477890366417</v>
      </c>
      <c r="K579">
        <v>1500</v>
      </c>
      <c r="L579">
        <v>0</v>
      </c>
      <c r="N579">
        <v>29</v>
      </c>
      <c r="O579" s="60" t="s">
        <v>1316</v>
      </c>
      <c r="P579" t="s">
        <v>755</v>
      </c>
      <c r="Q579" t="s">
        <v>2394</v>
      </c>
    </row>
    <row r="580" spans="1:17" x14ac:dyDescent="0.25">
      <c r="A580" t="s">
        <v>19</v>
      </c>
      <c r="B580">
        <v>141.35</v>
      </c>
      <c r="C580">
        <v>88.499999999999986</v>
      </c>
      <c r="D580">
        <v>5.4001000000000001</v>
      </c>
      <c r="E580">
        <v>141.35</v>
      </c>
      <c r="F580">
        <v>92.549999999999983</v>
      </c>
      <c r="G580">
        <v>5.4001000000000001</v>
      </c>
      <c r="H580">
        <v>1.2</v>
      </c>
      <c r="I580">
        <v>0.9</v>
      </c>
      <c r="J580">
        <v>1.8184978836478705</v>
      </c>
      <c r="K580">
        <v>1500</v>
      </c>
      <c r="L580">
        <v>0</v>
      </c>
      <c r="N580">
        <v>29</v>
      </c>
      <c r="O580" s="60" t="s">
        <v>1317</v>
      </c>
      <c r="P580" t="s">
        <v>756</v>
      </c>
      <c r="Q580" t="s">
        <v>1027</v>
      </c>
    </row>
    <row r="581" spans="1:17" x14ac:dyDescent="0.25">
      <c r="A581" t="s">
        <v>19</v>
      </c>
      <c r="B581">
        <v>141.35</v>
      </c>
      <c r="C581">
        <v>92.55</v>
      </c>
      <c r="D581">
        <v>5.4001000000000001</v>
      </c>
      <c r="E581">
        <v>16.349999999999994</v>
      </c>
      <c r="F581">
        <v>92.55</v>
      </c>
      <c r="G581">
        <v>5.4001000000000001</v>
      </c>
      <c r="H581">
        <v>1.2</v>
      </c>
      <c r="I581">
        <v>0.9</v>
      </c>
      <c r="J581">
        <v>56.126477890366417</v>
      </c>
      <c r="K581">
        <v>1500</v>
      </c>
      <c r="L581">
        <v>0</v>
      </c>
      <c r="N581">
        <v>29</v>
      </c>
      <c r="O581" s="60" t="s">
        <v>1318</v>
      </c>
      <c r="P581" t="s">
        <v>824</v>
      </c>
      <c r="Q581" t="s">
        <v>2395</v>
      </c>
    </row>
    <row r="582" spans="1:17" x14ac:dyDescent="0.25">
      <c r="A582" t="s">
        <v>19</v>
      </c>
      <c r="B582">
        <v>16.349999999999994</v>
      </c>
      <c r="C582">
        <v>92.55</v>
      </c>
      <c r="D582">
        <v>5.4001000000000001</v>
      </c>
      <c r="E582">
        <v>16.349999999999994</v>
      </c>
      <c r="F582">
        <v>93.899999999999991</v>
      </c>
      <c r="G582">
        <v>5.4001000000000001</v>
      </c>
      <c r="H582">
        <v>1.2</v>
      </c>
      <c r="I582">
        <v>0.9</v>
      </c>
      <c r="J582">
        <v>0.60616596121595478</v>
      </c>
      <c r="K582">
        <v>1500</v>
      </c>
      <c r="L582">
        <v>0</v>
      </c>
      <c r="N582">
        <v>29</v>
      </c>
      <c r="O582" s="60" t="s">
        <v>1319</v>
      </c>
      <c r="P582" t="s">
        <v>825</v>
      </c>
      <c r="Q582" t="s">
        <v>1028</v>
      </c>
    </row>
    <row r="583" spans="1:17" x14ac:dyDescent="0.25">
      <c r="A583" t="s">
        <v>19</v>
      </c>
      <c r="B583">
        <v>16.349999999999994</v>
      </c>
      <c r="C583">
        <v>93.899999999999991</v>
      </c>
      <c r="D583">
        <v>5.4001000000000001</v>
      </c>
      <c r="E583">
        <v>141.35</v>
      </c>
      <c r="F583">
        <v>93.899999999999991</v>
      </c>
      <c r="G583">
        <v>5.4001000000000001</v>
      </c>
      <c r="H583">
        <v>1.2</v>
      </c>
      <c r="I583">
        <v>0.9</v>
      </c>
      <c r="J583">
        <v>56.126477890366417</v>
      </c>
      <c r="K583">
        <v>1500</v>
      </c>
      <c r="L583">
        <v>0</v>
      </c>
      <c r="N583">
        <v>29</v>
      </c>
      <c r="O583" s="60" t="s">
        <v>1320</v>
      </c>
      <c r="P583" t="s">
        <v>755</v>
      </c>
      <c r="Q583" t="s">
        <v>2394</v>
      </c>
    </row>
    <row r="584" spans="1:17" x14ac:dyDescent="0.25">
      <c r="A584" t="s">
        <v>19</v>
      </c>
      <c r="B584">
        <v>141.35</v>
      </c>
      <c r="C584">
        <v>93.899999999999991</v>
      </c>
      <c r="D584">
        <v>5.4001000000000001</v>
      </c>
      <c r="E584">
        <v>141.35</v>
      </c>
      <c r="F584">
        <v>97.949999999999989</v>
      </c>
      <c r="G584">
        <v>5.4001000000000001</v>
      </c>
      <c r="H584">
        <v>1.2</v>
      </c>
      <c r="I584">
        <v>0.9</v>
      </c>
      <c r="J584">
        <v>1.8184978836478705</v>
      </c>
      <c r="K584">
        <v>1500</v>
      </c>
      <c r="L584">
        <v>0</v>
      </c>
      <c r="N584">
        <v>29</v>
      </c>
      <c r="O584" s="60" t="s">
        <v>1321</v>
      </c>
      <c r="P584" t="s">
        <v>756</v>
      </c>
      <c r="Q584" t="s">
        <v>1029</v>
      </c>
    </row>
    <row r="585" spans="1:17" x14ac:dyDescent="0.25">
      <c r="A585" t="s">
        <v>19</v>
      </c>
      <c r="B585">
        <v>141.35</v>
      </c>
      <c r="C585">
        <v>97.949999999999989</v>
      </c>
      <c r="D585">
        <v>5.4001000000000001</v>
      </c>
      <c r="E585">
        <v>16.349999999999994</v>
      </c>
      <c r="F585">
        <v>97.949999999999989</v>
      </c>
      <c r="G585">
        <v>5.4001000000000001</v>
      </c>
      <c r="H585">
        <v>1.2</v>
      </c>
      <c r="I585">
        <v>0.9</v>
      </c>
      <c r="J585">
        <v>56.126477890366417</v>
      </c>
      <c r="K585">
        <v>1500</v>
      </c>
      <c r="L585">
        <v>0</v>
      </c>
      <c r="N585">
        <v>29</v>
      </c>
      <c r="O585" s="60" t="s">
        <v>1322</v>
      </c>
      <c r="P585" t="s">
        <v>824</v>
      </c>
      <c r="Q585" t="s">
        <v>2395</v>
      </c>
    </row>
    <row r="586" spans="1:17" x14ac:dyDescent="0.25">
      <c r="A586" t="s">
        <v>19</v>
      </c>
      <c r="B586">
        <v>16.349999999999994</v>
      </c>
      <c r="C586">
        <v>97.949999999999989</v>
      </c>
      <c r="D586">
        <v>5.4001000000000001</v>
      </c>
      <c r="E586">
        <v>16.349999999999994</v>
      </c>
      <c r="F586">
        <v>99.299999999999983</v>
      </c>
      <c r="G586">
        <v>5.4001000000000001</v>
      </c>
      <c r="H586">
        <v>1.2</v>
      </c>
      <c r="I586">
        <v>0.9</v>
      </c>
      <c r="J586">
        <v>0.60616596121595478</v>
      </c>
      <c r="K586">
        <v>1500</v>
      </c>
      <c r="L586">
        <v>0</v>
      </c>
      <c r="N586">
        <v>29</v>
      </c>
      <c r="O586" s="60" t="s">
        <v>1323</v>
      </c>
      <c r="P586" t="s">
        <v>825</v>
      </c>
      <c r="Q586" t="s">
        <v>1030</v>
      </c>
    </row>
    <row r="587" spans="1:17" x14ac:dyDescent="0.25">
      <c r="A587" t="s">
        <v>19</v>
      </c>
      <c r="B587">
        <v>16.349999999999994</v>
      </c>
      <c r="C587">
        <v>99.299999999999983</v>
      </c>
      <c r="D587">
        <v>5.4001000000000001</v>
      </c>
      <c r="E587">
        <v>141.35</v>
      </c>
      <c r="F587">
        <v>99.299999999999983</v>
      </c>
      <c r="G587">
        <v>5.4001000000000001</v>
      </c>
      <c r="H587">
        <v>1.2</v>
      </c>
      <c r="I587">
        <v>0.9</v>
      </c>
      <c r="J587">
        <v>56.126477890366417</v>
      </c>
      <c r="K587">
        <v>1500</v>
      </c>
      <c r="L587">
        <v>0</v>
      </c>
      <c r="N587">
        <v>29</v>
      </c>
      <c r="O587" s="60" t="s">
        <v>1324</v>
      </c>
      <c r="P587" t="s">
        <v>755</v>
      </c>
      <c r="Q587" t="s">
        <v>2394</v>
      </c>
    </row>
    <row r="588" spans="1:17" x14ac:dyDescent="0.25">
      <c r="A588" t="s">
        <v>19</v>
      </c>
      <c r="B588">
        <v>141.35</v>
      </c>
      <c r="C588">
        <v>99.299999999999983</v>
      </c>
      <c r="D588">
        <v>5.4001000000000001</v>
      </c>
      <c r="E588">
        <v>141.35</v>
      </c>
      <c r="F588">
        <v>103.35</v>
      </c>
      <c r="G588">
        <v>5.4001000000000001</v>
      </c>
      <c r="H588">
        <v>1.2</v>
      </c>
      <c r="I588">
        <v>0.9</v>
      </c>
      <c r="J588">
        <v>1.8184978836478705</v>
      </c>
      <c r="K588">
        <v>1500</v>
      </c>
      <c r="L588">
        <v>0</v>
      </c>
      <c r="N588">
        <v>29</v>
      </c>
      <c r="O588" s="60" t="s">
        <v>1325</v>
      </c>
      <c r="P588" t="s">
        <v>756</v>
      </c>
      <c r="Q588" t="s">
        <v>1031</v>
      </c>
    </row>
    <row r="589" spans="1:17" x14ac:dyDescent="0.25">
      <c r="A589" t="s">
        <v>19</v>
      </c>
      <c r="B589">
        <v>141.35</v>
      </c>
      <c r="C589">
        <v>103.35</v>
      </c>
      <c r="D589">
        <v>5.4001000000000001</v>
      </c>
      <c r="E589">
        <v>16.349999999999994</v>
      </c>
      <c r="F589">
        <v>103.35</v>
      </c>
      <c r="G589">
        <v>5.4001000000000001</v>
      </c>
      <c r="H589">
        <v>1.2</v>
      </c>
      <c r="I589">
        <v>0.9</v>
      </c>
      <c r="J589">
        <v>56.126477890366417</v>
      </c>
      <c r="K589">
        <v>1500</v>
      </c>
      <c r="L589">
        <v>0</v>
      </c>
      <c r="N589">
        <v>29</v>
      </c>
      <c r="O589" s="60" t="s">
        <v>1326</v>
      </c>
      <c r="P589" t="s">
        <v>824</v>
      </c>
      <c r="Q589" t="s">
        <v>2395</v>
      </c>
    </row>
    <row r="590" spans="1:17" x14ac:dyDescent="0.25">
      <c r="A590" t="s">
        <v>19</v>
      </c>
      <c r="B590">
        <v>16.349999999999994</v>
      </c>
      <c r="C590">
        <v>103.35</v>
      </c>
      <c r="D590">
        <v>5.4001000000000001</v>
      </c>
      <c r="E590">
        <v>16.349999999999994</v>
      </c>
      <c r="F590">
        <v>104.69999999999999</v>
      </c>
      <c r="G590">
        <v>5.4001000000000001</v>
      </c>
      <c r="H590">
        <v>1.2</v>
      </c>
      <c r="I590">
        <v>0.9</v>
      </c>
      <c r="J590">
        <v>0.60616596121595478</v>
      </c>
      <c r="K590">
        <v>1500</v>
      </c>
      <c r="L590">
        <v>0</v>
      </c>
      <c r="N590">
        <v>29</v>
      </c>
      <c r="O590" s="60" t="s">
        <v>1327</v>
      </c>
      <c r="P590" t="s">
        <v>825</v>
      </c>
      <c r="Q590" t="s">
        <v>1032</v>
      </c>
    </row>
    <row r="591" spans="1:17" x14ac:dyDescent="0.25">
      <c r="A591" t="s">
        <v>19</v>
      </c>
      <c r="B591">
        <v>16.349999999999994</v>
      </c>
      <c r="C591">
        <v>104.69999999999999</v>
      </c>
      <c r="D591">
        <v>5.4001000000000001</v>
      </c>
      <c r="E591">
        <v>141.35</v>
      </c>
      <c r="F591">
        <v>104.69999999999999</v>
      </c>
      <c r="G591">
        <v>5.4001000000000001</v>
      </c>
      <c r="H591">
        <v>1.2</v>
      </c>
      <c r="I591">
        <v>0.9</v>
      </c>
      <c r="J591">
        <v>56.126477890366417</v>
      </c>
      <c r="K591">
        <v>1500</v>
      </c>
      <c r="L591">
        <v>0</v>
      </c>
      <c r="N591">
        <v>29</v>
      </c>
      <c r="O591" s="60" t="s">
        <v>1328</v>
      </c>
      <c r="P591" t="s">
        <v>755</v>
      </c>
      <c r="Q591" t="s">
        <v>2394</v>
      </c>
    </row>
    <row r="592" spans="1:17" x14ac:dyDescent="0.25">
      <c r="A592" t="s">
        <v>19</v>
      </c>
      <c r="B592">
        <v>141.35</v>
      </c>
      <c r="C592">
        <v>104.69999999999999</v>
      </c>
      <c r="D592">
        <v>5.4001000000000001</v>
      </c>
      <c r="E592">
        <v>141.35</v>
      </c>
      <c r="F592">
        <v>108.74999999999999</v>
      </c>
      <c r="G592">
        <v>5.4001000000000001</v>
      </c>
      <c r="H592">
        <v>1.2</v>
      </c>
      <c r="I592">
        <v>0.9</v>
      </c>
      <c r="J592">
        <v>1.8184978836478705</v>
      </c>
      <c r="K592">
        <v>1500</v>
      </c>
      <c r="L592">
        <v>0</v>
      </c>
      <c r="N592">
        <v>29</v>
      </c>
      <c r="O592" s="60" t="s">
        <v>1329</v>
      </c>
      <c r="P592" t="s">
        <v>756</v>
      </c>
      <c r="Q592" t="s">
        <v>1033</v>
      </c>
    </row>
    <row r="593" spans="1:17" x14ac:dyDescent="0.25">
      <c r="A593" t="s">
        <v>19</v>
      </c>
      <c r="B593">
        <v>141.35</v>
      </c>
      <c r="C593">
        <v>108.75</v>
      </c>
      <c r="D593">
        <v>5.4001000000000001</v>
      </c>
      <c r="E593">
        <v>16.349999999999994</v>
      </c>
      <c r="F593">
        <v>108.75</v>
      </c>
      <c r="G593">
        <v>5.4001000000000001</v>
      </c>
      <c r="H593">
        <v>1.2</v>
      </c>
      <c r="I593">
        <v>0.9</v>
      </c>
      <c r="J593">
        <v>56.126477890366417</v>
      </c>
      <c r="K593">
        <v>1500</v>
      </c>
      <c r="L593">
        <v>0</v>
      </c>
      <c r="N593">
        <v>29</v>
      </c>
      <c r="O593" s="60" t="s">
        <v>1330</v>
      </c>
      <c r="P593" t="s">
        <v>824</v>
      </c>
      <c r="Q593" t="s">
        <v>2395</v>
      </c>
    </row>
    <row r="594" spans="1:17" x14ac:dyDescent="0.25">
      <c r="A594" t="s">
        <v>19</v>
      </c>
      <c r="B594">
        <v>16.349999999999994</v>
      </c>
      <c r="C594">
        <v>108.75</v>
      </c>
      <c r="D594">
        <v>5.4001000000000001</v>
      </c>
      <c r="E594">
        <v>16.349999999999994</v>
      </c>
      <c r="F594">
        <v>110.1</v>
      </c>
      <c r="G594">
        <v>5.4001000000000001</v>
      </c>
      <c r="H594">
        <v>1.2</v>
      </c>
      <c r="I594">
        <v>0.9</v>
      </c>
      <c r="J594">
        <v>0.60616596121595478</v>
      </c>
      <c r="K594">
        <v>1500</v>
      </c>
      <c r="L594">
        <v>0</v>
      </c>
      <c r="N594">
        <v>29</v>
      </c>
      <c r="O594" s="60" t="s">
        <v>1331</v>
      </c>
      <c r="P594" t="s">
        <v>825</v>
      </c>
      <c r="Q594" t="s">
        <v>1034</v>
      </c>
    </row>
    <row r="595" spans="1:17" x14ac:dyDescent="0.25">
      <c r="A595" t="s">
        <v>19</v>
      </c>
      <c r="B595">
        <v>16.349999999999994</v>
      </c>
      <c r="C595">
        <v>110.1</v>
      </c>
      <c r="D595">
        <v>5.4001000000000001</v>
      </c>
      <c r="E595">
        <v>141.35</v>
      </c>
      <c r="F595">
        <v>110.1</v>
      </c>
      <c r="G595">
        <v>5.4001000000000001</v>
      </c>
      <c r="H595">
        <v>1.2</v>
      </c>
      <c r="I595">
        <v>0.9</v>
      </c>
      <c r="J595">
        <v>56.126477890366417</v>
      </c>
      <c r="K595">
        <v>1500</v>
      </c>
      <c r="L595">
        <v>0</v>
      </c>
      <c r="N595">
        <v>29</v>
      </c>
      <c r="O595" s="60" t="s">
        <v>1332</v>
      </c>
      <c r="P595" t="s">
        <v>755</v>
      </c>
      <c r="Q595" t="s">
        <v>2394</v>
      </c>
    </row>
    <row r="596" spans="1:17" x14ac:dyDescent="0.25">
      <c r="A596" t="s">
        <v>19</v>
      </c>
      <c r="B596">
        <v>141.35</v>
      </c>
      <c r="C596">
        <v>110.1</v>
      </c>
      <c r="D596">
        <v>5.4001000000000001</v>
      </c>
      <c r="E596">
        <v>141.35</v>
      </c>
      <c r="F596">
        <v>114.14999999999999</v>
      </c>
      <c r="G596">
        <v>5.4001000000000001</v>
      </c>
      <c r="H596">
        <v>1.2</v>
      </c>
      <c r="I596">
        <v>0.9</v>
      </c>
      <c r="J596">
        <v>1.8184978836478705</v>
      </c>
      <c r="K596">
        <v>1500</v>
      </c>
      <c r="L596">
        <v>0</v>
      </c>
      <c r="N596">
        <v>29</v>
      </c>
      <c r="O596" s="60" t="s">
        <v>1333</v>
      </c>
      <c r="P596" t="s">
        <v>756</v>
      </c>
      <c r="Q596" t="s">
        <v>1035</v>
      </c>
    </row>
    <row r="597" spans="1:17" x14ac:dyDescent="0.25">
      <c r="A597" t="s">
        <v>19</v>
      </c>
      <c r="B597">
        <v>141.35</v>
      </c>
      <c r="C597">
        <v>114.14999999999999</v>
      </c>
      <c r="D597">
        <v>5.4001000000000001</v>
      </c>
      <c r="E597">
        <v>16.349999999999994</v>
      </c>
      <c r="F597">
        <v>114.14999999999999</v>
      </c>
      <c r="G597">
        <v>5.4001000000000001</v>
      </c>
      <c r="H597">
        <v>1.2</v>
      </c>
      <c r="I597">
        <v>0.9</v>
      </c>
      <c r="J597">
        <v>56.126477890366417</v>
      </c>
      <c r="K597">
        <v>1500</v>
      </c>
      <c r="L597">
        <v>0</v>
      </c>
      <c r="N597">
        <v>29</v>
      </c>
      <c r="O597" s="60" t="s">
        <v>1334</v>
      </c>
      <c r="P597" t="s">
        <v>824</v>
      </c>
      <c r="Q597" t="s">
        <v>2395</v>
      </c>
    </row>
    <row r="598" spans="1:17" x14ac:dyDescent="0.25">
      <c r="A598" t="s">
        <v>19</v>
      </c>
      <c r="B598">
        <v>16.349999999999994</v>
      </c>
      <c r="C598">
        <v>114.14999999999999</v>
      </c>
      <c r="D598">
        <v>5.4001000000000001</v>
      </c>
      <c r="E598">
        <v>16.349999999999994</v>
      </c>
      <c r="F598">
        <v>115.49999999999999</v>
      </c>
      <c r="G598">
        <v>5.4001000000000001</v>
      </c>
      <c r="H598">
        <v>1.2</v>
      </c>
      <c r="I598">
        <v>0.9</v>
      </c>
      <c r="J598">
        <v>0.60616596121595478</v>
      </c>
      <c r="K598">
        <v>1500</v>
      </c>
      <c r="L598">
        <v>0</v>
      </c>
      <c r="N598">
        <v>29</v>
      </c>
      <c r="O598" s="60" t="s">
        <v>1335</v>
      </c>
      <c r="P598" t="s">
        <v>825</v>
      </c>
      <c r="Q598" t="s">
        <v>1036</v>
      </c>
    </row>
    <row r="599" spans="1:17" x14ac:dyDescent="0.25">
      <c r="A599" t="s">
        <v>19</v>
      </c>
      <c r="B599">
        <v>16.349999999999994</v>
      </c>
      <c r="C599">
        <v>115.49999999999999</v>
      </c>
      <c r="D599">
        <v>5.4001000000000001</v>
      </c>
      <c r="E599">
        <v>141.35</v>
      </c>
      <c r="F599">
        <v>115.49999999999999</v>
      </c>
      <c r="G599">
        <v>5.4001000000000001</v>
      </c>
      <c r="H599">
        <v>1.2</v>
      </c>
      <c r="I599">
        <v>0.9</v>
      </c>
      <c r="J599">
        <v>56.126477890366417</v>
      </c>
      <c r="K599">
        <v>1500</v>
      </c>
      <c r="L599">
        <v>0</v>
      </c>
      <c r="N599">
        <v>29</v>
      </c>
      <c r="O599" s="60" t="s">
        <v>1336</v>
      </c>
      <c r="P599" t="s">
        <v>755</v>
      </c>
      <c r="Q599" t="s">
        <v>2394</v>
      </c>
    </row>
    <row r="600" spans="1:17" x14ac:dyDescent="0.25">
      <c r="A600" t="s">
        <v>19</v>
      </c>
      <c r="B600">
        <v>141.35</v>
      </c>
      <c r="C600">
        <v>115.49999999999999</v>
      </c>
      <c r="D600">
        <v>5.4001000000000001</v>
      </c>
      <c r="E600">
        <v>141.35</v>
      </c>
      <c r="F600">
        <v>119.54999999999998</v>
      </c>
      <c r="G600">
        <v>5.4001000000000001</v>
      </c>
      <c r="H600">
        <v>1.2</v>
      </c>
      <c r="I600">
        <v>0.9</v>
      </c>
      <c r="J600">
        <v>1.8184978836478705</v>
      </c>
      <c r="K600">
        <v>1500</v>
      </c>
      <c r="L600">
        <v>0</v>
      </c>
      <c r="N600">
        <v>29</v>
      </c>
      <c r="O600" s="60" t="s">
        <v>1337</v>
      </c>
      <c r="P600" t="s">
        <v>756</v>
      </c>
      <c r="Q600" t="s">
        <v>1037</v>
      </c>
    </row>
    <row r="601" spans="1:17" x14ac:dyDescent="0.25">
      <c r="A601" t="s">
        <v>19</v>
      </c>
      <c r="B601">
        <v>141.35</v>
      </c>
      <c r="C601">
        <v>119.55</v>
      </c>
      <c r="D601">
        <v>5.4001000000000001</v>
      </c>
      <c r="E601">
        <v>16.349999999999994</v>
      </c>
      <c r="F601">
        <v>119.55</v>
      </c>
      <c r="G601">
        <v>5.4001000000000001</v>
      </c>
      <c r="H601">
        <v>1.2</v>
      </c>
      <c r="I601">
        <v>0.9</v>
      </c>
      <c r="J601">
        <v>56.126477890366417</v>
      </c>
      <c r="K601">
        <v>1500</v>
      </c>
      <c r="L601">
        <v>0</v>
      </c>
      <c r="N601">
        <v>29</v>
      </c>
      <c r="O601" s="60" t="s">
        <v>2101</v>
      </c>
      <c r="P601" t="s">
        <v>824</v>
      </c>
      <c r="Q601" t="s">
        <v>2395</v>
      </c>
    </row>
    <row r="602" spans="1:17" x14ac:dyDescent="0.25">
      <c r="A602" t="s">
        <v>19</v>
      </c>
      <c r="B602">
        <v>16.349999999999994</v>
      </c>
      <c r="C602">
        <v>119.55</v>
      </c>
      <c r="D602">
        <v>5.4001000000000001</v>
      </c>
      <c r="E602">
        <v>16.349999999999994</v>
      </c>
      <c r="F602">
        <v>120.89999999999999</v>
      </c>
      <c r="G602">
        <v>5.4001000000000001</v>
      </c>
      <c r="H602">
        <v>1.2</v>
      </c>
      <c r="I602">
        <v>0.9</v>
      </c>
      <c r="J602">
        <v>0.60616596121595478</v>
      </c>
      <c r="K602">
        <v>1500</v>
      </c>
      <c r="L602">
        <v>0</v>
      </c>
      <c r="N602">
        <v>29</v>
      </c>
      <c r="O602" s="60" t="s">
        <v>2102</v>
      </c>
      <c r="P602" t="s">
        <v>825</v>
      </c>
      <c r="Q602" t="s">
        <v>1935</v>
      </c>
    </row>
    <row r="603" spans="1:17" x14ac:dyDescent="0.25">
      <c r="A603" t="s">
        <v>19</v>
      </c>
      <c r="B603">
        <v>16.349999999999994</v>
      </c>
      <c r="C603">
        <v>120.89999999999999</v>
      </c>
      <c r="D603">
        <v>5.4001000000000001</v>
      </c>
      <c r="E603">
        <v>141.35</v>
      </c>
      <c r="F603">
        <v>120.89999999999999</v>
      </c>
      <c r="G603">
        <v>5.4001000000000001</v>
      </c>
      <c r="H603">
        <v>1.2</v>
      </c>
      <c r="I603">
        <v>0.9</v>
      </c>
      <c r="J603">
        <v>56.126477890366417</v>
      </c>
      <c r="K603">
        <v>1500</v>
      </c>
      <c r="L603">
        <v>0</v>
      </c>
      <c r="N603">
        <v>29</v>
      </c>
      <c r="O603" s="60" t="s">
        <v>2103</v>
      </c>
      <c r="P603" t="s">
        <v>755</v>
      </c>
      <c r="Q603" t="s">
        <v>2394</v>
      </c>
    </row>
    <row r="604" spans="1:17" x14ac:dyDescent="0.25">
      <c r="A604" t="s">
        <v>19</v>
      </c>
      <c r="B604">
        <v>141.35</v>
      </c>
      <c r="C604">
        <v>120.89999999999999</v>
      </c>
      <c r="D604">
        <v>5.4001000000000001</v>
      </c>
      <c r="E604">
        <v>141.35</v>
      </c>
      <c r="F604">
        <v>124.94999999999999</v>
      </c>
      <c r="G604">
        <v>5.4001000000000001</v>
      </c>
      <c r="H604">
        <v>1.2</v>
      </c>
      <c r="I604">
        <v>0.9</v>
      </c>
      <c r="J604">
        <v>1.8184978836478705</v>
      </c>
      <c r="K604">
        <v>1500</v>
      </c>
      <c r="L604">
        <v>0</v>
      </c>
      <c r="N604">
        <v>29</v>
      </c>
      <c r="O604" s="60" t="s">
        <v>2104</v>
      </c>
      <c r="P604" t="s">
        <v>756</v>
      </c>
      <c r="Q604" t="s">
        <v>1938</v>
      </c>
    </row>
    <row r="605" spans="1:17" x14ac:dyDescent="0.25">
      <c r="A605" t="s">
        <v>19</v>
      </c>
      <c r="B605">
        <v>141.35</v>
      </c>
      <c r="C605">
        <v>124.95</v>
      </c>
      <c r="D605">
        <v>5.4001000000000001</v>
      </c>
      <c r="E605">
        <v>16.349999999999994</v>
      </c>
      <c r="F605">
        <v>124.95</v>
      </c>
      <c r="G605">
        <v>5.4001000000000001</v>
      </c>
      <c r="H605">
        <v>1.2</v>
      </c>
      <c r="I605">
        <v>0.9</v>
      </c>
      <c r="J605">
        <v>56.126477890366417</v>
      </c>
      <c r="K605">
        <v>1500</v>
      </c>
      <c r="L605">
        <v>0</v>
      </c>
      <c r="N605">
        <v>29</v>
      </c>
      <c r="O605" s="60" t="s">
        <v>2105</v>
      </c>
      <c r="P605" t="s">
        <v>824</v>
      </c>
      <c r="Q605" t="s">
        <v>2395</v>
      </c>
    </row>
    <row r="606" spans="1:17" x14ac:dyDescent="0.25">
      <c r="A606" t="s">
        <v>19</v>
      </c>
      <c r="B606">
        <v>16.349999999999994</v>
      </c>
      <c r="C606">
        <v>124.95</v>
      </c>
      <c r="D606">
        <v>5.4001000000000001</v>
      </c>
      <c r="E606">
        <v>16.349999999999994</v>
      </c>
      <c r="F606">
        <v>126.3</v>
      </c>
      <c r="G606">
        <v>5.4001000000000001</v>
      </c>
      <c r="H606">
        <v>1.2</v>
      </c>
      <c r="I606">
        <v>0.9</v>
      </c>
      <c r="J606">
        <v>0.60616596121595478</v>
      </c>
      <c r="K606">
        <v>1500</v>
      </c>
      <c r="L606">
        <v>0</v>
      </c>
      <c r="N606">
        <v>29</v>
      </c>
      <c r="O606" s="60" t="s">
        <v>2106</v>
      </c>
      <c r="P606" t="s">
        <v>825</v>
      </c>
      <c r="Q606" t="s">
        <v>1941</v>
      </c>
    </row>
    <row r="607" spans="1:17" x14ac:dyDescent="0.25">
      <c r="A607" t="s">
        <v>19</v>
      </c>
      <c r="B607">
        <v>16.349999999999994</v>
      </c>
      <c r="C607">
        <v>126.3</v>
      </c>
      <c r="D607">
        <v>5.4001000000000001</v>
      </c>
      <c r="E607">
        <v>141.35</v>
      </c>
      <c r="F607">
        <v>126.3</v>
      </c>
      <c r="G607">
        <v>5.4001000000000001</v>
      </c>
      <c r="H607">
        <v>1.2</v>
      </c>
      <c r="I607">
        <v>0.9</v>
      </c>
      <c r="J607">
        <v>56.126477890366417</v>
      </c>
      <c r="K607">
        <v>1500</v>
      </c>
      <c r="L607">
        <v>0</v>
      </c>
      <c r="N607">
        <v>29</v>
      </c>
      <c r="O607" s="60" t="s">
        <v>2107</v>
      </c>
      <c r="P607" t="s">
        <v>755</v>
      </c>
      <c r="Q607" t="s">
        <v>2394</v>
      </c>
    </row>
    <row r="608" spans="1:17" x14ac:dyDescent="0.25">
      <c r="A608" t="s">
        <v>19</v>
      </c>
      <c r="B608">
        <v>141.35</v>
      </c>
      <c r="C608">
        <v>126.3</v>
      </c>
      <c r="D608">
        <v>5.4001000000000001</v>
      </c>
      <c r="E608">
        <v>141.35</v>
      </c>
      <c r="F608">
        <v>130.35</v>
      </c>
      <c r="G608">
        <v>5.4001000000000001</v>
      </c>
      <c r="H608">
        <v>1.2</v>
      </c>
      <c r="I608">
        <v>0.9</v>
      </c>
      <c r="J608">
        <v>1.8184978836478705</v>
      </c>
      <c r="K608">
        <v>1500</v>
      </c>
      <c r="L608">
        <v>0</v>
      </c>
      <c r="N608">
        <v>29</v>
      </c>
      <c r="O608" s="60" t="s">
        <v>2108</v>
      </c>
      <c r="P608" t="s">
        <v>756</v>
      </c>
      <c r="Q608" t="s">
        <v>1944</v>
      </c>
    </row>
    <row r="609" spans="1:17" x14ac:dyDescent="0.25">
      <c r="A609" t="s">
        <v>39</v>
      </c>
      <c r="B609">
        <v>-1.25</v>
      </c>
      <c r="C609">
        <v>2100</v>
      </c>
      <c r="N609">
        <v>29</v>
      </c>
      <c r="O609" s="60" t="s">
        <v>921</v>
      </c>
      <c r="P609" t="s">
        <v>753</v>
      </c>
      <c r="Q609" t="s">
        <v>845</v>
      </c>
    </row>
    <row r="610" spans="1:17" x14ac:dyDescent="0.25">
      <c r="A610" t="s">
        <v>660</v>
      </c>
      <c r="B610">
        <v>0.9</v>
      </c>
      <c r="C610">
        <v>10000</v>
      </c>
      <c r="N610">
        <v>29</v>
      </c>
      <c r="O610" s="60" t="s">
        <v>921</v>
      </c>
      <c r="P610" t="s">
        <v>753</v>
      </c>
      <c r="Q610" t="s">
        <v>834</v>
      </c>
    </row>
    <row r="611" spans="1:17" x14ac:dyDescent="0.25">
      <c r="A611" t="s">
        <v>23</v>
      </c>
      <c r="B611">
        <v>141.35</v>
      </c>
      <c r="C611">
        <v>130.35</v>
      </c>
      <c r="D611">
        <v>5.4001000000000001</v>
      </c>
      <c r="E611">
        <v>141.35</v>
      </c>
      <c r="F611">
        <v>76.349999999999994</v>
      </c>
      <c r="G611">
        <v>6.3001000000000005</v>
      </c>
      <c r="H611">
        <v>0</v>
      </c>
      <c r="I611">
        <v>0</v>
      </c>
      <c r="K611">
        <v>48000</v>
      </c>
      <c r="N611">
        <v>0</v>
      </c>
      <c r="O611" s="60">
        <v>0</v>
      </c>
      <c r="P611" t="s">
        <v>661</v>
      </c>
      <c r="Q611" t="s">
        <v>2109</v>
      </c>
    </row>
    <row r="612" spans="1:17" x14ac:dyDescent="0.25">
      <c r="A612" t="s">
        <v>19</v>
      </c>
      <c r="B612">
        <v>141.35</v>
      </c>
      <c r="C612">
        <v>76.349999999999994</v>
      </c>
      <c r="D612">
        <v>6.3001000000000005</v>
      </c>
      <c r="E612">
        <v>16.349999999999994</v>
      </c>
      <c r="F612">
        <v>76.349999999999994</v>
      </c>
      <c r="G612">
        <v>6.3001000000000005</v>
      </c>
      <c r="H612">
        <v>1.2</v>
      </c>
      <c r="I612">
        <v>0.9</v>
      </c>
      <c r="J612">
        <v>56.126477890366417</v>
      </c>
      <c r="K612">
        <v>1500</v>
      </c>
      <c r="L612">
        <v>0</v>
      </c>
      <c r="N612">
        <v>29</v>
      </c>
      <c r="O612" s="60" t="s">
        <v>2110</v>
      </c>
      <c r="P612" t="s">
        <v>2001</v>
      </c>
      <c r="Q612" t="s">
        <v>2393</v>
      </c>
    </row>
    <row r="613" spans="1:17" x14ac:dyDescent="0.25">
      <c r="A613" t="s">
        <v>19</v>
      </c>
      <c r="B613">
        <v>16.349999999999994</v>
      </c>
      <c r="C613">
        <v>76.349999999999994</v>
      </c>
      <c r="D613">
        <v>6.3001000000000005</v>
      </c>
      <c r="E613">
        <v>16.349999999999994</v>
      </c>
      <c r="F613">
        <v>77.699999999999989</v>
      </c>
      <c r="G613">
        <v>6.3001000000000005</v>
      </c>
      <c r="H613">
        <v>1.2</v>
      </c>
      <c r="I613">
        <v>0.9</v>
      </c>
      <c r="J613">
        <v>0.60616596121595478</v>
      </c>
      <c r="K613">
        <v>1500</v>
      </c>
      <c r="L613">
        <v>0</v>
      </c>
      <c r="N613">
        <v>29</v>
      </c>
      <c r="O613" s="60" t="s">
        <v>2111</v>
      </c>
      <c r="P613" t="s">
        <v>2003</v>
      </c>
      <c r="Q613" t="s">
        <v>876</v>
      </c>
    </row>
    <row r="614" spans="1:17" x14ac:dyDescent="0.25">
      <c r="A614" t="s">
        <v>19</v>
      </c>
      <c r="B614">
        <v>16.349999999999994</v>
      </c>
      <c r="C614">
        <v>77.699999999999989</v>
      </c>
      <c r="D614">
        <v>6.3001000000000005</v>
      </c>
      <c r="E614">
        <v>141.35</v>
      </c>
      <c r="F614">
        <v>77.699999999999989</v>
      </c>
      <c r="G614">
        <v>6.3001000000000005</v>
      </c>
      <c r="H614">
        <v>1.2</v>
      </c>
      <c r="I614">
        <v>0.9</v>
      </c>
      <c r="J614">
        <v>56.126477890366417</v>
      </c>
      <c r="K614">
        <v>1500</v>
      </c>
      <c r="L614">
        <v>0</v>
      </c>
      <c r="N614">
        <v>29</v>
      </c>
      <c r="O614" s="60" t="s">
        <v>2112</v>
      </c>
      <c r="P614" t="s">
        <v>2005</v>
      </c>
      <c r="Q614" t="s">
        <v>2394</v>
      </c>
    </row>
    <row r="615" spans="1:17" x14ac:dyDescent="0.25">
      <c r="A615" t="s">
        <v>19</v>
      </c>
      <c r="B615">
        <v>141.35</v>
      </c>
      <c r="C615">
        <v>77.699999999999989</v>
      </c>
      <c r="D615">
        <v>6.3001000000000005</v>
      </c>
      <c r="E615">
        <v>141.35</v>
      </c>
      <c r="F615">
        <v>81.749999999999986</v>
      </c>
      <c r="G615">
        <v>6.3001000000000005</v>
      </c>
      <c r="H615">
        <v>1.2</v>
      </c>
      <c r="I615">
        <v>0.9</v>
      </c>
      <c r="J615">
        <v>1.8184978836478705</v>
      </c>
      <c r="K615">
        <v>1500</v>
      </c>
      <c r="L615">
        <v>0</v>
      </c>
      <c r="N615">
        <v>29</v>
      </c>
      <c r="O615" s="60" t="s">
        <v>2113</v>
      </c>
      <c r="P615" t="s">
        <v>2007</v>
      </c>
      <c r="Q615" t="s">
        <v>877</v>
      </c>
    </row>
    <row r="616" spans="1:17" x14ac:dyDescent="0.25">
      <c r="A616" t="s">
        <v>19</v>
      </c>
      <c r="B616">
        <v>141.35</v>
      </c>
      <c r="C616">
        <v>81.75</v>
      </c>
      <c r="D616">
        <v>6.3001000000000005</v>
      </c>
      <c r="E616">
        <v>16.349999999999994</v>
      </c>
      <c r="F616">
        <v>81.75</v>
      </c>
      <c r="G616">
        <v>6.3001000000000005</v>
      </c>
      <c r="H616">
        <v>1.2</v>
      </c>
      <c r="I616">
        <v>0.9</v>
      </c>
      <c r="J616">
        <v>56.126477890366417</v>
      </c>
      <c r="K616">
        <v>1500</v>
      </c>
      <c r="L616">
        <v>0</v>
      </c>
      <c r="N616">
        <v>29</v>
      </c>
      <c r="O616" s="60" t="s">
        <v>1338</v>
      </c>
      <c r="P616" t="s">
        <v>805</v>
      </c>
      <c r="Q616" t="s">
        <v>2395</v>
      </c>
    </row>
    <row r="617" spans="1:17" x14ac:dyDescent="0.25">
      <c r="A617" t="s">
        <v>19</v>
      </c>
      <c r="B617">
        <v>16.349999999999994</v>
      </c>
      <c r="C617">
        <v>81.75</v>
      </c>
      <c r="D617">
        <v>6.3001000000000005</v>
      </c>
      <c r="E617">
        <v>16.349999999999994</v>
      </c>
      <c r="F617">
        <v>83.1</v>
      </c>
      <c r="G617">
        <v>6.3001000000000005</v>
      </c>
      <c r="H617">
        <v>1.2</v>
      </c>
      <c r="I617">
        <v>0.9</v>
      </c>
      <c r="J617">
        <v>0.60616596121595478</v>
      </c>
      <c r="K617">
        <v>1500</v>
      </c>
      <c r="L617">
        <v>0</v>
      </c>
      <c r="N617">
        <v>29</v>
      </c>
      <c r="O617" s="60" t="s">
        <v>1339</v>
      </c>
      <c r="P617" t="s">
        <v>806</v>
      </c>
      <c r="Q617" t="s">
        <v>1024</v>
      </c>
    </row>
    <row r="618" spans="1:17" x14ac:dyDescent="0.25">
      <c r="A618" t="s">
        <v>19</v>
      </c>
      <c r="B618">
        <v>16.349999999999994</v>
      </c>
      <c r="C618">
        <v>83.1</v>
      </c>
      <c r="D618">
        <v>6.3001000000000005</v>
      </c>
      <c r="E618">
        <v>141.35</v>
      </c>
      <c r="F618">
        <v>83.1</v>
      </c>
      <c r="G618">
        <v>6.3001000000000005</v>
      </c>
      <c r="H618">
        <v>1.2</v>
      </c>
      <c r="I618">
        <v>0.9</v>
      </c>
      <c r="J618">
        <v>56.126477890366417</v>
      </c>
      <c r="K618">
        <v>1500</v>
      </c>
      <c r="L618">
        <v>0</v>
      </c>
      <c r="N618">
        <v>29</v>
      </c>
      <c r="O618" s="60" t="s">
        <v>1340</v>
      </c>
      <c r="P618" t="s">
        <v>826</v>
      </c>
      <c r="Q618" t="s">
        <v>2394</v>
      </c>
    </row>
    <row r="619" spans="1:17" x14ac:dyDescent="0.25">
      <c r="A619" t="s">
        <v>19</v>
      </c>
      <c r="B619">
        <v>141.35</v>
      </c>
      <c r="C619">
        <v>83.1</v>
      </c>
      <c r="D619">
        <v>6.3001000000000005</v>
      </c>
      <c r="E619">
        <v>141.35</v>
      </c>
      <c r="F619">
        <v>87.149999999999991</v>
      </c>
      <c r="G619">
        <v>6.3001000000000005</v>
      </c>
      <c r="H619">
        <v>1.2</v>
      </c>
      <c r="I619">
        <v>0.9</v>
      </c>
      <c r="J619">
        <v>1.8184978836478705</v>
      </c>
      <c r="K619">
        <v>1500</v>
      </c>
      <c r="L619">
        <v>0</v>
      </c>
      <c r="N619">
        <v>29</v>
      </c>
      <c r="O619" s="60" t="s">
        <v>1341</v>
      </c>
      <c r="P619" t="s">
        <v>761</v>
      </c>
      <c r="Q619" t="s">
        <v>1025</v>
      </c>
    </row>
    <row r="620" spans="1:17" x14ac:dyDescent="0.25">
      <c r="A620" t="s">
        <v>19</v>
      </c>
      <c r="B620">
        <v>141.35</v>
      </c>
      <c r="C620">
        <v>87.149999999999991</v>
      </c>
      <c r="D620">
        <v>6.3001000000000005</v>
      </c>
      <c r="E620">
        <v>16.349999999999994</v>
      </c>
      <c r="F620">
        <v>87.149999999999991</v>
      </c>
      <c r="G620">
        <v>6.3001000000000005</v>
      </c>
      <c r="H620">
        <v>1.2</v>
      </c>
      <c r="I620">
        <v>0.9</v>
      </c>
      <c r="J620">
        <v>56.126477890366417</v>
      </c>
      <c r="K620">
        <v>1500</v>
      </c>
      <c r="L620">
        <v>0</v>
      </c>
      <c r="N620">
        <v>29</v>
      </c>
      <c r="O620" s="60" t="s">
        <v>1342</v>
      </c>
      <c r="P620" t="s">
        <v>805</v>
      </c>
      <c r="Q620" t="s">
        <v>2395</v>
      </c>
    </row>
    <row r="621" spans="1:17" x14ac:dyDescent="0.25">
      <c r="A621" t="s">
        <v>19</v>
      </c>
      <c r="B621">
        <v>16.349999999999994</v>
      </c>
      <c r="C621">
        <v>87.149999999999991</v>
      </c>
      <c r="D621">
        <v>6.3001000000000005</v>
      </c>
      <c r="E621">
        <v>16.349999999999994</v>
      </c>
      <c r="F621">
        <v>88.499999999999986</v>
      </c>
      <c r="G621">
        <v>6.3001000000000005</v>
      </c>
      <c r="H621">
        <v>1.2</v>
      </c>
      <c r="I621">
        <v>0.9</v>
      </c>
      <c r="J621">
        <v>0.60616596121595478</v>
      </c>
      <c r="K621">
        <v>1500</v>
      </c>
      <c r="L621">
        <v>0</v>
      </c>
      <c r="N621">
        <v>29</v>
      </c>
      <c r="O621" s="60" t="s">
        <v>1343</v>
      </c>
      <c r="P621" t="s">
        <v>806</v>
      </c>
      <c r="Q621" t="s">
        <v>1026</v>
      </c>
    </row>
    <row r="622" spans="1:17" x14ac:dyDescent="0.25">
      <c r="A622" t="s">
        <v>19</v>
      </c>
      <c r="B622">
        <v>16.349999999999994</v>
      </c>
      <c r="C622">
        <v>88.499999999999986</v>
      </c>
      <c r="D622">
        <v>6.3001000000000005</v>
      </c>
      <c r="E622">
        <v>141.35</v>
      </c>
      <c r="F622">
        <v>88.499999999999986</v>
      </c>
      <c r="G622">
        <v>6.3001000000000005</v>
      </c>
      <c r="H622">
        <v>1.2</v>
      </c>
      <c r="I622">
        <v>0.9</v>
      </c>
      <c r="J622">
        <v>56.126477890366417</v>
      </c>
      <c r="K622">
        <v>1500</v>
      </c>
      <c r="L622">
        <v>0</v>
      </c>
      <c r="N622">
        <v>29</v>
      </c>
      <c r="O622" s="60" t="s">
        <v>1344</v>
      </c>
      <c r="P622" t="s">
        <v>826</v>
      </c>
      <c r="Q622" t="s">
        <v>2394</v>
      </c>
    </row>
    <row r="623" spans="1:17" x14ac:dyDescent="0.25">
      <c r="A623" t="s">
        <v>19</v>
      </c>
      <c r="B623">
        <v>141.35</v>
      </c>
      <c r="C623">
        <v>88.499999999999986</v>
      </c>
      <c r="D623">
        <v>6.3001000000000005</v>
      </c>
      <c r="E623">
        <v>141.35</v>
      </c>
      <c r="F623">
        <v>92.549999999999983</v>
      </c>
      <c r="G623">
        <v>6.3001000000000005</v>
      </c>
      <c r="H623">
        <v>1.2</v>
      </c>
      <c r="I623">
        <v>0.9</v>
      </c>
      <c r="J623">
        <v>1.8184978836478705</v>
      </c>
      <c r="K623">
        <v>1500</v>
      </c>
      <c r="L623">
        <v>0</v>
      </c>
      <c r="N623">
        <v>29</v>
      </c>
      <c r="O623" s="60" t="s">
        <v>1345</v>
      </c>
      <c r="P623" t="s">
        <v>761</v>
      </c>
      <c r="Q623" t="s">
        <v>1027</v>
      </c>
    </row>
    <row r="624" spans="1:17" x14ac:dyDescent="0.25">
      <c r="A624" t="s">
        <v>19</v>
      </c>
      <c r="B624">
        <v>141.35</v>
      </c>
      <c r="C624">
        <v>92.55</v>
      </c>
      <c r="D624">
        <v>6.3001000000000005</v>
      </c>
      <c r="E624">
        <v>16.349999999999994</v>
      </c>
      <c r="F624">
        <v>92.55</v>
      </c>
      <c r="G624">
        <v>6.3001000000000005</v>
      </c>
      <c r="H624">
        <v>1.2</v>
      </c>
      <c r="I624">
        <v>0.9</v>
      </c>
      <c r="J624">
        <v>56.126477890366417</v>
      </c>
      <c r="K624">
        <v>1500</v>
      </c>
      <c r="L624">
        <v>0</v>
      </c>
      <c r="N624">
        <v>29</v>
      </c>
      <c r="O624" s="60" t="s">
        <v>1346</v>
      </c>
      <c r="P624" t="s">
        <v>805</v>
      </c>
      <c r="Q624" t="s">
        <v>2395</v>
      </c>
    </row>
    <row r="625" spans="1:17" x14ac:dyDescent="0.25">
      <c r="A625" t="s">
        <v>19</v>
      </c>
      <c r="B625">
        <v>16.349999999999994</v>
      </c>
      <c r="C625">
        <v>92.55</v>
      </c>
      <c r="D625">
        <v>6.3001000000000005</v>
      </c>
      <c r="E625">
        <v>16.349999999999994</v>
      </c>
      <c r="F625">
        <v>93.899999999999991</v>
      </c>
      <c r="G625">
        <v>6.3001000000000005</v>
      </c>
      <c r="H625">
        <v>1.2</v>
      </c>
      <c r="I625">
        <v>0.9</v>
      </c>
      <c r="J625">
        <v>0.60616596121595478</v>
      </c>
      <c r="K625">
        <v>1500</v>
      </c>
      <c r="L625">
        <v>0</v>
      </c>
      <c r="N625">
        <v>29</v>
      </c>
      <c r="O625" s="60" t="s">
        <v>1347</v>
      </c>
      <c r="P625" t="s">
        <v>806</v>
      </c>
      <c r="Q625" t="s">
        <v>1028</v>
      </c>
    </row>
    <row r="626" spans="1:17" x14ac:dyDescent="0.25">
      <c r="A626" t="s">
        <v>19</v>
      </c>
      <c r="B626">
        <v>16.349999999999994</v>
      </c>
      <c r="C626">
        <v>93.899999999999991</v>
      </c>
      <c r="D626">
        <v>6.3001000000000005</v>
      </c>
      <c r="E626">
        <v>141.35</v>
      </c>
      <c r="F626">
        <v>93.899999999999991</v>
      </c>
      <c r="G626">
        <v>6.3001000000000005</v>
      </c>
      <c r="H626">
        <v>1.2</v>
      </c>
      <c r="I626">
        <v>0.9</v>
      </c>
      <c r="J626">
        <v>56.126477890366417</v>
      </c>
      <c r="K626">
        <v>1500</v>
      </c>
      <c r="L626">
        <v>0</v>
      </c>
      <c r="N626">
        <v>29</v>
      </c>
      <c r="O626" s="60" t="s">
        <v>1348</v>
      </c>
      <c r="P626" t="s">
        <v>826</v>
      </c>
      <c r="Q626" t="s">
        <v>2394</v>
      </c>
    </row>
    <row r="627" spans="1:17" x14ac:dyDescent="0.25">
      <c r="A627" t="s">
        <v>19</v>
      </c>
      <c r="B627">
        <v>141.35</v>
      </c>
      <c r="C627">
        <v>93.899999999999991</v>
      </c>
      <c r="D627">
        <v>6.3001000000000005</v>
      </c>
      <c r="E627">
        <v>141.35</v>
      </c>
      <c r="F627">
        <v>97.949999999999989</v>
      </c>
      <c r="G627">
        <v>6.3001000000000005</v>
      </c>
      <c r="H627">
        <v>1.2</v>
      </c>
      <c r="I627">
        <v>0.9</v>
      </c>
      <c r="J627">
        <v>1.8184978836478705</v>
      </c>
      <c r="K627">
        <v>1500</v>
      </c>
      <c r="L627">
        <v>0</v>
      </c>
      <c r="N627">
        <v>29</v>
      </c>
      <c r="O627" s="60" t="s">
        <v>1349</v>
      </c>
      <c r="P627" t="s">
        <v>761</v>
      </c>
      <c r="Q627" t="s">
        <v>1029</v>
      </c>
    </row>
    <row r="628" spans="1:17" x14ac:dyDescent="0.25">
      <c r="A628" t="s">
        <v>19</v>
      </c>
      <c r="B628">
        <v>141.35</v>
      </c>
      <c r="C628">
        <v>97.949999999999989</v>
      </c>
      <c r="D628">
        <v>6.3001000000000005</v>
      </c>
      <c r="E628">
        <v>16.349999999999994</v>
      </c>
      <c r="F628">
        <v>97.949999999999989</v>
      </c>
      <c r="G628">
        <v>6.3001000000000005</v>
      </c>
      <c r="H628">
        <v>1.2</v>
      </c>
      <c r="I628">
        <v>0.9</v>
      </c>
      <c r="J628">
        <v>56.126477890366417</v>
      </c>
      <c r="K628">
        <v>1500</v>
      </c>
      <c r="L628">
        <v>0</v>
      </c>
      <c r="N628">
        <v>29</v>
      </c>
      <c r="O628" s="60" t="s">
        <v>1350</v>
      </c>
      <c r="P628" t="s">
        <v>805</v>
      </c>
      <c r="Q628" t="s">
        <v>2395</v>
      </c>
    </row>
    <row r="629" spans="1:17" x14ac:dyDescent="0.25">
      <c r="A629" t="s">
        <v>19</v>
      </c>
      <c r="B629">
        <v>16.349999999999994</v>
      </c>
      <c r="C629">
        <v>97.949999999999989</v>
      </c>
      <c r="D629">
        <v>6.3001000000000005</v>
      </c>
      <c r="E629">
        <v>16.349999999999994</v>
      </c>
      <c r="F629">
        <v>99.299999999999983</v>
      </c>
      <c r="G629">
        <v>6.3001000000000005</v>
      </c>
      <c r="H629">
        <v>1.2</v>
      </c>
      <c r="I629">
        <v>0.9</v>
      </c>
      <c r="J629">
        <v>0.60616596121595478</v>
      </c>
      <c r="K629">
        <v>1500</v>
      </c>
      <c r="L629">
        <v>0</v>
      </c>
      <c r="N629">
        <v>29</v>
      </c>
      <c r="O629" s="60" t="s">
        <v>1351</v>
      </c>
      <c r="P629" t="s">
        <v>806</v>
      </c>
      <c r="Q629" t="s">
        <v>1030</v>
      </c>
    </row>
    <row r="630" spans="1:17" x14ac:dyDescent="0.25">
      <c r="A630" t="s">
        <v>19</v>
      </c>
      <c r="B630">
        <v>16.349999999999994</v>
      </c>
      <c r="C630">
        <v>99.299999999999983</v>
      </c>
      <c r="D630">
        <v>6.3001000000000005</v>
      </c>
      <c r="E630">
        <v>141.35</v>
      </c>
      <c r="F630">
        <v>99.299999999999983</v>
      </c>
      <c r="G630">
        <v>6.3001000000000005</v>
      </c>
      <c r="H630">
        <v>1.2</v>
      </c>
      <c r="I630">
        <v>0.9</v>
      </c>
      <c r="J630">
        <v>56.126477890366417</v>
      </c>
      <c r="K630">
        <v>1500</v>
      </c>
      <c r="L630">
        <v>0</v>
      </c>
      <c r="N630">
        <v>29</v>
      </c>
      <c r="O630" s="60" t="s">
        <v>1352</v>
      </c>
      <c r="P630" t="s">
        <v>826</v>
      </c>
      <c r="Q630" t="s">
        <v>2394</v>
      </c>
    </row>
    <row r="631" spans="1:17" x14ac:dyDescent="0.25">
      <c r="A631" t="s">
        <v>19</v>
      </c>
      <c r="B631">
        <v>141.35</v>
      </c>
      <c r="C631">
        <v>99.299999999999983</v>
      </c>
      <c r="D631">
        <v>6.3001000000000005</v>
      </c>
      <c r="E631">
        <v>141.35</v>
      </c>
      <c r="F631">
        <v>103.35</v>
      </c>
      <c r="G631">
        <v>6.3001000000000005</v>
      </c>
      <c r="H631">
        <v>1.2</v>
      </c>
      <c r="I631">
        <v>0.9</v>
      </c>
      <c r="J631">
        <v>1.8184978836478705</v>
      </c>
      <c r="K631">
        <v>1500</v>
      </c>
      <c r="L631">
        <v>0</v>
      </c>
      <c r="N631">
        <v>29</v>
      </c>
      <c r="O631" s="60" t="s">
        <v>1353</v>
      </c>
      <c r="P631" t="s">
        <v>761</v>
      </c>
      <c r="Q631" t="s">
        <v>1031</v>
      </c>
    </row>
    <row r="632" spans="1:17" x14ac:dyDescent="0.25">
      <c r="A632" t="s">
        <v>19</v>
      </c>
      <c r="B632">
        <v>141.35</v>
      </c>
      <c r="C632">
        <v>103.35</v>
      </c>
      <c r="D632">
        <v>6.3001000000000005</v>
      </c>
      <c r="E632">
        <v>16.349999999999994</v>
      </c>
      <c r="F632">
        <v>103.35</v>
      </c>
      <c r="G632">
        <v>6.3001000000000005</v>
      </c>
      <c r="H632">
        <v>1.2</v>
      </c>
      <c r="I632">
        <v>0.9</v>
      </c>
      <c r="J632">
        <v>56.126477890366417</v>
      </c>
      <c r="K632">
        <v>1500</v>
      </c>
      <c r="L632">
        <v>0</v>
      </c>
      <c r="N632">
        <v>29</v>
      </c>
      <c r="O632" s="60" t="s">
        <v>1354</v>
      </c>
      <c r="P632" t="s">
        <v>805</v>
      </c>
      <c r="Q632" t="s">
        <v>2395</v>
      </c>
    </row>
    <row r="633" spans="1:17" x14ac:dyDescent="0.25">
      <c r="A633" t="s">
        <v>19</v>
      </c>
      <c r="B633">
        <v>16.349999999999994</v>
      </c>
      <c r="C633">
        <v>103.35</v>
      </c>
      <c r="D633">
        <v>6.3001000000000005</v>
      </c>
      <c r="E633">
        <v>16.349999999999994</v>
      </c>
      <c r="F633">
        <v>104.69999999999999</v>
      </c>
      <c r="G633">
        <v>6.3001000000000005</v>
      </c>
      <c r="H633">
        <v>1.2</v>
      </c>
      <c r="I633">
        <v>0.9</v>
      </c>
      <c r="J633">
        <v>0.60616596121595478</v>
      </c>
      <c r="K633">
        <v>1500</v>
      </c>
      <c r="L633">
        <v>0</v>
      </c>
      <c r="N633">
        <v>29</v>
      </c>
      <c r="O633" s="60" t="s">
        <v>1355</v>
      </c>
      <c r="P633" t="s">
        <v>806</v>
      </c>
      <c r="Q633" t="s">
        <v>1032</v>
      </c>
    </row>
    <row r="634" spans="1:17" x14ac:dyDescent="0.25">
      <c r="A634" t="s">
        <v>19</v>
      </c>
      <c r="B634">
        <v>16.349999999999994</v>
      </c>
      <c r="C634">
        <v>104.69999999999999</v>
      </c>
      <c r="D634">
        <v>6.3001000000000005</v>
      </c>
      <c r="E634">
        <v>141.35</v>
      </c>
      <c r="F634">
        <v>104.69999999999999</v>
      </c>
      <c r="G634">
        <v>6.3001000000000005</v>
      </c>
      <c r="H634">
        <v>1.2</v>
      </c>
      <c r="I634">
        <v>0.9</v>
      </c>
      <c r="J634">
        <v>56.126477890366417</v>
      </c>
      <c r="K634">
        <v>1500</v>
      </c>
      <c r="L634">
        <v>0</v>
      </c>
      <c r="N634">
        <v>29</v>
      </c>
      <c r="O634" s="60" t="s">
        <v>1356</v>
      </c>
      <c r="P634" t="s">
        <v>826</v>
      </c>
      <c r="Q634" t="s">
        <v>2394</v>
      </c>
    </row>
    <row r="635" spans="1:17" x14ac:dyDescent="0.25">
      <c r="A635" t="s">
        <v>19</v>
      </c>
      <c r="B635">
        <v>141.35</v>
      </c>
      <c r="C635">
        <v>104.69999999999999</v>
      </c>
      <c r="D635">
        <v>6.3001000000000005</v>
      </c>
      <c r="E635">
        <v>141.35</v>
      </c>
      <c r="F635">
        <v>108.74999999999999</v>
      </c>
      <c r="G635">
        <v>6.3001000000000005</v>
      </c>
      <c r="H635">
        <v>1.2</v>
      </c>
      <c r="I635">
        <v>0.9</v>
      </c>
      <c r="J635">
        <v>1.8184978836478705</v>
      </c>
      <c r="K635">
        <v>1500</v>
      </c>
      <c r="L635">
        <v>0</v>
      </c>
      <c r="N635">
        <v>29</v>
      </c>
      <c r="O635" s="60" t="s">
        <v>1357</v>
      </c>
      <c r="P635" t="s">
        <v>761</v>
      </c>
      <c r="Q635" t="s">
        <v>1033</v>
      </c>
    </row>
    <row r="636" spans="1:17" x14ac:dyDescent="0.25">
      <c r="A636" t="s">
        <v>19</v>
      </c>
      <c r="B636">
        <v>141.35</v>
      </c>
      <c r="C636">
        <v>108.75</v>
      </c>
      <c r="D636">
        <v>6.3001000000000005</v>
      </c>
      <c r="E636">
        <v>16.349999999999994</v>
      </c>
      <c r="F636">
        <v>108.75</v>
      </c>
      <c r="G636">
        <v>6.3001000000000005</v>
      </c>
      <c r="H636">
        <v>1.2</v>
      </c>
      <c r="I636">
        <v>0.9</v>
      </c>
      <c r="J636">
        <v>56.126477890366417</v>
      </c>
      <c r="K636">
        <v>1500</v>
      </c>
      <c r="L636">
        <v>0</v>
      </c>
      <c r="N636">
        <v>29</v>
      </c>
      <c r="O636" s="60" t="s">
        <v>1358</v>
      </c>
      <c r="P636" t="s">
        <v>805</v>
      </c>
      <c r="Q636" t="s">
        <v>2395</v>
      </c>
    </row>
    <row r="637" spans="1:17" x14ac:dyDescent="0.25">
      <c r="A637" t="s">
        <v>19</v>
      </c>
      <c r="B637">
        <v>16.349999999999994</v>
      </c>
      <c r="C637">
        <v>108.75</v>
      </c>
      <c r="D637">
        <v>6.3001000000000005</v>
      </c>
      <c r="E637">
        <v>16.349999999999994</v>
      </c>
      <c r="F637">
        <v>110.1</v>
      </c>
      <c r="G637">
        <v>6.3001000000000005</v>
      </c>
      <c r="H637">
        <v>1.2</v>
      </c>
      <c r="I637">
        <v>0.9</v>
      </c>
      <c r="J637">
        <v>0.60616596121595478</v>
      </c>
      <c r="K637">
        <v>1500</v>
      </c>
      <c r="L637">
        <v>0</v>
      </c>
      <c r="N637">
        <v>29</v>
      </c>
      <c r="O637" s="60" t="s">
        <v>1359</v>
      </c>
      <c r="P637" t="s">
        <v>806</v>
      </c>
      <c r="Q637" t="s">
        <v>1034</v>
      </c>
    </row>
    <row r="638" spans="1:17" x14ac:dyDescent="0.25">
      <c r="A638" t="s">
        <v>19</v>
      </c>
      <c r="B638">
        <v>16.349999999999994</v>
      </c>
      <c r="C638">
        <v>110.1</v>
      </c>
      <c r="D638">
        <v>6.3001000000000005</v>
      </c>
      <c r="E638">
        <v>141.35</v>
      </c>
      <c r="F638">
        <v>110.1</v>
      </c>
      <c r="G638">
        <v>6.3001000000000005</v>
      </c>
      <c r="H638">
        <v>1.2</v>
      </c>
      <c r="I638">
        <v>0.9</v>
      </c>
      <c r="J638">
        <v>56.126477890366417</v>
      </c>
      <c r="K638">
        <v>1500</v>
      </c>
      <c r="L638">
        <v>0</v>
      </c>
      <c r="N638">
        <v>29</v>
      </c>
      <c r="O638" s="60" t="s">
        <v>1360</v>
      </c>
      <c r="P638" t="s">
        <v>826</v>
      </c>
      <c r="Q638" t="s">
        <v>2394</v>
      </c>
    </row>
    <row r="639" spans="1:17" x14ac:dyDescent="0.25">
      <c r="A639" t="s">
        <v>19</v>
      </c>
      <c r="B639">
        <v>141.35</v>
      </c>
      <c r="C639">
        <v>110.1</v>
      </c>
      <c r="D639">
        <v>6.3001000000000005</v>
      </c>
      <c r="E639">
        <v>141.35</v>
      </c>
      <c r="F639">
        <v>114.14999999999999</v>
      </c>
      <c r="G639">
        <v>6.3001000000000005</v>
      </c>
      <c r="H639">
        <v>1.2</v>
      </c>
      <c r="I639">
        <v>0.9</v>
      </c>
      <c r="J639">
        <v>1.8184978836478705</v>
      </c>
      <c r="K639">
        <v>1500</v>
      </c>
      <c r="L639">
        <v>0</v>
      </c>
      <c r="N639">
        <v>29</v>
      </c>
      <c r="O639" s="60" t="s">
        <v>1361</v>
      </c>
      <c r="P639" t="s">
        <v>761</v>
      </c>
      <c r="Q639" t="s">
        <v>1035</v>
      </c>
    </row>
    <row r="640" spans="1:17" x14ac:dyDescent="0.25">
      <c r="A640" t="s">
        <v>19</v>
      </c>
      <c r="B640">
        <v>141.35</v>
      </c>
      <c r="C640">
        <v>114.14999999999999</v>
      </c>
      <c r="D640">
        <v>6.3001000000000005</v>
      </c>
      <c r="E640">
        <v>16.349999999999994</v>
      </c>
      <c r="F640">
        <v>114.14999999999999</v>
      </c>
      <c r="G640">
        <v>6.3001000000000005</v>
      </c>
      <c r="H640">
        <v>1.2</v>
      </c>
      <c r="I640">
        <v>0.9</v>
      </c>
      <c r="J640">
        <v>56.126477890366417</v>
      </c>
      <c r="K640">
        <v>1500</v>
      </c>
      <c r="L640">
        <v>0</v>
      </c>
      <c r="N640">
        <v>29</v>
      </c>
      <c r="O640" s="60" t="s">
        <v>1362</v>
      </c>
      <c r="P640" t="s">
        <v>805</v>
      </c>
      <c r="Q640" t="s">
        <v>2395</v>
      </c>
    </row>
    <row r="641" spans="1:17" x14ac:dyDescent="0.25">
      <c r="A641" t="s">
        <v>19</v>
      </c>
      <c r="B641">
        <v>16.349999999999994</v>
      </c>
      <c r="C641">
        <v>114.14999999999999</v>
      </c>
      <c r="D641">
        <v>6.3001000000000005</v>
      </c>
      <c r="E641">
        <v>16.349999999999994</v>
      </c>
      <c r="F641">
        <v>115.49999999999999</v>
      </c>
      <c r="G641">
        <v>6.3001000000000005</v>
      </c>
      <c r="H641">
        <v>1.2</v>
      </c>
      <c r="I641">
        <v>0.9</v>
      </c>
      <c r="J641">
        <v>0.60616596121595478</v>
      </c>
      <c r="K641">
        <v>1500</v>
      </c>
      <c r="L641">
        <v>0</v>
      </c>
      <c r="N641">
        <v>29</v>
      </c>
      <c r="O641" s="60" t="s">
        <v>1363</v>
      </c>
      <c r="P641" t="s">
        <v>806</v>
      </c>
      <c r="Q641" t="s">
        <v>1036</v>
      </c>
    </row>
    <row r="642" spans="1:17" x14ac:dyDescent="0.25">
      <c r="A642" t="s">
        <v>19</v>
      </c>
      <c r="B642">
        <v>16.349999999999994</v>
      </c>
      <c r="C642">
        <v>115.49999999999999</v>
      </c>
      <c r="D642">
        <v>6.3001000000000005</v>
      </c>
      <c r="E642">
        <v>141.35</v>
      </c>
      <c r="F642">
        <v>115.49999999999999</v>
      </c>
      <c r="G642">
        <v>6.3001000000000005</v>
      </c>
      <c r="H642">
        <v>1.2</v>
      </c>
      <c r="I642">
        <v>0.9</v>
      </c>
      <c r="J642">
        <v>56.126477890366417</v>
      </c>
      <c r="K642">
        <v>1500</v>
      </c>
      <c r="L642">
        <v>0</v>
      </c>
      <c r="N642">
        <v>29</v>
      </c>
      <c r="O642" s="60" t="s">
        <v>1364</v>
      </c>
      <c r="P642" t="s">
        <v>826</v>
      </c>
      <c r="Q642" t="s">
        <v>2394</v>
      </c>
    </row>
    <row r="643" spans="1:17" x14ac:dyDescent="0.25">
      <c r="A643" t="s">
        <v>19</v>
      </c>
      <c r="B643">
        <v>141.35</v>
      </c>
      <c r="C643">
        <v>115.49999999999999</v>
      </c>
      <c r="D643">
        <v>6.3001000000000005</v>
      </c>
      <c r="E643">
        <v>141.35</v>
      </c>
      <c r="F643">
        <v>119.54999999999998</v>
      </c>
      <c r="G643">
        <v>6.3001000000000005</v>
      </c>
      <c r="H643">
        <v>1.2</v>
      </c>
      <c r="I643">
        <v>0.9</v>
      </c>
      <c r="J643">
        <v>1.8184978836478705</v>
      </c>
      <c r="K643">
        <v>1500</v>
      </c>
      <c r="L643">
        <v>0</v>
      </c>
      <c r="N643">
        <v>29</v>
      </c>
      <c r="O643" s="60" t="s">
        <v>1365</v>
      </c>
      <c r="P643" t="s">
        <v>761</v>
      </c>
      <c r="Q643" t="s">
        <v>1037</v>
      </c>
    </row>
    <row r="644" spans="1:17" x14ac:dyDescent="0.25">
      <c r="A644" t="s">
        <v>19</v>
      </c>
      <c r="B644">
        <v>141.35</v>
      </c>
      <c r="C644">
        <v>119.55</v>
      </c>
      <c r="D644">
        <v>6.3001000000000005</v>
      </c>
      <c r="E644">
        <v>16.349999999999994</v>
      </c>
      <c r="F644">
        <v>119.55</v>
      </c>
      <c r="G644">
        <v>6.3001000000000005</v>
      </c>
      <c r="H644">
        <v>1.2</v>
      </c>
      <c r="I644">
        <v>0.9</v>
      </c>
      <c r="J644">
        <v>56.126477890366417</v>
      </c>
      <c r="K644">
        <v>1500</v>
      </c>
      <c r="L644">
        <v>0</v>
      </c>
      <c r="N644">
        <v>29</v>
      </c>
      <c r="O644" s="60" t="s">
        <v>2114</v>
      </c>
      <c r="P644" t="s">
        <v>805</v>
      </c>
      <c r="Q644" t="s">
        <v>2395</v>
      </c>
    </row>
    <row r="645" spans="1:17" x14ac:dyDescent="0.25">
      <c r="A645" t="s">
        <v>19</v>
      </c>
      <c r="B645">
        <v>16.349999999999994</v>
      </c>
      <c r="C645">
        <v>119.55</v>
      </c>
      <c r="D645">
        <v>6.3001000000000005</v>
      </c>
      <c r="E645">
        <v>16.349999999999994</v>
      </c>
      <c r="F645">
        <v>120.89999999999999</v>
      </c>
      <c r="G645">
        <v>6.3001000000000005</v>
      </c>
      <c r="H645">
        <v>1.2</v>
      </c>
      <c r="I645">
        <v>0.9</v>
      </c>
      <c r="J645">
        <v>0.60616596121595478</v>
      </c>
      <c r="K645">
        <v>1500</v>
      </c>
      <c r="L645">
        <v>0</v>
      </c>
      <c r="N645">
        <v>29</v>
      </c>
      <c r="O645" s="60" t="s">
        <v>2115</v>
      </c>
      <c r="P645" t="s">
        <v>806</v>
      </c>
      <c r="Q645" t="s">
        <v>1935</v>
      </c>
    </row>
    <row r="646" spans="1:17" x14ac:dyDescent="0.25">
      <c r="A646" t="s">
        <v>19</v>
      </c>
      <c r="B646">
        <v>16.349999999999994</v>
      </c>
      <c r="C646">
        <v>120.89999999999999</v>
      </c>
      <c r="D646">
        <v>6.3001000000000005</v>
      </c>
      <c r="E646">
        <v>141.35</v>
      </c>
      <c r="F646">
        <v>120.89999999999999</v>
      </c>
      <c r="G646">
        <v>6.3001000000000005</v>
      </c>
      <c r="H646">
        <v>1.2</v>
      </c>
      <c r="I646">
        <v>0.9</v>
      </c>
      <c r="J646">
        <v>56.126477890366417</v>
      </c>
      <c r="K646">
        <v>1500</v>
      </c>
      <c r="L646">
        <v>0</v>
      </c>
      <c r="N646">
        <v>29</v>
      </c>
      <c r="O646" s="60" t="s">
        <v>2116</v>
      </c>
      <c r="P646" t="s">
        <v>826</v>
      </c>
      <c r="Q646" t="s">
        <v>2394</v>
      </c>
    </row>
    <row r="647" spans="1:17" x14ac:dyDescent="0.25">
      <c r="A647" t="s">
        <v>19</v>
      </c>
      <c r="B647">
        <v>141.35</v>
      </c>
      <c r="C647">
        <v>120.89999999999999</v>
      </c>
      <c r="D647">
        <v>6.3001000000000005</v>
      </c>
      <c r="E647">
        <v>141.35</v>
      </c>
      <c r="F647">
        <v>124.94999999999999</v>
      </c>
      <c r="G647">
        <v>6.3001000000000005</v>
      </c>
      <c r="H647">
        <v>1.2</v>
      </c>
      <c r="I647">
        <v>0.9</v>
      </c>
      <c r="J647">
        <v>1.8184978836478705</v>
      </c>
      <c r="K647">
        <v>1500</v>
      </c>
      <c r="L647">
        <v>0</v>
      </c>
      <c r="N647">
        <v>29</v>
      </c>
      <c r="O647" s="60" t="s">
        <v>2117</v>
      </c>
      <c r="P647" t="s">
        <v>761</v>
      </c>
      <c r="Q647" t="s">
        <v>1938</v>
      </c>
    </row>
    <row r="648" spans="1:17" x14ac:dyDescent="0.25">
      <c r="A648" t="s">
        <v>19</v>
      </c>
      <c r="B648">
        <v>141.35</v>
      </c>
      <c r="C648">
        <v>124.95</v>
      </c>
      <c r="D648">
        <v>6.3001000000000005</v>
      </c>
      <c r="E648">
        <v>16.349999999999994</v>
      </c>
      <c r="F648">
        <v>124.95</v>
      </c>
      <c r="G648">
        <v>6.3001000000000005</v>
      </c>
      <c r="H648">
        <v>1.2</v>
      </c>
      <c r="I648">
        <v>0.9</v>
      </c>
      <c r="J648">
        <v>56.126477890366417</v>
      </c>
      <c r="K648">
        <v>1500</v>
      </c>
      <c r="L648">
        <v>0</v>
      </c>
      <c r="N648">
        <v>29</v>
      </c>
      <c r="O648" s="60" t="s">
        <v>2118</v>
      </c>
      <c r="P648" t="s">
        <v>805</v>
      </c>
      <c r="Q648" t="s">
        <v>2395</v>
      </c>
    </row>
    <row r="649" spans="1:17" x14ac:dyDescent="0.25">
      <c r="A649" t="s">
        <v>19</v>
      </c>
      <c r="B649">
        <v>16.349999999999994</v>
      </c>
      <c r="C649">
        <v>124.95</v>
      </c>
      <c r="D649">
        <v>6.3001000000000005</v>
      </c>
      <c r="E649">
        <v>16.349999999999994</v>
      </c>
      <c r="F649">
        <v>126.3</v>
      </c>
      <c r="G649">
        <v>6.3001000000000005</v>
      </c>
      <c r="H649">
        <v>1.2</v>
      </c>
      <c r="I649">
        <v>0.9</v>
      </c>
      <c r="J649">
        <v>0.60616596121595478</v>
      </c>
      <c r="K649">
        <v>1500</v>
      </c>
      <c r="L649">
        <v>0</v>
      </c>
      <c r="N649">
        <v>29</v>
      </c>
      <c r="O649" s="60" t="s">
        <v>2119</v>
      </c>
      <c r="P649" t="s">
        <v>806</v>
      </c>
      <c r="Q649" t="s">
        <v>1941</v>
      </c>
    </row>
    <row r="650" spans="1:17" x14ac:dyDescent="0.25">
      <c r="A650" t="s">
        <v>19</v>
      </c>
      <c r="B650">
        <v>16.349999999999994</v>
      </c>
      <c r="C650">
        <v>126.3</v>
      </c>
      <c r="D650">
        <v>6.3001000000000005</v>
      </c>
      <c r="E650">
        <v>141.35</v>
      </c>
      <c r="F650">
        <v>126.3</v>
      </c>
      <c r="G650">
        <v>6.3001000000000005</v>
      </c>
      <c r="H650">
        <v>1.2</v>
      </c>
      <c r="I650">
        <v>0.9</v>
      </c>
      <c r="J650">
        <v>56.126477890366417</v>
      </c>
      <c r="K650">
        <v>1500</v>
      </c>
      <c r="L650">
        <v>0</v>
      </c>
      <c r="N650">
        <v>29</v>
      </c>
      <c r="O650" s="60" t="s">
        <v>2120</v>
      </c>
      <c r="P650" t="s">
        <v>826</v>
      </c>
      <c r="Q650" t="s">
        <v>2394</v>
      </c>
    </row>
    <row r="651" spans="1:17" x14ac:dyDescent="0.25">
      <c r="A651" t="s">
        <v>19</v>
      </c>
      <c r="B651">
        <v>141.35</v>
      </c>
      <c r="C651">
        <v>126.3</v>
      </c>
      <c r="D651">
        <v>6.3001000000000005</v>
      </c>
      <c r="E651">
        <v>141.35</v>
      </c>
      <c r="F651">
        <v>130.35</v>
      </c>
      <c r="G651">
        <v>6.3001000000000005</v>
      </c>
      <c r="H651">
        <v>1.2</v>
      </c>
      <c r="I651">
        <v>0.9</v>
      </c>
      <c r="J651">
        <v>1.8184978836478705</v>
      </c>
      <c r="K651">
        <v>1500</v>
      </c>
      <c r="L651">
        <v>0</v>
      </c>
      <c r="N651">
        <v>29</v>
      </c>
      <c r="O651" s="60" t="s">
        <v>2121</v>
      </c>
      <c r="P651" t="s">
        <v>761</v>
      </c>
      <c r="Q651" t="s">
        <v>1944</v>
      </c>
    </row>
    <row r="652" spans="1:17" x14ac:dyDescent="0.25">
      <c r="A652" t="s">
        <v>49</v>
      </c>
      <c r="B652" t="s">
        <v>811</v>
      </c>
      <c r="N652">
        <v>29</v>
      </c>
      <c r="O652" s="60" t="s">
        <v>922</v>
      </c>
      <c r="P652" t="s">
        <v>759</v>
      </c>
      <c r="Q652" t="s">
        <v>811</v>
      </c>
    </row>
    <row r="653" spans="1:17" x14ac:dyDescent="0.25">
      <c r="A653" t="s">
        <v>49</v>
      </c>
      <c r="B653" t="s">
        <v>203</v>
      </c>
      <c r="C653">
        <v>0</v>
      </c>
      <c r="N653">
        <v>29</v>
      </c>
      <c r="O653" s="60" t="s">
        <v>923</v>
      </c>
      <c r="P653" t="s">
        <v>764</v>
      </c>
      <c r="Q653" t="s">
        <v>467</v>
      </c>
    </row>
    <row r="654" spans="1:17" x14ac:dyDescent="0.25">
      <c r="A654" t="s">
        <v>49</v>
      </c>
      <c r="B654" t="s">
        <v>634</v>
      </c>
      <c r="N654">
        <v>29</v>
      </c>
      <c r="O654" s="60" t="s">
        <v>924</v>
      </c>
      <c r="P654" t="s">
        <v>813</v>
      </c>
      <c r="Q654" t="s">
        <v>634</v>
      </c>
    </row>
    <row r="655" spans="1:17" x14ac:dyDescent="0.25">
      <c r="A655" t="s">
        <v>23</v>
      </c>
      <c r="B655">
        <v>141.35</v>
      </c>
      <c r="C655">
        <v>130.35</v>
      </c>
      <c r="D655">
        <v>6.3001000000000005</v>
      </c>
      <c r="E655">
        <v>15</v>
      </c>
      <c r="F655">
        <v>75</v>
      </c>
      <c r="G655">
        <v>6.3</v>
      </c>
      <c r="H655">
        <v>0</v>
      </c>
      <c r="I655">
        <v>0</v>
      </c>
      <c r="K655">
        <v>48000</v>
      </c>
      <c r="N655">
        <v>0</v>
      </c>
      <c r="O655" s="60">
        <v>0</v>
      </c>
      <c r="P655" t="s">
        <v>661</v>
      </c>
      <c r="Q655" t="s">
        <v>2122</v>
      </c>
    </row>
    <row r="656" spans="1:17" x14ac:dyDescent="0.25">
      <c r="A656" t="s">
        <v>19</v>
      </c>
      <c r="B656">
        <v>15</v>
      </c>
      <c r="C656">
        <v>75</v>
      </c>
      <c r="D656">
        <v>6.3</v>
      </c>
      <c r="E656">
        <v>15</v>
      </c>
      <c r="F656">
        <v>79.05</v>
      </c>
      <c r="G656">
        <v>6.3</v>
      </c>
      <c r="H656">
        <v>1.2</v>
      </c>
      <c r="I656">
        <v>0.9</v>
      </c>
      <c r="J656">
        <v>1.8184978836478705</v>
      </c>
      <c r="K656">
        <v>1500</v>
      </c>
      <c r="L656">
        <v>0</v>
      </c>
      <c r="N656">
        <v>29</v>
      </c>
      <c r="O656" s="60" t="s">
        <v>2123</v>
      </c>
      <c r="P656" t="s">
        <v>2018</v>
      </c>
      <c r="Q656" t="s">
        <v>879</v>
      </c>
    </row>
    <row r="657" spans="1:17" x14ac:dyDescent="0.25">
      <c r="A657" t="s">
        <v>19</v>
      </c>
      <c r="B657">
        <v>15</v>
      </c>
      <c r="C657">
        <v>79.05</v>
      </c>
      <c r="D657">
        <v>6.3</v>
      </c>
      <c r="E657">
        <v>140</v>
      </c>
      <c r="F657">
        <v>79.05</v>
      </c>
      <c r="G657">
        <v>6.3</v>
      </c>
      <c r="H657">
        <v>1.2</v>
      </c>
      <c r="I657">
        <v>0.9</v>
      </c>
      <c r="J657">
        <v>56.126477890366417</v>
      </c>
      <c r="K657">
        <v>1500</v>
      </c>
      <c r="L657">
        <v>0</v>
      </c>
      <c r="N657">
        <v>29</v>
      </c>
      <c r="O657" s="60" t="s">
        <v>2124</v>
      </c>
      <c r="P657" t="s">
        <v>2020</v>
      </c>
      <c r="Q657" t="s">
        <v>2396</v>
      </c>
    </row>
    <row r="658" spans="1:17" x14ac:dyDescent="0.25">
      <c r="A658" t="s">
        <v>19</v>
      </c>
      <c r="B658">
        <v>140</v>
      </c>
      <c r="C658">
        <v>79.05</v>
      </c>
      <c r="D658">
        <v>6.3</v>
      </c>
      <c r="E658">
        <v>140</v>
      </c>
      <c r="F658">
        <v>80.399999999999991</v>
      </c>
      <c r="G658">
        <v>6.3</v>
      </c>
      <c r="H658">
        <v>1.2</v>
      </c>
      <c r="I658">
        <v>0.9</v>
      </c>
      <c r="J658">
        <v>0.60616596121595478</v>
      </c>
      <c r="K658">
        <v>1500</v>
      </c>
      <c r="L658">
        <v>0</v>
      </c>
      <c r="N658">
        <v>29</v>
      </c>
      <c r="O658" s="60" t="s">
        <v>2125</v>
      </c>
      <c r="P658" t="s">
        <v>2022</v>
      </c>
      <c r="Q658" t="s">
        <v>880</v>
      </c>
    </row>
    <row r="659" spans="1:17" x14ac:dyDescent="0.25">
      <c r="A659" t="s">
        <v>19</v>
      </c>
      <c r="B659">
        <v>140</v>
      </c>
      <c r="C659">
        <v>80.399999999999991</v>
      </c>
      <c r="D659">
        <v>6.3</v>
      </c>
      <c r="E659">
        <v>15</v>
      </c>
      <c r="F659">
        <v>80.399999999999991</v>
      </c>
      <c r="G659">
        <v>6.3</v>
      </c>
      <c r="H659">
        <v>1.2</v>
      </c>
      <c r="I659">
        <v>0.9</v>
      </c>
      <c r="J659">
        <v>56.126477890366417</v>
      </c>
      <c r="K659">
        <v>1500</v>
      </c>
      <c r="L659">
        <v>0</v>
      </c>
      <c r="N659">
        <v>29</v>
      </c>
      <c r="O659" s="60" t="s">
        <v>2126</v>
      </c>
      <c r="P659" t="s">
        <v>2024</v>
      </c>
      <c r="Q659" t="s">
        <v>2397</v>
      </c>
    </row>
    <row r="660" spans="1:17" x14ac:dyDescent="0.25">
      <c r="A660" t="s">
        <v>19</v>
      </c>
      <c r="B660">
        <v>15</v>
      </c>
      <c r="C660">
        <v>80.400000000000006</v>
      </c>
      <c r="D660">
        <v>6.3</v>
      </c>
      <c r="E660">
        <v>15</v>
      </c>
      <c r="F660">
        <v>84.45</v>
      </c>
      <c r="G660">
        <v>6.3</v>
      </c>
      <c r="H660">
        <v>1.2</v>
      </c>
      <c r="I660">
        <v>0.9</v>
      </c>
      <c r="J660">
        <v>1.8184978836478705</v>
      </c>
      <c r="K660">
        <v>1500</v>
      </c>
      <c r="L660">
        <v>0</v>
      </c>
      <c r="N660">
        <v>29</v>
      </c>
      <c r="O660" s="60" t="s">
        <v>1366</v>
      </c>
      <c r="P660" t="s">
        <v>827</v>
      </c>
      <c r="Q660" t="s">
        <v>1065</v>
      </c>
    </row>
    <row r="661" spans="1:17" x14ac:dyDescent="0.25">
      <c r="A661" t="s">
        <v>19</v>
      </c>
      <c r="B661">
        <v>15</v>
      </c>
      <c r="C661">
        <v>84.45</v>
      </c>
      <c r="D661">
        <v>6.3</v>
      </c>
      <c r="E661">
        <v>140</v>
      </c>
      <c r="F661">
        <v>84.45</v>
      </c>
      <c r="G661">
        <v>6.3</v>
      </c>
      <c r="H661">
        <v>1.2</v>
      </c>
      <c r="I661">
        <v>0.9</v>
      </c>
      <c r="J661">
        <v>56.126477890366417</v>
      </c>
      <c r="K661">
        <v>1500</v>
      </c>
      <c r="L661">
        <v>0</v>
      </c>
      <c r="N661">
        <v>29</v>
      </c>
      <c r="O661" s="60" t="s">
        <v>1367</v>
      </c>
      <c r="P661" t="s">
        <v>828</v>
      </c>
      <c r="Q661" t="s">
        <v>2396</v>
      </c>
    </row>
    <row r="662" spans="1:17" x14ac:dyDescent="0.25">
      <c r="A662" t="s">
        <v>19</v>
      </c>
      <c r="B662">
        <v>140</v>
      </c>
      <c r="C662">
        <v>84.45</v>
      </c>
      <c r="D662">
        <v>6.3</v>
      </c>
      <c r="E662">
        <v>140</v>
      </c>
      <c r="F662">
        <v>85.8</v>
      </c>
      <c r="G662">
        <v>6.3</v>
      </c>
      <c r="H662">
        <v>1.2</v>
      </c>
      <c r="I662">
        <v>0.9</v>
      </c>
      <c r="J662">
        <v>0.60616596121595478</v>
      </c>
      <c r="K662">
        <v>1500</v>
      </c>
      <c r="L662">
        <v>0</v>
      </c>
      <c r="N662">
        <v>29</v>
      </c>
      <c r="O662" s="60" t="s">
        <v>1368</v>
      </c>
      <c r="P662" t="s">
        <v>829</v>
      </c>
      <c r="Q662" t="s">
        <v>1066</v>
      </c>
    </row>
    <row r="663" spans="1:17" x14ac:dyDescent="0.25">
      <c r="A663" t="s">
        <v>19</v>
      </c>
      <c r="B663">
        <v>140</v>
      </c>
      <c r="C663">
        <v>85.8</v>
      </c>
      <c r="D663">
        <v>6.3</v>
      </c>
      <c r="E663">
        <v>15</v>
      </c>
      <c r="F663">
        <v>85.8</v>
      </c>
      <c r="G663">
        <v>6.3</v>
      </c>
      <c r="H663">
        <v>1.2</v>
      </c>
      <c r="I663">
        <v>0.9</v>
      </c>
      <c r="J663">
        <v>56.126477890366417</v>
      </c>
      <c r="K663">
        <v>1500</v>
      </c>
      <c r="L663">
        <v>0</v>
      </c>
      <c r="N663">
        <v>29</v>
      </c>
      <c r="O663" s="60" t="s">
        <v>1369</v>
      </c>
      <c r="P663" t="s">
        <v>814</v>
      </c>
      <c r="Q663" t="s">
        <v>2397</v>
      </c>
    </row>
    <row r="664" spans="1:17" x14ac:dyDescent="0.25">
      <c r="A664" t="s">
        <v>19</v>
      </c>
      <c r="B664">
        <v>15</v>
      </c>
      <c r="C664">
        <v>85.8</v>
      </c>
      <c r="D664">
        <v>6.3</v>
      </c>
      <c r="E664">
        <v>15</v>
      </c>
      <c r="F664">
        <v>89.85</v>
      </c>
      <c r="G664">
        <v>6.3</v>
      </c>
      <c r="H664">
        <v>1.2</v>
      </c>
      <c r="I664">
        <v>0.9</v>
      </c>
      <c r="J664">
        <v>1.8184978836478705</v>
      </c>
      <c r="K664">
        <v>1500</v>
      </c>
      <c r="L664">
        <v>0</v>
      </c>
      <c r="N664">
        <v>29</v>
      </c>
      <c r="O664" s="60" t="s">
        <v>1370</v>
      </c>
      <c r="P664" t="s">
        <v>827</v>
      </c>
      <c r="Q664" t="s">
        <v>1067</v>
      </c>
    </row>
    <row r="665" spans="1:17" x14ac:dyDescent="0.25">
      <c r="A665" t="s">
        <v>19</v>
      </c>
      <c r="B665">
        <v>15</v>
      </c>
      <c r="C665">
        <v>89.85</v>
      </c>
      <c r="D665">
        <v>6.3</v>
      </c>
      <c r="E665">
        <v>140</v>
      </c>
      <c r="F665">
        <v>89.85</v>
      </c>
      <c r="G665">
        <v>6.3</v>
      </c>
      <c r="H665">
        <v>1.2</v>
      </c>
      <c r="I665">
        <v>0.9</v>
      </c>
      <c r="J665">
        <v>56.126477890366417</v>
      </c>
      <c r="K665">
        <v>1500</v>
      </c>
      <c r="L665">
        <v>0</v>
      </c>
      <c r="N665">
        <v>29</v>
      </c>
      <c r="O665" s="60" t="s">
        <v>1371</v>
      </c>
      <c r="P665" t="s">
        <v>828</v>
      </c>
      <c r="Q665" t="s">
        <v>2396</v>
      </c>
    </row>
    <row r="666" spans="1:17" x14ac:dyDescent="0.25">
      <c r="A666" t="s">
        <v>19</v>
      </c>
      <c r="B666">
        <v>140</v>
      </c>
      <c r="C666">
        <v>89.85</v>
      </c>
      <c r="D666">
        <v>6.3</v>
      </c>
      <c r="E666">
        <v>140</v>
      </c>
      <c r="F666">
        <v>91.199999999999989</v>
      </c>
      <c r="G666">
        <v>6.3</v>
      </c>
      <c r="H666">
        <v>1.2</v>
      </c>
      <c r="I666">
        <v>0.9</v>
      </c>
      <c r="J666">
        <v>0.60616596121595478</v>
      </c>
      <c r="K666">
        <v>1500</v>
      </c>
      <c r="L666">
        <v>0</v>
      </c>
      <c r="N666">
        <v>29</v>
      </c>
      <c r="O666" s="60" t="s">
        <v>1372</v>
      </c>
      <c r="P666" t="s">
        <v>829</v>
      </c>
      <c r="Q666" t="s">
        <v>1068</v>
      </c>
    </row>
    <row r="667" spans="1:17" x14ac:dyDescent="0.25">
      <c r="A667" t="s">
        <v>19</v>
      </c>
      <c r="B667">
        <v>140</v>
      </c>
      <c r="C667">
        <v>91.199999999999989</v>
      </c>
      <c r="D667">
        <v>6.3</v>
      </c>
      <c r="E667">
        <v>15</v>
      </c>
      <c r="F667">
        <v>91.199999999999989</v>
      </c>
      <c r="G667">
        <v>6.3</v>
      </c>
      <c r="H667">
        <v>1.2</v>
      </c>
      <c r="I667">
        <v>0.9</v>
      </c>
      <c r="J667">
        <v>56.126477890366417</v>
      </c>
      <c r="K667">
        <v>1500</v>
      </c>
      <c r="L667">
        <v>0</v>
      </c>
      <c r="N667">
        <v>29</v>
      </c>
      <c r="O667" s="60" t="s">
        <v>1373</v>
      </c>
      <c r="P667" t="s">
        <v>814</v>
      </c>
      <c r="Q667" t="s">
        <v>2397</v>
      </c>
    </row>
    <row r="668" spans="1:17" x14ac:dyDescent="0.25">
      <c r="A668" t="s">
        <v>19</v>
      </c>
      <c r="B668">
        <v>15</v>
      </c>
      <c r="C668">
        <v>91.2</v>
      </c>
      <c r="D668">
        <v>6.3</v>
      </c>
      <c r="E668">
        <v>15</v>
      </c>
      <c r="F668">
        <v>95.25</v>
      </c>
      <c r="G668">
        <v>6.3</v>
      </c>
      <c r="H668">
        <v>1.2</v>
      </c>
      <c r="I668">
        <v>0.9</v>
      </c>
      <c r="J668">
        <v>1.8184978836478705</v>
      </c>
      <c r="K668">
        <v>1500</v>
      </c>
      <c r="L668">
        <v>0</v>
      </c>
      <c r="N668">
        <v>29</v>
      </c>
      <c r="O668" s="60" t="s">
        <v>1374</v>
      </c>
      <c r="P668" t="s">
        <v>827</v>
      </c>
      <c r="Q668" t="s">
        <v>1069</v>
      </c>
    </row>
    <row r="669" spans="1:17" x14ac:dyDescent="0.25">
      <c r="A669" t="s">
        <v>19</v>
      </c>
      <c r="B669">
        <v>15</v>
      </c>
      <c r="C669">
        <v>95.25</v>
      </c>
      <c r="D669">
        <v>6.3</v>
      </c>
      <c r="E669">
        <v>140</v>
      </c>
      <c r="F669">
        <v>95.25</v>
      </c>
      <c r="G669">
        <v>6.3</v>
      </c>
      <c r="H669">
        <v>1.2</v>
      </c>
      <c r="I669">
        <v>0.9</v>
      </c>
      <c r="J669">
        <v>56.126477890366417</v>
      </c>
      <c r="K669">
        <v>1500</v>
      </c>
      <c r="L669">
        <v>0</v>
      </c>
      <c r="N669">
        <v>29</v>
      </c>
      <c r="O669" s="60" t="s">
        <v>1375</v>
      </c>
      <c r="P669" t="s">
        <v>828</v>
      </c>
      <c r="Q669" t="s">
        <v>2396</v>
      </c>
    </row>
    <row r="670" spans="1:17" x14ac:dyDescent="0.25">
      <c r="A670" t="s">
        <v>19</v>
      </c>
      <c r="B670">
        <v>140</v>
      </c>
      <c r="C670">
        <v>95.25</v>
      </c>
      <c r="D670">
        <v>6.3</v>
      </c>
      <c r="E670">
        <v>140</v>
      </c>
      <c r="F670">
        <v>96.6</v>
      </c>
      <c r="G670">
        <v>6.3</v>
      </c>
      <c r="H670">
        <v>1.2</v>
      </c>
      <c r="I670">
        <v>0.9</v>
      </c>
      <c r="J670">
        <v>0.60616596121595478</v>
      </c>
      <c r="K670">
        <v>1500</v>
      </c>
      <c r="L670">
        <v>0</v>
      </c>
      <c r="N670">
        <v>29</v>
      </c>
      <c r="O670" s="60" t="s">
        <v>1376</v>
      </c>
      <c r="P670" t="s">
        <v>829</v>
      </c>
      <c r="Q670" t="s">
        <v>1070</v>
      </c>
    </row>
    <row r="671" spans="1:17" x14ac:dyDescent="0.25">
      <c r="A671" t="s">
        <v>19</v>
      </c>
      <c r="B671">
        <v>140</v>
      </c>
      <c r="C671">
        <v>96.6</v>
      </c>
      <c r="D671">
        <v>6.3</v>
      </c>
      <c r="E671">
        <v>15</v>
      </c>
      <c r="F671">
        <v>96.6</v>
      </c>
      <c r="G671">
        <v>6.3</v>
      </c>
      <c r="H671">
        <v>1.2</v>
      </c>
      <c r="I671">
        <v>0.9</v>
      </c>
      <c r="J671">
        <v>56.126477890366417</v>
      </c>
      <c r="K671">
        <v>1500</v>
      </c>
      <c r="L671">
        <v>0</v>
      </c>
      <c r="N671">
        <v>29</v>
      </c>
      <c r="O671" s="60" t="s">
        <v>1377</v>
      </c>
      <c r="P671" t="s">
        <v>814</v>
      </c>
      <c r="Q671" t="s">
        <v>2397</v>
      </c>
    </row>
    <row r="672" spans="1:17" x14ac:dyDescent="0.25">
      <c r="A672" t="s">
        <v>19</v>
      </c>
      <c r="B672">
        <v>15</v>
      </c>
      <c r="C672">
        <v>96.6</v>
      </c>
      <c r="D672">
        <v>6.3</v>
      </c>
      <c r="E672">
        <v>15</v>
      </c>
      <c r="F672">
        <v>100.65</v>
      </c>
      <c r="G672">
        <v>6.3</v>
      </c>
      <c r="H672">
        <v>1.2</v>
      </c>
      <c r="I672">
        <v>0.9</v>
      </c>
      <c r="J672">
        <v>1.8184978836478705</v>
      </c>
      <c r="K672">
        <v>1500</v>
      </c>
      <c r="L672">
        <v>0</v>
      </c>
      <c r="N672">
        <v>29</v>
      </c>
      <c r="O672" s="60" t="s">
        <v>1378</v>
      </c>
      <c r="P672" t="s">
        <v>827</v>
      </c>
      <c r="Q672" t="s">
        <v>1071</v>
      </c>
    </row>
    <row r="673" spans="1:17" x14ac:dyDescent="0.25">
      <c r="A673" t="s">
        <v>19</v>
      </c>
      <c r="B673">
        <v>15</v>
      </c>
      <c r="C673">
        <v>100.65</v>
      </c>
      <c r="D673">
        <v>6.3</v>
      </c>
      <c r="E673">
        <v>140</v>
      </c>
      <c r="F673">
        <v>100.65</v>
      </c>
      <c r="G673">
        <v>6.3</v>
      </c>
      <c r="H673">
        <v>1.2</v>
      </c>
      <c r="I673">
        <v>0.9</v>
      </c>
      <c r="J673">
        <v>56.126477890366417</v>
      </c>
      <c r="K673">
        <v>1500</v>
      </c>
      <c r="L673">
        <v>0</v>
      </c>
      <c r="N673">
        <v>29</v>
      </c>
      <c r="O673" s="60" t="s">
        <v>1379</v>
      </c>
      <c r="P673" t="s">
        <v>828</v>
      </c>
      <c r="Q673" t="s">
        <v>2396</v>
      </c>
    </row>
    <row r="674" spans="1:17" x14ac:dyDescent="0.25">
      <c r="A674" t="s">
        <v>19</v>
      </c>
      <c r="B674">
        <v>140</v>
      </c>
      <c r="C674">
        <v>100.65</v>
      </c>
      <c r="D674">
        <v>6.3</v>
      </c>
      <c r="E674">
        <v>140</v>
      </c>
      <c r="F674">
        <v>102</v>
      </c>
      <c r="G674">
        <v>6.3</v>
      </c>
      <c r="H674">
        <v>1.2</v>
      </c>
      <c r="I674">
        <v>0.9</v>
      </c>
      <c r="J674">
        <v>0.60616596121595478</v>
      </c>
      <c r="K674">
        <v>1500</v>
      </c>
      <c r="L674">
        <v>0</v>
      </c>
      <c r="N674">
        <v>29</v>
      </c>
      <c r="O674" s="60" t="s">
        <v>1380</v>
      </c>
      <c r="P674" t="s">
        <v>829</v>
      </c>
      <c r="Q674" t="s">
        <v>1072</v>
      </c>
    </row>
    <row r="675" spans="1:17" x14ac:dyDescent="0.25">
      <c r="A675" t="s">
        <v>19</v>
      </c>
      <c r="B675">
        <v>140</v>
      </c>
      <c r="C675">
        <v>102</v>
      </c>
      <c r="D675">
        <v>6.3</v>
      </c>
      <c r="E675">
        <v>15</v>
      </c>
      <c r="F675">
        <v>102</v>
      </c>
      <c r="G675">
        <v>6.3</v>
      </c>
      <c r="H675">
        <v>1.2</v>
      </c>
      <c r="I675">
        <v>0.9</v>
      </c>
      <c r="J675">
        <v>56.126477890366417</v>
      </c>
      <c r="K675">
        <v>1500</v>
      </c>
      <c r="L675">
        <v>0</v>
      </c>
      <c r="N675">
        <v>29</v>
      </c>
      <c r="O675" s="60" t="s">
        <v>1381</v>
      </c>
      <c r="P675" t="s">
        <v>814</v>
      </c>
      <c r="Q675" t="s">
        <v>2397</v>
      </c>
    </row>
    <row r="676" spans="1:17" x14ac:dyDescent="0.25">
      <c r="A676" t="s">
        <v>19</v>
      </c>
      <c r="B676">
        <v>15</v>
      </c>
      <c r="C676">
        <v>102</v>
      </c>
      <c r="D676">
        <v>6.3</v>
      </c>
      <c r="E676">
        <v>15</v>
      </c>
      <c r="F676">
        <v>106.05</v>
      </c>
      <c r="G676">
        <v>6.3</v>
      </c>
      <c r="H676">
        <v>1.2</v>
      </c>
      <c r="I676">
        <v>0.9</v>
      </c>
      <c r="J676">
        <v>1.8184978836478705</v>
      </c>
      <c r="K676">
        <v>1500</v>
      </c>
      <c r="L676">
        <v>0</v>
      </c>
      <c r="N676">
        <v>29</v>
      </c>
      <c r="O676" s="60" t="s">
        <v>1382</v>
      </c>
      <c r="P676" t="s">
        <v>827</v>
      </c>
      <c r="Q676" t="s">
        <v>1073</v>
      </c>
    </row>
    <row r="677" spans="1:17" x14ac:dyDescent="0.25">
      <c r="A677" t="s">
        <v>19</v>
      </c>
      <c r="B677">
        <v>15</v>
      </c>
      <c r="C677">
        <v>106.05</v>
      </c>
      <c r="D677">
        <v>6.3</v>
      </c>
      <c r="E677">
        <v>140</v>
      </c>
      <c r="F677">
        <v>106.05</v>
      </c>
      <c r="G677">
        <v>6.3</v>
      </c>
      <c r="H677">
        <v>1.2</v>
      </c>
      <c r="I677">
        <v>0.9</v>
      </c>
      <c r="J677">
        <v>56.126477890366417</v>
      </c>
      <c r="K677">
        <v>1500</v>
      </c>
      <c r="L677">
        <v>0</v>
      </c>
      <c r="N677">
        <v>29</v>
      </c>
      <c r="O677" s="60" t="s">
        <v>1383</v>
      </c>
      <c r="P677" t="s">
        <v>828</v>
      </c>
      <c r="Q677" t="s">
        <v>2396</v>
      </c>
    </row>
    <row r="678" spans="1:17" x14ac:dyDescent="0.25">
      <c r="A678" t="s">
        <v>19</v>
      </c>
      <c r="B678">
        <v>140</v>
      </c>
      <c r="C678">
        <v>106.05</v>
      </c>
      <c r="D678">
        <v>6.3</v>
      </c>
      <c r="E678">
        <v>140</v>
      </c>
      <c r="F678">
        <v>107.39999999999999</v>
      </c>
      <c r="G678">
        <v>6.3</v>
      </c>
      <c r="H678">
        <v>1.2</v>
      </c>
      <c r="I678">
        <v>0.9</v>
      </c>
      <c r="J678">
        <v>0.60616596121595478</v>
      </c>
      <c r="K678">
        <v>1500</v>
      </c>
      <c r="L678">
        <v>0</v>
      </c>
      <c r="N678">
        <v>29</v>
      </c>
      <c r="O678" s="60" t="s">
        <v>1384</v>
      </c>
      <c r="P678" t="s">
        <v>829</v>
      </c>
      <c r="Q678" t="s">
        <v>1074</v>
      </c>
    </row>
    <row r="679" spans="1:17" x14ac:dyDescent="0.25">
      <c r="A679" t="s">
        <v>19</v>
      </c>
      <c r="B679">
        <v>140</v>
      </c>
      <c r="C679">
        <v>107.39999999999999</v>
      </c>
      <c r="D679">
        <v>6.3</v>
      </c>
      <c r="E679">
        <v>15</v>
      </c>
      <c r="F679">
        <v>107.39999999999999</v>
      </c>
      <c r="G679">
        <v>6.3</v>
      </c>
      <c r="H679">
        <v>1.2</v>
      </c>
      <c r="I679">
        <v>0.9</v>
      </c>
      <c r="J679">
        <v>56.126477890366417</v>
      </c>
      <c r="K679">
        <v>1500</v>
      </c>
      <c r="L679">
        <v>0</v>
      </c>
      <c r="N679">
        <v>29</v>
      </c>
      <c r="O679" s="60" t="s">
        <v>1385</v>
      </c>
      <c r="P679" t="s">
        <v>814</v>
      </c>
      <c r="Q679" t="s">
        <v>2397</v>
      </c>
    </row>
    <row r="680" spans="1:17" x14ac:dyDescent="0.25">
      <c r="A680" t="s">
        <v>19</v>
      </c>
      <c r="B680">
        <v>15</v>
      </c>
      <c r="C680">
        <v>107.4</v>
      </c>
      <c r="D680">
        <v>6.3</v>
      </c>
      <c r="E680">
        <v>15</v>
      </c>
      <c r="F680">
        <v>111.45</v>
      </c>
      <c r="G680">
        <v>6.3</v>
      </c>
      <c r="H680">
        <v>1.2</v>
      </c>
      <c r="I680">
        <v>0.9</v>
      </c>
      <c r="J680">
        <v>1.8184978836478705</v>
      </c>
      <c r="K680">
        <v>1500</v>
      </c>
      <c r="L680">
        <v>0</v>
      </c>
      <c r="N680">
        <v>29</v>
      </c>
      <c r="O680" s="60" t="s">
        <v>1386</v>
      </c>
      <c r="P680" t="s">
        <v>827</v>
      </c>
      <c r="Q680" t="s">
        <v>1075</v>
      </c>
    </row>
    <row r="681" spans="1:17" x14ac:dyDescent="0.25">
      <c r="A681" t="s">
        <v>19</v>
      </c>
      <c r="B681">
        <v>15</v>
      </c>
      <c r="C681">
        <v>111.45</v>
      </c>
      <c r="D681">
        <v>6.3</v>
      </c>
      <c r="E681">
        <v>140</v>
      </c>
      <c r="F681">
        <v>111.45</v>
      </c>
      <c r="G681">
        <v>6.3</v>
      </c>
      <c r="H681">
        <v>1.2</v>
      </c>
      <c r="I681">
        <v>0.9</v>
      </c>
      <c r="J681">
        <v>56.126477890366417</v>
      </c>
      <c r="K681">
        <v>1500</v>
      </c>
      <c r="L681">
        <v>0</v>
      </c>
      <c r="N681">
        <v>29</v>
      </c>
      <c r="O681" s="60" t="s">
        <v>1387</v>
      </c>
      <c r="P681" t="s">
        <v>828</v>
      </c>
      <c r="Q681" t="s">
        <v>2396</v>
      </c>
    </row>
    <row r="682" spans="1:17" x14ac:dyDescent="0.25">
      <c r="A682" t="s">
        <v>19</v>
      </c>
      <c r="B682">
        <v>140</v>
      </c>
      <c r="C682">
        <v>111.45</v>
      </c>
      <c r="D682">
        <v>6.3</v>
      </c>
      <c r="E682">
        <v>140</v>
      </c>
      <c r="F682">
        <v>112.8</v>
      </c>
      <c r="G682">
        <v>6.3</v>
      </c>
      <c r="H682">
        <v>1.2</v>
      </c>
      <c r="I682">
        <v>0.9</v>
      </c>
      <c r="J682">
        <v>0.60616596121595478</v>
      </c>
      <c r="K682">
        <v>1500</v>
      </c>
      <c r="L682">
        <v>0</v>
      </c>
      <c r="N682">
        <v>29</v>
      </c>
      <c r="O682" s="60" t="s">
        <v>1388</v>
      </c>
      <c r="P682" t="s">
        <v>829</v>
      </c>
      <c r="Q682" t="s">
        <v>1076</v>
      </c>
    </row>
    <row r="683" spans="1:17" x14ac:dyDescent="0.25">
      <c r="A683" t="s">
        <v>19</v>
      </c>
      <c r="B683">
        <v>140</v>
      </c>
      <c r="C683">
        <v>112.8</v>
      </c>
      <c r="D683">
        <v>6.3</v>
      </c>
      <c r="E683">
        <v>15</v>
      </c>
      <c r="F683">
        <v>112.8</v>
      </c>
      <c r="G683">
        <v>6.3</v>
      </c>
      <c r="H683">
        <v>1.2</v>
      </c>
      <c r="I683">
        <v>0.9</v>
      </c>
      <c r="J683">
        <v>56.126477890366417</v>
      </c>
      <c r="K683">
        <v>1500</v>
      </c>
      <c r="L683">
        <v>0</v>
      </c>
      <c r="N683">
        <v>29</v>
      </c>
      <c r="O683" s="60" t="s">
        <v>1389</v>
      </c>
      <c r="P683" t="s">
        <v>814</v>
      </c>
      <c r="Q683" t="s">
        <v>2397</v>
      </c>
    </row>
    <row r="684" spans="1:17" x14ac:dyDescent="0.25">
      <c r="A684" t="s">
        <v>19</v>
      </c>
      <c r="B684">
        <v>15</v>
      </c>
      <c r="C684">
        <v>112.8</v>
      </c>
      <c r="D684">
        <v>6.3</v>
      </c>
      <c r="E684">
        <v>15</v>
      </c>
      <c r="F684">
        <v>116.85</v>
      </c>
      <c r="G684">
        <v>6.3</v>
      </c>
      <c r="H684">
        <v>1.2</v>
      </c>
      <c r="I684">
        <v>0.9</v>
      </c>
      <c r="J684">
        <v>1.8184978836478705</v>
      </c>
      <c r="K684">
        <v>1500</v>
      </c>
      <c r="L684">
        <v>0</v>
      </c>
      <c r="N684">
        <v>29</v>
      </c>
      <c r="O684" s="60" t="s">
        <v>1390</v>
      </c>
      <c r="P684" t="s">
        <v>827</v>
      </c>
      <c r="Q684" t="s">
        <v>1077</v>
      </c>
    </row>
    <row r="685" spans="1:17" x14ac:dyDescent="0.25">
      <c r="A685" t="s">
        <v>19</v>
      </c>
      <c r="B685">
        <v>15</v>
      </c>
      <c r="C685">
        <v>116.85</v>
      </c>
      <c r="D685">
        <v>6.3</v>
      </c>
      <c r="E685">
        <v>140</v>
      </c>
      <c r="F685">
        <v>116.85</v>
      </c>
      <c r="G685">
        <v>6.3</v>
      </c>
      <c r="H685">
        <v>1.2</v>
      </c>
      <c r="I685">
        <v>0.9</v>
      </c>
      <c r="J685">
        <v>56.126477890366417</v>
      </c>
      <c r="K685">
        <v>1500</v>
      </c>
      <c r="L685">
        <v>0</v>
      </c>
      <c r="N685">
        <v>29</v>
      </c>
      <c r="O685" s="60" t="s">
        <v>1391</v>
      </c>
      <c r="P685" t="s">
        <v>828</v>
      </c>
      <c r="Q685" t="s">
        <v>2396</v>
      </c>
    </row>
    <row r="686" spans="1:17" x14ac:dyDescent="0.25">
      <c r="A686" t="s">
        <v>19</v>
      </c>
      <c r="B686">
        <v>140</v>
      </c>
      <c r="C686">
        <v>116.85</v>
      </c>
      <c r="D686">
        <v>6.3</v>
      </c>
      <c r="E686">
        <v>140</v>
      </c>
      <c r="F686">
        <v>118.19999999999999</v>
      </c>
      <c r="G686">
        <v>6.3</v>
      </c>
      <c r="H686">
        <v>1.2</v>
      </c>
      <c r="I686">
        <v>0.9</v>
      </c>
      <c r="J686">
        <v>0.60616596121595478</v>
      </c>
      <c r="K686">
        <v>1500</v>
      </c>
      <c r="L686">
        <v>0</v>
      </c>
      <c r="N686">
        <v>29</v>
      </c>
      <c r="O686" s="60" t="s">
        <v>1392</v>
      </c>
      <c r="P686" t="s">
        <v>829</v>
      </c>
      <c r="Q686" t="s">
        <v>1078</v>
      </c>
    </row>
    <row r="687" spans="1:17" x14ac:dyDescent="0.25">
      <c r="A687" t="s">
        <v>19</v>
      </c>
      <c r="B687">
        <v>140</v>
      </c>
      <c r="C687">
        <v>118.19999999999999</v>
      </c>
      <c r="D687">
        <v>6.3</v>
      </c>
      <c r="E687">
        <v>15</v>
      </c>
      <c r="F687">
        <v>118.19999999999999</v>
      </c>
      <c r="G687">
        <v>6.3</v>
      </c>
      <c r="H687">
        <v>1.2</v>
      </c>
      <c r="I687">
        <v>0.9</v>
      </c>
      <c r="J687">
        <v>56.126477890366417</v>
      </c>
      <c r="K687">
        <v>1500</v>
      </c>
      <c r="L687">
        <v>0</v>
      </c>
      <c r="N687">
        <v>29</v>
      </c>
      <c r="O687" s="60" t="s">
        <v>1393</v>
      </c>
      <c r="P687" t="s">
        <v>814</v>
      </c>
      <c r="Q687" t="s">
        <v>2397</v>
      </c>
    </row>
    <row r="688" spans="1:17" x14ac:dyDescent="0.25">
      <c r="A688" t="s">
        <v>19</v>
      </c>
      <c r="B688">
        <v>15</v>
      </c>
      <c r="C688">
        <v>118.2</v>
      </c>
      <c r="D688">
        <v>6.3</v>
      </c>
      <c r="E688">
        <v>15</v>
      </c>
      <c r="F688">
        <v>122.25</v>
      </c>
      <c r="G688">
        <v>6.3</v>
      </c>
      <c r="H688">
        <v>1.2</v>
      </c>
      <c r="I688">
        <v>0.9</v>
      </c>
      <c r="J688">
        <v>1.8184978836478705</v>
      </c>
      <c r="K688">
        <v>1500</v>
      </c>
      <c r="L688">
        <v>0</v>
      </c>
      <c r="N688">
        <v>29</v>
      </c>
      <c r="O688" s="60" t="s">
        <v>2127</v>
      </c>
      <c r="P688" t="s">
        <v>827</v>
      </c>
      <c r="Q688" t="s">
        <v>1955</v>
      </c>
    </row>
    <row r="689" spans="1:17" x14ac:dyDescent="0.25">
      <c r="A689" t="s">
        <v>19</v>
      </c>
      <c r="B689">
        <v>15</v>
      </c>
      <c r="C689">
        <v>122.25</v>
      </c>
      <c r="D689">
        <v>6.3</v>
      </c>
      <c r="E689">
        <v>140</v>
      </c>
      <c r="F689">
        <v>122.25</v>
      </c>
      <c r="G689">
        <v>6.3</v>
      </c>
      <c r="H689">
        <v>1.2</v>
      </c>
      <c r="I689">
        <v>0.9</v>
      </c>
      <c r="J689">
        <v>56.126477890366417</v>
      </c>
      <c r="K689">
        <v>1500</v>
      </c>
      <c r="L689">
        <v>0</v>
      </c>
      <c r="N689">
        <v>29</v>
      </c>
      <c r="O689" s="60" t="s">
        <v>2128</v>
      </c>
      <c r="P689" t="s">
        <v>828</v>
      </c>
      <c r="Q689" t="s">
        <v>2396</v>
      </c>
    </row>
    <row r="690" spans="1:17" x14ac:dyDescent="0.25">
      <c r="A690" t="s">
        <v>19</v>
      </c>
      <c r="B690">
        <v>140</v>
      </c>
      <c r="C690">
        <v>122.25</v>
      </c>
      <c r="D690">
        <v>6.3</v>
      </c>
      <c r="E690">
        <v>140</v>
      </c>
      <c r="F690">
        <v>123.6</v>
      </c>
      <c r="G690">
        <v>6.3</v>
      </c>
      <c r="H690">
        <v>1.2</v>
      </c>
      <c r="I690">
        <v>0.9</v>
      </c>
      <c r="J690">
        <v>0.60616596121595478</v>
      </c>
      <c r="K690">
        <v>1500</v>
      </c>
      <c r="L690">
        <v>0</v>
      </c>
      <c r="N690">
        <v>29</v>
      </c>
      <c r="O690" s="60" t="s">
        <v>2129</v>
      </c>
      <c r="P690" t="s">
        <v>829</v>
      </c>
      <c r="Q690" t="s">
        <v>1958</v>
      </c>
    </row>
    <row r="691" spans="1:17" x14ac:dyDescent="0.25">
      <c r="A691" t="s">
        <v>19</v>
      </c>
      <c r="B691">
        <v>140</v>
      </c>
      <c r="C691">
        <v>123.6</v>
      </c>
      <c r="D691">
        <v>6.3</v>
      </c>
      <c r="E691">
        <v>15</v>
      </c>
      <c r="F691">
        <v>123.6</v>
      </c>
      <c r="G691">
        <v>6.3</v>
      </c>
      <c r="H691">
        <v>1.2</v>
      </c>
      <c r="I691">
        <v>0.9</v>
      </c>
      <c r="J691">
        <v>56.126477890366417</v>
      </c>
      <c r="K691">
        <v>1500</v>
      </c>
      <c r="L691">
        <v>0</v>
      </c>
      <c r="N691">
        <v>29</v>
      </c>
      <c r="O691" s="60" t="s">
        <v>2130</v>
      </c>
      <c r="P691" t="s">
        <v>814</v>
      </c>
      <c r="Q691" t="s">
        <v>2397</v>
      </c>
    </row>
    <row r="692" spans="1:17" x14ac:dyDescent="0.25">
      <c r="A692" t="s">
        <v>19</v>
      </c>
      <c r="B692">
        <v>15</v>
      </c>
      <c r="C692">
        <v>123.60000000000001</v>
      </c>
      <c r="D692">
        <v>6.3</v>
      </c>
      <c r="E692">
        <v>15</v>
      </c>
      <c r="F692">
        <v>127.65</v>
      </c>
      <c r="G692">
        <v>6.3</v>
      </c>
      <c r="H692">
        <v>1.2</v>
      </c>
      <c r="I692">
        <v>0.9</v>
      </c>
      <c r="J692">
        <v>1.8184978836478705</v>
      </c>
      <c r="K692">
        <v>1500</v>
      </c>
      <c r="L692">
        <v>0</v>
      </c>
      <c r="N692">
        <v>29</v>
      </c>
      <c r="O692" s="60" t="s">
        <v>2131</v>
      </c>
      <c r="P692" t="s">
        <v>827</v>
      </c>
      <c r="Q692" t="s">
        <v>1961</v>
      </c>
    </row>
    <row r="693" spans="1:17" x14ac:dyDescent="0.25">
      <c r="A693" t="s">
        <v>19</v>
      </c>
      <c r="B693">
        <v>15</v>
      </c>
      <c r="C693">
        <v>127.65</v>
      </c>
      <c r="D693">
        <v>6.3</v>
      </c>
      <c r="E693">
        <v>140</v>
      </c>
      <c r="F693">
        <v>127.65</v>
      </c>
      <c r="G693">
        <v>6.3</v>
      </c>
      <c r="H693">
        <v>1.2</v>
      </c>
      <c r="I693">
        <v>0.9</v>
      </c>
      <c r="J693">
        <v>56.126477890366417</v>
      </c>
      <c r="K693">
        <v>1500</v>
      </c>
      <c r="L693">
        <v>0</v>
      </c>
      <c r="N693">
        <v>29</v>
      </c>
      <c r="O693" s="60" t="s">
        <v>2132</v>
      </c>
      <c r="P693" t="s">
        <v>828</v>
      </c>
      <c r="Q693" t="s">
        <v>2396</v>
      </c>
    </row>
    <row r="694" spans="1:17" x14ac:dyDescent="0.25">
      <c r="A694" t="s">
        <v>19</v>
      </c>
      <c r="B694">
        <v>140</v>
      </c>
      <c r="C694">
        <v>127.65</v>
      </c>
      <c r="D694">
        <v>6.3</v>
      </c>
      <c r="E694">
        <v>140</v>
      </c>
      <c r="F694">
        <v>129</v>
      </c>
      <c r="G694">
        <v>6.3</v>
      </c>
      <c r="H694">
        <v>1.2</v>
      </c>
      <c r="I694">
        <v>0.9</v>
      </c>
      <c r="J694">
        <v>0.60616596121595478</v>
      </c>
      <c r="K694">
        <v>1500</v>
      </c>
      <c r="L694">
        <v>0</v>
      </c>
      <c r="N694">
        <v>29</v>
      </c>
      <c r="O694" s="60" t="s">
        <v>2133</v>
      </c>
      <c r="P694" t="s">
        <v>829</v>
      </c>
      <c r="Q694" t="s">
        <v>1964</v>
      </c>
    </row>
    <row r="695" spans="1:17" x14ac:dyDescent="0.25">
      <c r="A695" t="s">
        <v>19</v>
      </c>
      <c r="B695">
        <v>140</v>
      </c>
      <c r="C695">
        <v>129</v>
      </c>
      <c r="D695">
        <v>6.3</v>
      </c>
      <c r="E695">
        <v>15</v>
      </c>
      <c r="F695">
        <v>129</v>
      </c>
      <c r="G695">
        <v>6.3</v>
      </c>
      <c r="H695">
        <v>1.2</v>
      </c>
      <c r="I695">
        <v>0.9</v>
      </c>
      <c r="J695">
        <v>56.126477890366417</v>
      </c>
      <c r="K695">
        <v>1500</v>
      </c>
      <c r="L695">
        <v>0</v>
      </c>
      <c r="N695">
        <v>29</v>
      </c>
      <c r="O695" s="60" t="s">
        <v>2134</v>
      </c>
      <c r="P695" t="s">
        <v>814</v>
      </c>
      <c r="Q695" t="s">
        <v>2397</v>
      </c>
    </row>
    <row r="696" spans="1:17" x14ac:dyDescent="0.25">
      <c r="A696" t="s">
        <v>39</v>
      </c>
      <c r="B696">
        <v>-1.25</v>
      </c>
      <c r="C696">
        <v>2100</v>
      </c>
      <c r="N696">
        <v>29</v>
      </c>
      <c r="O696" s="60" t="s">
        <v>925</v>
      </c>
      <c r="P696" t="s">
        <v>757</v>
      </c>
      <c r="Q696" t="s">
        <v>845</v>
      </c>
    </row>
    <row r="697" spans="1:17" x14ac:dyDescent="0.25">
      <c r="A697" t="s">
        <v>660</v>
      </c>
      <c r="B697">
        <v>0.9</v>
      </c>
      <c r="C697">
        <v>10000</v>
      </c>
      <c r="N697">
        <v>29</v>
      </c>
      <c r="O697" s="60" t="s">
        <v>925</v>
      </c>
      <c r="P697" t="s">
        <v>757</v>
      </c>
      <c r="Q697" t="s">
        <v>725</v>
      </c>
    </row>
    <row r="698" spans="1:17" x14ac:dyDescent="0.25">
      <c r="A698" t="s">
        <v>23</v>
      </c>
      <c r="B698">
        <v>15</v>
      </c>
      <c r="C698">
        <v>129</v>
      </c>
      <c r="D698">
        <v>6.3</v>
      </c>
      <c r="E698">
        <v>15</v>
      </c>
      <c r="F698">
        <v>75</v>
      </c>
      <c r="G698">
        <v>7.2</v>
      </c>
      <c r="H698">
        <v>0</v>
      </c>
      <c r="I698">
        <v>0</v>
      </c>
      <c r="K698">
        <v>48000</v>
      </c>
      <c r="N698">
        <v>0</v>
      </c>
      <c r="O698" s="60">
        <v>0</v>
      </c>
      <c r="P698" t="s">
        <v>661</v>
      </c>
      <c r="Q698" t="s">
        <v>2135</v>
      </c>
    </row>
    <row r="699" spans="1:17" x14ac:dyDescent="0.25">
      <c r="A699" t="s">
        <v>19</v>
      </c>
      <c r="B699">
        <v>15</v>
      </c>
      <c r="C699">
        <v>75</v>
      </c>
      <c r="D699">
        <v>7.2</v>
      </c>
      <c r="E699">
        <v>15</v>
      </c>
      <c r="F699">
        <v>79.05</v>
      </c>
      <c r="G699">
        <v>7.2</v>
      </c>
      <c r="H699">
        <v>1.2</v>
      </c>
      <c r="I699">
        <v>0.9</v>
      </c>
      <c r="J699">
        <v>1.8184978836478705</v>
      </c>
      <c r="K699">
        <v>1500</v>
      </c>
      <c r="L699">
        <v>0</v>
      </c>
      <c r="N699">
        <v>29</v>
      </c>
      <c r="O699" s="60" t="s">
        <v>2136</v>
      </c>
      <c r="P699" t="s">
        <v>1968</v>
      </c>
      <c r="Q699" t="s">
        <v>879</v>
      </c>
    </row>
    <row r="700" spans="1:17" x14ac:dyDescent="0.25">
      <c r="A700" t="s">
        <v>19</v>
      </c>
      <c r="B700">
        <v>15</v>
      </c>
      <c r="C700">
        <v>79.05</v>
      </c>
      <c r="D700">
        <v>7.2</v>
      </c>
      <c r="E700">
        <v>140</v>
      </c>
      <c r="F700">
        <v>79.05</v>
      </c>
      <c r="G700">
        <v>7.2</v>
      </c>
      <c r="H700">
        <v>1.2</v>
      </c>
      <c r="I700">
        <v>0.9</v>
      </c>
      <c r="J700">
        <v>56.126477890366417</v>
      </c>
      <c r="K700">
        <v>1500</v>
      </c>
      <c r="L700">
        <v>0</v>
      </c>
      <c r="N700">
        <v>29</v>
      </c>
      <c r="O700" s="60" t="s">
        <v>2137</v>
      </c>
      <c r="P700" t="s">
        <v>1970</v>
      </c>
      <c r="Q700" t="s">
        <v>2396</v>
      </c>
    </row>
    <row r="701" spans="1:17" x14ac:dyDescent="0.25">
      <c r="A701" t="s">
        <v>19</v>
      </c>
      <c r="B701">
        <v>140</v>
      </c>
      <c r="C701">
        <v>79.05</v>
      </c>
      <c r="D701">
        <v>7.2</v>
      </c>
      <c r="E701">
        <v>140</v>
      </c>
      <c r="F701">
        <v>80.399999999999991</v>
      </c>
      <c r="G701">
        <v>7.2</v>
      </c>
      <c r="H701">
        <v>1.2</v>
      </c>
      <c r="I701">
        <v>0.9</v>
      </c>
      <c r="J701">
        <v>0.60616596121595478</v>
      </c>
      <c r="K701">
        <v>1500</v>
      </c>
      <c r="L701">
        <v>0</v>
      </c>
      <c r="N701">
        <v>29</v>
      </c>
      <c r="O701" s="60" t="s">
        <v>2138</v>
      </c>
      <c r="P701" t="s">
        <v>1972</v>
      </c>
      <c r="Q701" t="s">
        <v>880</v>
      </c>
    </row>
    <row r="702" spans="1:17" x14ac:dyDescent="0.25">
      <c r="A702" t="s">
        <v>19</v>
      </c>
      <c r="B702">
        <v>140</v>
      </c>
      <c r="C702">
        <v>80.399999999999991</v>
      </c>
      <c r="D702">
        <v>7.2</v>
      </c>
      <c r="E702">
        <v>15</v>
      </c>
      <c r="F702">
        <v>80.399999999999991</v>
      </c>
      <c r="G702">
        <v>7.2</v>
      </c>
      <c r="H702">
        <v>1.2</v>
      </c>
      <c r="I702">
        <v>0.9</v>
      </c>
      <c r="J702">
        <v>56.126477890366417</v>
      </c>
      <c r="K702">
        <v>1500</v>
      </c>
      <c r="L702">
        <v>0</v>
      </c>
      <c r="N702">
        <v>29</v>
      </c>
      <c r="O702" s="60" t="s">
        <v>2139</v>
      </c>
      <c r="P702" t="s">
        <v>1974</v>
      </c>
      <c r="Q702" t="s">
        <v>2397</v>
      </c>
    </row>
    <row r="703" spans="1:17" x14ac:dyDescent="0.25">
      <c r="A703" t="s">
        <v>19</v>
      </c>
      <c r="B703">
        <v>15</v>
      </c>
      <c r="C703">
        <v>80.400000000000006</v>
      </c>
      <c r="D703">
        <v>7.2</v>
      </c>
      <c r="E703">
        <v>15</v>
      </c>
      <c r="F703">
        <v>84.45</v>
      </c>
      <c r="G703">
        <v>7.2</v>
      </c>
      <c r="H703">
        <v>1.2</v>
      </c>
      <c r="I703">
        <v>0.9</v>
      </c>
      <c r="J703">
        <v>1.8184978836478705</v>
      </c>
      <c r="K703">
        <v>1500</v>
      </c>
      <c r="L703">
        <v>0</v>
      </c>
      <c r="N703">
        <v>29</v>
      </c>
      <c r="O703" s="60" t="s">
        <v>1394</v>
      </c>
      <c r="P703" t="s">
        <v>823</v>
      </c>
      <c r="Q703" t="s">
        <v>1065</v>
      </c>
    </row>
    <row r="704" spans="1:17" x14ac:dyDescent="0.25">
      <c r="A704" t="s">
        <v>19</v>
      </c>
      <c r="B704">
        <v>15</v>
      </c>
      <c r="C704">
        <v>84.45</v>
      </c>
      <c r="D704">
        <v>7.2</v>
      </c>
      <c r="E704">
        <v>140</v>
      </c>
      <c r="F704">
        <v>84.45</v>
      </c>
      <c r="G704">
        <v>7.2</v>
      </c>
      <c r="H704">
        <v>1.2</v>
      </c>
      <c r="I704">
        <v>0.9</v>
      </c>
      <c r="J704">
        <v>56.126477890366417</v>
      </c>
      <c r="K704">
        <v>1500</v>
      </c>
      <c r="L704">
        <v>0</v>
      </c>
      <c r="N704">
        <v>29</v>
      </c>
      <c r="O704" s="60" t="s">
        <v>1395</v>
      </c>
      <c r="P704" t="s">
        <v>750</v>
      </c>
      <c r="Q704" t="s">
        <v>2396</v>
      </c>
    </row>
    <row r="705" spans="1:17" x14ac:dyDescent="0.25">
      <c r="A705" t="s">
        <v>19</v>
      </c>
      <c r="B705">
        <v>140</v>
      </c>
      <c r="C705">
        <v>84.45</v>
      </c>
      <c r="D705">
        <v>7.2</v>
      </c>
      <c r="E705">
        <v>140</v>
      </c>
      <c r="F705">
        <v>85.8</v>
      </c>
      <c r="G705">
        <v>7.2</v>
      </c>
      <c r="H705">
        <v>1.2</v>
      </c>
      <c r="I705">
        <v>0.9</v>
      </c>
      <c r="J705">
        <v>0.60616596121595478</v>
      </c>
      <c r="K705">
        <v>1500</v>
      </c>
      <c r="L705">
        <v>0</v>
      </c>
      <c r="N705">
        <v>29</v>
      </c>
      <c r="O705" s="60" t="s">
        <v>1396</v>
      </c>
      <c r="P705" t="s">
        <v>751</v>
      </c>
      <c r="Q705" t="s">
        <v>1066</v>
      </c>
    </row>
    <row r="706" spans="1:17" x14ac:dyDescent="0.25">
      <c r="A706" t="s">
        <v>19</v>
      </c>
      <c r="B706">
        <v>140</v>
      </c>
      <c r="C706">
        <v>85.8</v>
      </c>
      <c r="D706">
        <v>7.2</v>
      </c>
      <c r="E706">
        <v>15</v>
      </c>
      <c r="F706">
        <v>85.8</v>
      </c>
      <c r="G706">
        <v>7.2</v>
      </c>
      <c r="H706">
        <v>1.2</v>
      </c>
      <c r="I706">
        <v>0.9</v>
      </c>
      <c r="J706">
        <v>56.126477890366417</v>
      </c>
      <c r="K706">
        <v>1500</v>
      </c>
      <c r="L706">
        <v>0</v>
      </c>
      <c r="N706">
        <v>29</v>
      </c>
      <c r="O706" s="60" t="s">
        <v>926</v>
      </c>
      <c r="P706" t="s">
        <v>752</v>
      </c>
      <c r="Q706" t="s">
        <v>2397</v>
      </c>
    </row>
    <row r="707" spans="1:17" x14ac:dyDescent="0.25">
      <c r="A707" t="s">
        <v>19</v>
      </c>
      <c r="B707">
        <v>15</v>
      </c>
      <c r="C707">
        <v>85.8</v>
      </c>
      <c r="D707">
        <v>7.2</v>
      </c>
      <c r="E707">
        <v>15</v>
      </c>
      <c r="F707">
        <v>89.85</v>
      </c>
      <c r="G707">
        <v>7.2</v>
      </c>
      <c r="H707">
        <v>1.2</v>
      </c>
      <c r="I707">
        <v>0.9</v>
      </c>
      <c r="J707">
        <v>1.8184978836478705</v>
      </c>
      <c r="K707">
        <v>1500</v>
      </c>
      <c r="L707">
        <v>0</v>
      </c>
      <c r="N707">
        <v>29</v>
      </c>
      <c r="O707" s="60" t="s">
        <v>1397</v>
      </c>
      <c r="P707" t="s">
        <v>823</v>
      </c>
      <c r="Q707" t="s">
        <v>1067</v>
      </c>
    </row>
    <row r="708" spans="1:17" x14ac:dyDescent="0.25">
      <c r="A708" t="s">
        <v>19</v>
      </c>
      <c r="B708">
        <v>15</v>
      </c>
      <c r="C708">
        <v>89.85</v>
      </c>
      <c r="D708">
        <v>7.2</v>
      </c>
      <c r="E708">
        <v>140</v>
      </c>
      <c r="F708">
        <v>89.85</v>
      </c>
      <c r="G708">
        <v>7.2</v>
      </c>
      <c r="H708">
        <v>1.2</v>
      </c>
      <c r="I708">
        <v>0.9</v>
      </c>
      <c r="J708">
        <v>56.126477890366417</v>
      </c>
      <c r="K708">
        <v>1500</v>
      </c>
      <c r="L708">
        <v>0</v>
      </c>
      <c r="N708">
        <v>29</v>
      </c>
      <c r="O708" s="60" t="s">
        <v>1398</v>
      </c>
      <c r="P708" t="s">
        <v>750</v>
      </c>
      <c r="Q708" t="s">
        <v>2396</v>
      </c>
    </row>
    <row r="709" spans="1:17" x14ac:dyDescent="0.25">
      <c r="A709" t="s">
        <v>19</v>
      </c>
      <c r="B709">
        <v>140</v>
      </c>
      <c r="C709">
        <v>89.85</v>
      </c>
      <c r="D709">
        <v>7.2</v>
      </c>
      <c r="E709">
        <v>140</v>
      </c>
      <c r="F709">
        <v>91.199999999999989</v>
      </c>
      <c r="G709">
        <v>7.2</v>
      </c>
      <c r="H709">
        <v>1.2</v>
      </c>
      <c r="I709">
        <v>0.9</v>
      </c>
      <c r="J709">
        <v>0.60616596121595478</v>
      </c>
      <c r="K709">
        <v>1500</v>
      </c>
      <c r="L709">
        <v>0</v>
      </c>
      <c r="N709">
        <v>29</v>
      </c>
      <c r="O709" s="60" t="s">
        <v>1399</v>
      </c>
      <c r="P709" t="s">
        <v>751</v>
      </c>
      <c r="Q709" t="s">
        <v>1068</v>
      </c>
    </row>
    <row r="710" spans="1:17" x14ac:dyDescent="0.25">
      <c r="A710" t="s">
        <v>19</v>
      </c>
      <c r="B710">
        <v>140</v>
      </c>
      <c r="C710">
        <v>91.199999999999989</v>
      </c>
      <c r="D710">
        <v>7.2</v>
      </c>
      <c r="E710">
        <v>15</v>
      </c>
      <c r="F710">
        <v>91.199999999999989</v>
      </c>
      <c r="G710">
        <v>7.2</v>
      </c>
      <c r="H710">
        <v>1.2</v>
      </c>
      <c r="I710">
        <v>0.9</v>
      </c>
      <c r="J710">
        <v>56.126477890366417</v>
      </c>
      <c r="K710">
        <v>1500</v>
      </c>
      <c r="L710">
        <v>0</v>
      </c>
      <c r="N710">
        <v>29</v>
      </c>
      <c r="O710" s="60" t="s">
        <v>927</v>
      </c>
      <c r="P710" t="s">
        <v>752</v>
      </c>
      <c r="Q710" t="s">
        <v>2397</v>
      </c>
    </row>
    <row r="711" spans="1:17" x14ac:dyDescent="0.25">
      <c r="A711" t="s">
        <v>19</v>
      </c>
      <c r="B711">
        <v>15</v>
      </c>
      <c r="C711">
        <v>91.2</v>
      </c>
      <c r="D711">
        <v>7.2</v>
      </c>
      <c r="E711">
        <v>15</v>
      </c>
      <c r="F711">
        <v>95.25</v>
      </c>
      <c r="G711">
        <v>7.2</v>
      </c>
      <c r="H711">
        <v>1.2</v>
      </c>
      <c r="I711">
        <v>0.9</v>
      </c>
      <c r="J711">
        <v>1.8184978836478705</v>
      </c>
      <c r="K711">
        <v>1500</v>
      </c>
      <c r="L711">
        <v>0</v>
      </c>
      <c r="N711">
        <v>29</v>
      </c>
      <c r="O711" s="60" t="s">
        <v>1400</v>
      </c>
      <c r="P711" t="s">
        <v>823</v>
      </c>
      <c r="Q711" t="s">
        <v>1069</v>
      </c>
    </row>
    <row r="712" spans="1:17" x14ac:dyDescent="0.25">
      <c r="A712" t="s">
        <v>19</v>
      </c>
      <c r="B712">
        <v>15</v>
      </c>
      <c r="C712">
        <v>95.25</v>
      </c>
      <c r="D712">
        <v>7.2</v>
      </c>
      <c r="E712">
        <v>140</v>
      </c>
      <c r="F712">
        <v>95.25</v>
      </c>
      <c r="G712">
        <v>7.2</v>
      </c>
      <c r="H712">
        <v>1.2</v>
      </c>
      <c r="I712">
        <v>0.9</v>
      </c>
      <c r="J712">
        <v>56.126477890366417</v>
      </c>
      <c r="K712">
        <v>1500</v>
      </c>
      <c r="L712">
        <v>0</v>
      </c>
      <c r="N712">
        <v>29</v>
      </c>
      <c r="O712" s="60" t="s">
        <v>1401</v>
      </c>
      <c r="P712" t="s">
        <v>750</v>
      </c>
      <c r="Q712" t="s">
        <v>2396</v>
      </c>
    </row>
    <row r="713" spans="1:17" x14ac:dyDescent="0.25">
      <c r="A713" t="s">
        <v>19</v>
      </c>
      <c r="B713">
        <v>140</v>
      </c>
      <c r="C713">
        <v>95.25</v>
      </c>
      <c r="D713">
        <v>7.2</v>
      </c>
      <c r="E713">
        <v>140</v>
      </c>
      <c r="F713">
        <v>96.6</v>
      </c>
      <c r="G713">
        <v>7.2</v>
      </c>
      <c r="H713">
        <v>1.2</v>
      </c>
      <c r="I713">
        <v>0.9</v>
      </c>
      <c r="J713">
        <v>0.60616596121595478</v>
      </c>
      <c r="K713">
        <v>1500</v>
      </c>
      <c r="L713">
        <v>0</v>
      </c>
      <c r="N713">
        <v>29</v>
      </c>
      <c r="O713" s="60" t="s">
        <v>1402</v>
      </c>
      <c r="P713" t="s">
        <v>751</v>
      </c>
      <c r="Q713" t="s">
        <v>1070</v>
      </c>
    </row>
    <row r="714" spans="1:17" x14ac:dyDescent="0.25">
      <c r="A714" t="s">
        <v>19</v>
      </c>
      <c r="B714">
        <v>140</v>
      </c>
      <c r="C714">
        <v>96.6</v>
      </c>
      <c r="D714">
        <v>7.2</v>
      </c>
      <c r="E714">
        <v>15</v>
      </c>
      <c r="F714">
        <v>96.6</v>
      </c>
      <c r="G714">
        <v>7.2</v>
      </c>
      <c r="H714">
        <v>1.2</v>
      </c>
      <c r="I714">
        <v>0.9</v>
      </c>
      <c r="J714">
        <v>56.126477890366417</v>
      </c>
      <c r="K714">
        <v>1500</v>
      </c>
      <c r="L714">
        <v>0</v>
      </c>
      <c r="N714">
        <v>29</v>
      </c>
      <c r="O714" s="60" t="s">
        <v>928</v>
      </c>
      <c r="P714" t="s">
        <v>752</v>
      </c>
      <c r="Q714" t="s">
        <v>2397</v>
      </c>
    </row>
    <row r="715" spans="1:17" x14ac:dyDescent="0.25">
      <c r="A715" t="s">
        <v>19</v>
      </c>
      <c r="B715">
        <v>15</v>
      </c>
      <c r="C715">
        <v>96.6</v>
      </c>
      <c r="D715">
        <v>7.2</v>
      </c>
      <c r="E715">
        <v>15</v>
      </c>
      <c r="F715">
        <v>100.65</v>
      </c>
      <c r="G715">
        <v>7.2</v>
      </c>
      <c r="H715">
        <v>1.2</v>
      </c>
      <c r="I715">
        <v>0.9</v>
      </c>
      <c r="J715">
        <v>1.8184978836478705</v>
      </c>
      <c r="K715">
        <v>1500</v>
      </c>
      <c r="L715">
        <v>0</v>
      </c>
      <c r="N715">
        <v>29</v>
      </c>
      <c r="O715" s="60" t="s">
        <v>1403</v>
      </c>
      <c r="P715" t="s">
        <v>823</v>
      </c>
      <c r="Q715" t="s">
        <v>1071</v>
      </c>
    </row>
    <row r="716" spans="1:17" x14ac:dyDescent="0.25">
      <c r="A716" t="s">
        <v>19</v>
      </c>
      <c r="B716">
        <v>15</v>
      </c>
      <c r="C716">
        <v>100.65</v>
      </c>
      <c r="D716">
        <v>7.2</v>
      </c>
      <c r="E716">
        <v>140</v>
      </c>
      <c r="F716">
        <v>100.65</v>
      </c>
      <c r="G716">
        <v>7.2</v>
      </c>
      <c r="H716">
        <v>1.2</v>
      </c>
      <c r="I716">
        <v>0.9</v>
      </c>
      <c r="J716">
        <v>56.126477890366417</v>
      </c>
      <c r="K716">
        <v>1500</v>
      </c>
      <c r="L716">
        <v>0</v>
      </c>
      <c r="N716">
        <v>29</v>
      </c>
      <c r="O716" s="60" t="s">
        <v>1404</v>
      </c>
      <c r="P716" t="s">
        <v>750</v>
      </c>
      <c r="Q716" t="s">
        <v>2396</v>
      </c>
    </row>
    <row r="717" spans="1:17" x14ac:dyDescent="0.25">
      <c r="A717" t="s">
        <v>19</v>
      </c>
      <c r="B717">
        <v>140</v>
      </c>
      <c r="C717">
        <v>100.65</v>
      </c>
      <c r="D717">
        <v>7.2</v>
      </c>
      <c r="E717">
        <v>140</v>
      </c>
      <c r="F717">
        <v>102</v>
      </c>
      <c r="G717">
        <v>7.2</v>
      </c>
      <c r="H717">
        <v>1.2</v>
      </c>
      <c r="I717">
        <v>0.9</v>
      </c>
      <c r="J717">
        <v>0.60616596121595478</v>
      </c>
      <c r="K717">
        <v>1500</v>
      </c>
      <c r="L717">
        <v>0</v>
      </c>
      <c r="N717">
        <v>29</v>
      </c>
      <c r="O717" s="60" t="s">
        <v>1405</v>
      </c>
      <c r="P717" t="s">
        <v>751</v>
      </c>
      <c r="Q717" t="s">
        <v>1072</v>
      </c>
    </row>
    <row r="718" spans="1:17" x14ac:dyDescent="0.25">
      <c r="A718" t="s">
        <v>19</v>
      </c>
      <c r="B718">
        <v>140</v>
      </c>
      <c r="C718">
        <v>102</v>
      </c>
      <c r="D718">
        <v>7.2</v>
      </c>
      <c r="E718">
        <v>15</v>
      </c>
      <c r="F718">
        <v>102</v>
      </c>
      <c r="G718">
        <v>7.2</v>
      </c>
      <c r="H718">
        <v>1.2</v>
      </c>
      <c r="I718">
        <v>0.9</v>
      </c>
      <c r="J718">
        <v>56.126477890366417</v>
      </c>
      <c r="K718">
        <v>1500</v>
      </c>
      <c r="L718">
        <v>0</v>
      </c>
      <c r="N718">
        <v>29</v>
      </c>
      <c r="O718" s="60" t="s">
        <v>929</v>
      </c>
      <c r="P718" t="s">
        <v>752</v>
      </c>
      <c r="Q718" t="s">
        <v>2397</v>
      </c>
    </row>
    <row r="719" spans="1:17" x14ac:dyDescent="0.25">
      <c r="A719" t="s">
        <v>19</v>
      </c>
      <c r="B719">
        <v>15</v>
      </c>
      <c r="C719">
        <v>102</v>
      </c>
      <c r="D719">
        <v>7.2</v>
      </c>
      <c r="E719">
        <v>15</v>
      </c>
      <c r="F719">
        <v>106.05</v>
      </c>
      <c r="G719">
        <v>7.2</v>
      </c>
      <c r="H719">
        <v>1.2</v>
      </c>
      <c r="I719">
        <v>0.9</v>
      </c>
      <c r="J719">
        <v>1.8184978836478705</v>
      </c>
      <c r="K719">
        <v>1500</v>
      </c>
      <c r="L719">
        <v>0</v>
      </c>
      <c r="N719">
        <v>29</v>
      </c>
      <c r="O719" s="60" t="s">
        <v>1406</v>
      </c>
      <c r="P719" t="s">
        <v>823</v>
      </c>
      <c r="Q719" t="s">
        <v>1073</v>
      </c>
    </row>
    <row r="720" spans="1:17" x14ac:dyDescent="0.25">
      <c r="A720" t="s">
        <v>19</v>
      </c>
      <c r="B720">
        <v>15</v>
      </c>
      <c r="C720">
        <v>106.05</v>
      </c>
      <c r="D720">
        <v>7.2</v>
      </c>
      <c r="E720">
        <v>140</v>
      </c>
      <c r="F720">
        <v>106.05</v>
      </c>
      <c r="G720">
        <v>7.2</v>
      </c>
      <c r="H720">
        <v>1.2</v>
      </c>
      <c r="I720">
        <v>0.9</v>
      </c>
      <c r="J720">
        <v>56.126477890366417</v>
      </c>
      <c r="K720">
        <v>1500</v>
      </c>
      <c r="L720">
        <v>0</v>
      </c>
      <c r="N720">
        <v>29</v>
      </c>
      <c r="O720" s="60" t="s">
        <v>1407</v>
      </c>
      <c r="P720" t="s">
        <v>750</v>
      </c>
      <c r="Q720" t="s">
        <v>2396</v>
      </c>
    </row>
    <row r="721" spans="1:17" x14ac:dyDescent="0.25">
      <c r="A721" t="s">
        <v>19</v>
      </c>
      <c r="B721">
        <v>140</v>
      </c>
      <c r="C721">
        <v>106.05</v>
      </c>
      <c r="D721">
        <v>7.2</v>
      </c>
      <c r="E721">
        <v>140</v>
      </c>
      <c r="F721">
        <v>107.39999999999999</v>
      </c>
      <c r="G721">
        <v>7.2</v>
      </c>
      <c r="H721">
        <v>1.2</v>
      </c>
      <c r="I721">
        <v>0.9</v>
      </c>
      <c r="J721">
        <v>0.60616596121595478</v>
      </c>
      <c r="K721">
        <v>1500</v>
      </c>
      <c r="L721">
        <v>0</v>
      </c>
      <c r="N721">
        <v>29</v>
      </c>
      <c r="O721" s="60" t="s">
        <v>1408</v>
      </c>
      <c r="P721" t="s">
        <v>751</v>
      </c>
      <c r="Q721" t="s">
        <v>1074</v>
      </c>
    </row>
    <row r="722" spans="1:17" x14ac:dyDescent="0.25">
      <c r="A722" t="s">
        <v>19</v>
      </c>
      <c r="B722">
        <v>140</v>
      </c>
      <c r="C722">
        <v>107.39999999999999</v>
      </c>
      <c r="D722">
        <v>7.2</v>
      </c>
      <c r="E722">
        <v>15</v>
      </c>
      <c r="F722">
        <v>107.39999999999999</v>
      </c>
      <c r="G722">
        <v>7.2</v>
      </c>
      <c r="H722">
        <v>1.2</v>
      </c>
      <c r="I722">
        <v>0.9</v>
      </c>
      <c r="J722">
        <v>56.126477890366417</v>
      </c>
      <c r="K722">
        <v>1500</v>
      </c>
      <c r="L722">
        <v>0</v>
      </c>
      <c r="N722">
        <v>29</v>
      </c>
      <c r="O722" s="60" t="s">
        <v>930</v>
      </c>
      <c r="P722" t="s">
        <v>752</v>
      </c>
      <c r="Q722" t="s">
        <v>2397</v>
      </c>
    </row>
    <row r="723" spans="1:17" x14ac:dyDescent="0.25">
      <c r="A723" t="s">
        <v>19</v>
      </c>
      <c r="B723">
        <v>15</v>
      </c>
      <c r="C723">
        <v>107.4</v>
      </c>
      <c r="D723">
        <v>7.2</v>
      </c>
      <c r="E723">
        <v>15</v>
      </c>
      <c r="F723">
        <v>111.45</v>
      </c>
      <c r="G723">
        <v>7.2</v>
      </c>
      <c r="H723">
        <v>1.2</v>
      </c>
      <c r="I723">
        <v>0.9</v>
      </c>
      <c r="J723">
        <v>1.8184978836478705</v>
      </c>
      <c r="K723">
        <v>1500</v>
      </c>
      <c r="L723">
        <v>0</v>
      </c>
      <c r="N723">
        <v>29</v>
      </c>
      <c r="O723" s="60" t="s">
        <v>1409</v>
      </c>
      <c r="P723" t="s">
        <v>823</v>
      </c>
      <c r="Q723" t="s">
        <v>1075</v>
      </c>
    </row>
    <row r="724" spans="1:17" x14ac:dyDescent="0.25">
      <c r="A724" t="s">
        <v>19</v>
      </c>
      <c r="B724">
        <v>15</v>
      </c>
      <c r="C724">
        <v>111.45</v>
      </c>
      <c r="D724">
        <v>7.2</v>
      </c>
      <c r="E724">
        <v>140</v>
      </c>
      <c r="F724">
        <v>111.45</v>
      </c>
      <c r="G724">
        <v>7.2</v>
      </c>
      <c r="H724">
        <v>1.2</v>
      </c>
      <c r="I724">
        <v>0.9</v>
      </c>
      <c r="J724">
        <v>56.126477890366417</v>
      </c>
      <c r="K724">
        <v>1500</v>
      </c>
      <c r="L724">
        <v>0</v>
      </c>
      <c r="N724">
        <v>29</v>
      </c>
      <c r="O724" s="60" t="s">
        <v>1410</v>
      </c>
      <c r="P724" t="s">
        <v>750</v>
      </c>
      <c r="Q724" t="s">
        <v>2396</v>
      </c>
    </row>
    <row r="725" spans="1:17" x14ac:dyDescent="0.25">
      <c r="A725" t="s">
        <v>19</v>
      </c>
      <c r="B725">
        <v>140</v>
      </c>
      <c r="C725">
        <v>111.45</v>
      </c>
      <c r="D725">
        <v>7.2</v>
      </c>
      <c r="E725">
        <v>140</v>
      </c>
      <c r="F725">
        <v>112.8</v>
      </c>
      <c r="G725">
        <v>7.2</v>
      </c>
      <c r="H725">
        <v>1.2</v>
      </c>
      <c r="I725">
        <v>0.9</v>
      </c>
      <c r="J725">
        <v>0.60616596121595478</v>
      </c>
      <c r="K725">
        <v>1500</v>
      </c>
      <c r="L725">
        <v>0</v>
      </c>
      <c r="N725">
        <v>29</v>
      </c>
      <c r="O725" s="60" t="s">
        <v>1411</v>
      </c>
      <c r="P725" t="s">
        <v>751</v>
      </c>
      <c r="Q725" t="s">
        <v>1076</v>
      </c>
    </row>
    <row r="726" spans="1:17" x14ac:dyDescent="0.25">
      <c r="A726" t="s">
        <v>19</v>
      </c>
      <c r="B726">
        <v>140</v>
      </c>
      <c r="C726">
        <v>112.8</v>
      </c>
      <c r="D726">
        <v>7.2</v>
      </c>
      <c r="E726">
        <v>15</v>
      </c>
      <c r="F726">
        <v>112.8</v>
      </c>
      <c r="G726">
        <v>7.2</v>
      </c>
      <c r="H726">
        <v>1.2</v>
      </c>
      <c r="I726">
        <v>0.9</v>
      </c>
      <c r="J726">
        <v>56.126477890366417</v>
      </c>
      <c r="K726">
        <v>1500</v>
      </c>
      <c r="L726">
        <v>0</v>
      </c>
      <c r="N726">
        <v>29</v>
      </c>
      <c r="O726" s="60" t="s">
        <v>931</v>
      </c>
      <c r="P726" t="s">
        <v>752</v>
      </c>
      <c r="Q726" t="s">
        <v>2397</v>
      </c>
    </row>
    <row r="727" spans="1:17" x14ac:dyDescent="0.25">
      <c r="A727" t="s">
        <v>19</v>
      </c>
      <c r="B727">
        <v>15</v>
      </c>
      <c r="C727">
        <v>112.8</v>
      </c>
      <c r="D727">
        <v>7.2</v>
      </c>
      <c r="E727">
        <v>15</v>
      </c>
      <c r="F727">
        <v>116.85</v>
      </c>
      <c r="G727">
        <v>7.2</v>
      </c>
      <c r="H727">
        <v>1.2</v>
      </c>
      <c r="I727">
        <v>0.9</v>
      </c>
      <c r="J727">
        <v>1.8184978836478705</v>
      </c>
      <c r="K727">
        <v>1500</v>
      </c>
      <c r="L727">
        <v>0</v>
      </c>
      <c r="N727">
        <v>29</v>
      </c>
      <c r="O727" s="60" t="s">
        <v>1412</v>
      </c>
      <c r="P727" t="s">
        <v>823</v>
      </c>
      <c r="Q727" t="s">
        <v>1077</v>
      </c>
    </row>
    <row r="728" spans="1:17" x14ac:dyDescent="0.25">
      <c r="A728" t="s">
        <v>19</v>
      </c>
      <c r="B728">
        <v>15</v>
      </c>
      <c r="C728">
        <v>116.85</v>
      </c>
      <c r="D728">
        <v>7.2</v>
      </c>
      <c r="E728">
        <v>140</v>
      </c>
      <c r="F728">
        <v>116.85</v>
      </c>
      <c r="G728">
        <v>7.2</v>
      </c>
      <c r="H728">
        <v>1.2</v>
      </c>
      <c r="I728">
        <v>0.9</v>
      </c>
      <c r="J728">
        <v>56.126477890366417</v>
      </c>
      <c r="K728">
        <v>1500</v>
      </c>
      <c r="L728">
        <v>0</v>
      </c>
      <c r="N728">
        <v>29</v>
      </c>
      <c r="O728" s="60" t="s">
        <v>1413</v>
      </c>
      <c r="P728" t="s">
        <v>750</v>
      </c>
      <c r="Q728" t="s">
        <v>2396</v>
      </c>
    </row>
    <row r="729" spans="1:17" x14ac:dyDescent="0.25">
      <c r="A729" t="s">
        <v>19</v>
      </c>
      <c r="B729">
        <v>140</v>
      </c>
      <c r="C729">
        <v>116.85</v>
      </c>
      <c r="D729">
        <v>7.2</v>
      </c>
      <c r="E729">
        <v>140</v>
      </c>
      <c r="F729">
        <v>118.19999999999999</v>
      </c>
      <c r="G729">
        <v>7.2</v>
      </c>
      <c r="H729">
        <v>1.2</v>
      </c>
      <c r="I729">
        <v>0.9</v>
      </c>
      <c r="J729">
        <v>0.60616596121595478</v>
      </c>
      <c r="K729">
        <v>1500</v>
      </c>
      <c r="L729">
        <v>0</v>
      </c>
      <c r="N729">
        <v>29</v>
      </c>
      <c r="O729" s="60" t="s">
        <v>1414</v>
      </c>
      <c r="P729" t="s">
        <v>751</v>
      </c>
      <c r="Q729" t="s">
        <v>1078</v>
      </c>
    </row>
    <row r="730" spans="1:17" x14ac:dyDescent="0.25">
      <c r="A730" t="s">
        <v>19</v>
      </c>
      <c r="B730">
        <v>140</v>
      </c>
      <c r="C730">
        <v>118.19999999999999</v>
      </c>
      <c r="D730">
        <v>7.2</v>
      </c>
      <c r="E730">
        <v>15</v>
      </c>
      <c r="F730">
        <v>118.19999999999999</v>
      </c>
      <c r="G730">
        <v>7.2</v>
      </c>
      <c r="H730">
        <v>1.2</v>
      </c>
      <c r="I730">
        <v>0.9</v>
      </c>
      <c r="J730">
        <v>56.126477890366417</v>
      </c>
      <c r="K730">
        <v>1500</v>
      </c>
      <c r="L730">
        <v>0</v>
      </c>
      <c r="N730">
        <v>29</v>
      </c>
      <c r="O730" s="60" t="s">
        <v>932</v>
      </c>
      <c r="P730" t="s">
        <v>752</v>
      </c>
      <c r="Q730" t="s">
        <v>2397</v>
      </c>
    </row>
    <row r="731" spans="1:17" x14ac:dyDescent="0.25">
      <c r="A731" t="s">
        <v>19</v>
      </c>
      <c r="B731">
        <v>15</v>
      </c>
      <c r="C731">
        <v>118.2</v>
      </c>
      <c r="D731">
        <v>7.2</v>
      </c>
      <c r="E731">
        <v>15</v>
      </c>
      <c r="F731">
        <v>122.25</v>
      </c>
      <c r="G731">
        <v>7.2</v>
      </c>
      <c r="H731">
        <v>1.2</v>
      </c>
      <c r="I731">
        <v>0.9</v>
      </c>
      <c r="J731">
        <v>1.8184978836478705</v>
      </c>
      <c r="K731">
        <v>1500</v>
      </c>
      <c r="L731">
        <v>0</v>
      </c>
      <c r="N731">
        <v>29</v>
      </c>
      <c r="O731" s="60" t="s">
        <v>2140</v>
      </c>
      <c r="P731" t="s">
        <v>823</v>
      </c>
      <c r="Q731" t="s">
        <v>1955</v>
      </c>
    </row>
    <row r="732" spans="1:17" x14ac:dyDescent="0.25">
      <c r="A732" t="s">
        <v>19</v>
      </c>
      <c r="B732">
        <v>15</v>
      </c>
      <c r="C732">
        <v>122.25</v>
      </c>
      <c r="D732">
        <v>7.2</v>
      </c>
      <c r="E732">
        <v>140</v>
      </c>
      <c r="F732">
        <v>122.25</v>
      </c>
      <c r="G732">
        <v>7.2</v>
      </c>
      <c r="H732">
        <v>1.2</v>
      </c>
      <c r="I732">
        <v>0.9</v>
      </c>
      <c r="J732">
        <v>56.126477890366417</v>
      </c>
      <c r="K732">
        <v>1500</v>
      </c>
      <c r="L732">
        <v>0</v>
      </c>
      <c r="N732">
        <v>29</v>
      </c>
      <c r="O732" s="60" t="s">
        <v>2141</v>
      </c>
      <c r="P732" t="s">
        <v>750</v>
      </c>
      <c r="Q732" t="s">
        <v>2396</v>
      </c>
    </row>
    <row r="733" spans="1:17" x14ac:dyDescent="0.25">
      <c r="A733" t="s">
        <v>19</v>
      </c>
      <c r="B733">
        <v>140</v>
      </c>
      <c r="C733">
        <v>122.25</v>
      </c>
      <c r="D733">
        <v>7.2</v>
      </c>
      <c r="E733">
        <v>140</v>
      </c>
      <c r="F733">
        <v>123.6</v>
      </c>
      <c r="G733">
        <v>7.2</v>
      </c>
      <c r="H733">
        <v>1.2</v>
      </c>
      <c r="I733">
        <v>0.9</v>
      </c>
      <c r="J733">
        <v>0.60616596121595478</v>
      </c>
      <c r="K733">
        <v>1500</v>
      </c>
      <c r="L733">
        <v>0</v>
      </c>
      <c r="N733">
        <v>29</v>
      </c>
      <c r="O733" s="60" t="s">
        <v>2142</v>
      </c>
      <c r="P733" t="s">
        <v>751</v>
      </c>
      <c r="Q733" t="s">
        <v>1958</v>
      </c>
    </row>
    <row r="734" spans="1:17" x14ac:dyDescent="0.25">
      <c r="A734" t="s">
        <v>19</v>
      </c>
      <c r="B734">
        <v>140</v>
      </c>
      <c r="C734">
        <v>123.6</v>
      </c>
      <c r="D734">
        <v>7.2</v>
      </c>
      <c r="E734">
        <v>15</v>
      </c>
      <c r="F734">
        <v>123.6</v>
      </c>
      <c r="G734">
        <v>7.2</v>
      </c>
      <c r="H734">
        <v>1.2</v>
      </c>
      <c r="I734">
        <v>0.9</v>
      </c>
      <c r="J734">
        <v>56.126477890366417</v>
      </c>
      <c r="K734">
        <v>1500</v>
      </c>
      <c r="L734">
        <v>0</v>
      </c>
      <c r="N734">
        <v>29</v>
      </c>
      <c r="O734" s="60" t="s">
        <v>2143</v>
      </c>
      <c r="P734" t="s">
        <v>752</v>
      </c>
      <c r="Q734" t="s">
        <v>2397</v>
      </c>
    </row>
    <row r="735" spans="1:17" x14ac:dyDescent="0.25">
      <c r="A735" t="s">
        <v>19</v>
      </c>
      <c r="B735">
        <v>15</v>
      </c>
      <c r="C735">
        <v>123.60000000000001</v>
      </c>
      <c r="D735">
        <v>7.2</v>
      </c>
      <c r="E735">
        <v>15</v>
      </c>
      <c r="F735">
        <v>127.65</v>
      </c>
      <c r="G735">
        <v>7.2</v>
      </c>
      <c r="H735">
        <v>1.2</v>
      </c>
      <c r="I735">
        <v>0.9</v>
      </c>
      <c r="J735">
        <v>1.8184978836478705</v>
      </c>
      <c r="K735">
        <v>1500</v>
      </c>
      <c r="L735">
        <v>0</v>
      </c>
      <c r="N735">
        <v>29</v>
      </c>
      <c r="O735" s="60" t="s">
        <v>2144</v>
      </c>
      <c r="P735" t="s">
        <v>823</v>
      </c>
      <c r="Q735" t="s">
        <v>1961</v>
      </c>
    </row>
    <row r="736" spans="1:17" x14ac:dyDescent="0.25">
      <c r="A736" t="s">
        <v>19</v>
      </c>
      <c r="B736">
        <v>15</v>
      </c>
      <c r="C736">
        <v>127.65</v>
      </c>
      <c r="D736">
        <v>7.2</v>
      </c>
      <c r="E736">
        <v>140</v>
      </c>
      <c r="F736">
        <v>127.65</v>
      </c>
      <c r="G736">
        <v>7.2</v>
      </c>
      <c r="H736">
        <v>1.2</v>
      </c>
      <c r="I736">
        <v>0.9</v>
      </c>
      <c r="J736">
        <v>56.126477890366417</v>
      </c>
      <c r="K736">
        <v>1500</v>
      </c>
      <c r="L736">
        <v>0</v>
      </c>
      <c r="N736">
        <v>29</v>
      </c>
      <c r="O736" s="60" t="s">
        <v>2145</v>
      </c>
      <c r="P736" t="s">
        <v>750</v>
      </c>
      <c r="Q736" t="s">
        <v>2396</v>
      </c>
    </row>
    <row r="737" spans="1:17" x14ac:dyDescent="0.25">
      <c r="A737" t="s">
        <v>19</v>
      </c>
      <c r="B737">
        <v>140</v>
      </c>
      <c r="C737">
        <v>127.65</v>
      </c>
      <c r="D737">
        <v>7.2</v>
      </c>
      <c r="E737">
        <v>140</v>
      </c>
      <c r="F737">
        <v>129</v>
      </c>
      <c r="G737">
        <v>7.2</v>
      </c>
      <c r="H737">
        <v>1.2</v>
      </c>
      <c r="I737">
        <v>0.9</v>
      </c>
      <c r="J737">
        <v>0.60616596121595478</v>
      </c>
      <c r="K737">
        <v>1500</v>
      </c>
      <c r="L737">
        <v>0</v>
      </c>
      <c r="N737">
        <v>29</v>
      </c>
      <c r="O737" s="60" t="s">
        <v>2146</v>
      </c>
      <c r="P737" t="s">
        <v>751</v>
      </c>
      <c r="Q737" t="s">
        <v>1964</v>
      </c>
    </row>
    <row r="738" spans="1:17" x14ac:dyDescent="0.25">
      <c r="A738" t="s">
        <v>19</v>
      </c>
      <c r="B738">
        <v>140</v>
      </c>
      <c r="C738">
        <v>129</v>
      </c>
      <c r="D738">
        <v>7.2</v>
      </c>
      <c r="E738">
        <v>15</v>
      </c>
      <c r="F738">
        <v>129</v>
      </c>
      <c r="G738">
        <v>7.2</v>
      </c>
      <c r="H738">
        <v>1.2</v>
      </c>
      <c r="I738">
        <v>0.9</v>
      </c>
      <c r="J738">
        <v>56.126477890366417</v>
      </c>
      <c r="K738">
        <v>1500</v>
      </c>
      <c r="L738">
        <v>0</v>
      </c>
      <c r="N738">
        <v>29</v>
      </c>
      <c r="O738" s="60" t="s">
        <v>2147</v>
      </c>
      <c r="P738" t="s">
        <v>752</v>
      </c>
      <c r="Q738" t="s">
        <v>2397</v>
      </c>
    </row>
    <row r="739" spans="1:17" x14ac:dyDescent="0.25">
      <c r="A739" t="s">
        <v>49</v>
      </c>
      <c r="B739" t="s">
        <v>811</v>
      </c>
      <c r="N739">
        <v>29</v>
      </c>
      <c r="O739" s="60" t="s">
        <v>933</v>
      </c>
      <c r="P739" t="s">
        <v>749</v>
      </c>
      <c r="Q739" t="s">
        <v>811</v>
      </c>
    </row>
    <row r="740" spans="1:17" x14ac:dyDescent="0.25">
      <c r="A740" t="s">
        <v>49</v>
      </c>
      <c r="B740" t="s">
        <v>203</v>
      </c>
      <c r="C740">
        <v>1</v>
      </c>
      <c r="N740">
        <v>29</v>
      </c>
      <c r="O740" s="60" t="s">
        <v>934</v>
      </c>
      <c r="P740" t="s">
        <v>754</v>
      </c>
      <c r="Q740" t="s">
        <v>468</v>
      </c>
    </row>
    <row r="741" spans="1:17" x14ac:dyDescent="0.25">
      <c r="A741" t="s">
        <v>49</v>
      </c>
      <c r="B741" t="s">
        <v>634</v>
      </c>
      <c r="N741">
        <v>29</v>
      </c>
      <c r="O741" s="60" t="s">
        <v>935</v>
      </c>
      <c r="P741" t="s">
        <v>758</v>
      </c>
      <c r="Q741" t="s">
        <v>634</v>
      </c>
    </row>
    <row r="742" spans="1:17" x14ac:dyDescent="0.25">
      <c r="A742" t="s">
        <v>23</v>
      </c>
      <c r="B742">
        <v>15</v>
      </c>
      <c r="C742">
        <v>129</v>
      </c>
      <c r="D742">
        <v>7.2</v>
      </c>
      <c r="E742">
        <v>141.35</v>
      </c>
      <c r="F742">
        <v>76.349999999999994</v>
      </c>
      <c r="G742">
        <v>7.2000999999999999</v>
      </c>
      <c r="H742">
        <v>0</v>
      </c>
      <c r="I742">
        <v>0</v>
      </c>
      <c r="K742">
        <v>48000</v>
      </c>
      <c r="N742">
        <v>0</v>
      </c>
      <c r="O742" s="60">
        <v>0</v>
      </c>
      <c r="P742" t="s">
        <v>661</v>
      </c>
      <c r="Q742" t="s">
        <v>2401</v>
      </c>
    </row>
    <row r="743" spans="1:17" x14ac:dyDescent="0.25">
      <c r="A743" t="s">
        <v>19</v>
      </c>
      <c r="B743">
        <v>141.35</v>
      </c>
      <c r="C743">
        <v>76.349999999999994</v>
      </c>
      <c r="D743">
        <v>7.2000999999999999</v>
      </c>
      <c r="E743">
        <v>16.349999999999994</v>
      </c>
      <c r="F743">
        <v>76.349999999999994</v>
      </c>
      <c r="G743">
        <v>7.2000999999999999</v>
      </c>
      <c r="H743">
        <v>1.2</v>
      </c>
      <c r="I743">
        <v>0.9</v>
      </c>
      <c r="J743">
        <v>56.126477890366417</v>
      </c>
      <c r="K743">
        <v>1500</v>
      </c>
      <c r="L743">
        <v>0</v>
      </c>
      <c r="N743">
        <v>29</v>
      </c>
      <c r="O743" s="60" t="s">
        <v>2148</v>
      </c>
      <c r="P743" t="s">
        <v>1984</v>
      </c>
      <c r="Q743" t="s">
        <v>2393</v>
      </c>
    </row>
    <row r="744" spans="1:17" x14ac:dyDescent="0.25">
      <c r="A744" t="s">
        <v>19</v>
      </c>
      <c r="B744">
        <v>16.349999999999994</v>
      </c>
      <c r="C744">
        <v>76.349999999999994</v>
      </c>
      <c r="D744">
        <v>7.2000999999999999</v>
      </c>
      <c r="E744">
        <v>16.349999999999994</v>
      </c>
      <c r="F744">
        <v>77.699999999999989</v>
      </c>
      <c r="G744">
        <v>7.2000999999999999</v>
      </c>
      <c r="H744">
        <v>1.2</v>
      </c>
      <c r="I744">
        <v>0.9</v>
      </c>
      <c r="J744">
        <v>0.60616596121595478</v>
      </c>
      <c r="K744">
        <v>1500</v>
      </c>
      <c r="L744">
        <v>0</v>
      </c>
      <c r="N744">
        <v>29</v>
      </c>
      <c r="O744" s="60" t="s">
        <v>2149</v>
      </c>
      <c r="P744" t="s">
        <v>1986</v>
      </c>
      <c r="Q744" t="s">
        <v>876</v>
      </c>
    </row>
    <row r="745" spans="1:17" x14ac:dyDescent="0.25">
      <c r="A745" t="s">
        <v>19</v>
      </c>
      <c r="B745">
        <v>16.349999999999994</v>
      </c>
      <c r="C745">
        <v>77.699999999999989</v>
      </c>
      <c r="D745">
        <v>7.2000999999999999</v>
      </c>
      <c r="E745">
        <v>141.35</v>
      </c>
      <c r="F745">
        <v>77.699999999999989</v>
      </c>
      <c r="G745">
        <v>7.2000999999999999</v>
      </c>
      <c r="H745">
        <v>1.2</v>
      </c>
      <c r="I745">
        <v>0.9</v>
      </c>
      <c r="J745">
        <v>56.126477890366417</v>
      </c>
      <c r="K745">
        <v>1500</v>
      </c>
      <c r="L745">
        <v>0</v>
      </c>
      <c r="N745">
        <v>29</v>
      </c>
      <c r="O745" s="60" t="s">
        <v>2150</v>
      </c>
      <c r="P745" t="s">
        <v>1988</v>
      </c>
      <c r="Q745" t="s">
        <v>2394</v>
      </c>
    </row>
    <row r="746" spans="1:17" x14ac:dyDescent="0.25">
      <c r="A746" t="s">
        <v>19</v>
      </c>
      <c r="B746">
        <v>141.35</v>
      </c>
      <c r="C746">
        <v>77.699999999999989</v>
      </c>
      <c r="D746">
        <v>7.2000999999999999</v>
      </c>
      <c r="E746">
        <v>141.35</v>
      </c>
      <c r="F746">
        <v>81.749999999999986</v>
      </c>
      <c r="G746">
        <v>7.2000999999999999</v>
      </c>
      <c r="H746">
        <v>1.2</v>
      </c>
      <c r="I746">
        <v>0.9</v>
      </c>
      <c r="J746">
        <v>1.8184978836478705</v>
      </c>
      <c r="K746">
        <v>1500</v>
      </c>
      <c r="L746">
        <v>0</v>
      </c>
      <c r="N746">
        <v>29</v>
      </c>
      <c r="O746" s="60" t="s">
        <v>2151</v>
      </c>
      <c r="P746" t="s">
        <v>1990</v>
      </c>
      <c r="Q746" t="s">
        <v>877</v>
      </c>
    </row>
    <row r="747" spans="1:17" x14ac:dyDescent="0.25">
      <c r="A747" t="s">
        <v>19</v>
      </c>
      <c r="B747">
        <v>141.35</v>
      </c>
      <c r="C747">
        <v>81.75</v>
      </c>
      <c r="D747">
        <v>7.2000999999999999</v>
      </c>
      <c r="E747">
        <v>16.349999999999994</v>
      </c>
      <c r="F747">
        <v>81.75</v>
      </c>
      <c r="G747">
        <v>7.2000999999999999</v>
      </c>
      <c r="H747">
        <v>1.2</v>
      </c>
      <c r="I747">
        <v>0.9</v>
      </c>
      <c r="J747">
        <v>56.126477890366417</v>
      </c>
      <c r="K747">
        <v>1500</v>
      </c>
      <c r="L747">
        <v>0</v>
      </c>
      <c r="N747">
        <v>29</v>
      </c>
      <c r="O747" s="60" t="s">
        <v>1415</v>
      </c>
      <c r="P747" t="s">
        <v>824</v>
      </c>
      <c r="Q747" t="s">
        <v>2395</v>
      </c>
    </row>
    <row r="748" spans="1:17" x14ac:dyDescent="0.25">
      <c r="A748" t="s">
        <v>19</v>
      </c>
      <c r="B748">
        <v>16.349999999999994</v>
      </c>
      <c r="C748">
        <v>81.75</v>
      </c>
      <c r="D748">
        <v>7.2000999999999999</v>
      </c>
      <c r="E748">
        <v>16.349999999999994</v>
      </c>
      <c r="F748">
        <v>83.1</v>
      </c>
      <c r="G748">
        <v>7.2000999999999999</v>
      </c>
      <c r="H748">
        <v>1.2</v>
      </c>
      <c r="I748">
        <v>0.9</v>
      </c>
      <c r="J748">
        <v>0.60616596121595478</v>
      </c>
      <c r="K748">
        <v>1500</v>
      </c>
      <c r="L748">
        <v>0</v>
      </c>
      <c r="N748">
        <v>29</v>
      </c>
      <c r="O748" s="60" t="s">
        <v>1416</v>
      </c>
      <c r="P748" t="s">
        <v>825</v>
      </c>
      <c r="Q748" t="s">
        <v>1024</v>
      </c>
    </row>
    <row r="749" spans="1:17" x14ac:dyDescent="0.25">
      <c r="A749" t="s">
        <v>19</v>
      </c>
      <c r="B749">
        <v>16.349999999999994</v>
      </c>
      <c r="C749">
        <v>83.1</v>
      </c>
      <c r="D749">
        <v>7.2000999999999999</v>
      </c>
      <c r="E749">
        <v>141.35</v>
      </c>
      <c r="F749">
        <v>83.1</v>
      </c>
      <c r="G749">
        <v>7.2000999999999999</v>
      </c>
      <c r="H749">
        <v>1.2</v>
      </c>
      <c r="I749">
        <v>0.9</v>
      </c>
      <c r="J749">
        <v>56.126477890366417</v>
      </c>
      <c r="K749">
        <v>1500</v>
      </c>
      <c r="L749">
        <v>0</v>
      </c>
      <c r="N749">
        <v>29</v>
      </c>
      <c r="O749" s="60" t="s">
        <v>1417</v>
      </c>
      <c r="P749" t="s">
        <v>755</v>
      </c>
      <c r="Q749" t="s">
        <v>2394</v>
      </c>
    </row>
    <row r="750" spans="1:17" x14ac:dyDescent="0.25">
      <c r="A750" t="s">
        <v>19</v>
      </c>
      <c r="B750">
        <v>141.35</v>
      </c>
      <c r="C750">
        <v>83.1</v>
      </c>
      <c r="D750">
        <v>7.2000999999999999</v>
      </c>
      <c r="E750">
        <v>141.35</v>
      </c>
      <c r="F750">
        <v>87.149999999999991</v>
      </c>
      <c r="G750">
        <v>7.2000999999999999</v>
      </c>
      <c r="H750">
        <v>1.2</v>
      </c>
      <c r="I750">
        <v>0.9</v>
      </c>
      <c r="J750">
        <v>1.8184978836478705</v>
      </c>
      <c r="K750">
        <v>1500</v>
      </c>
      <c r="L750">
        <v>0</v>
      </c>
      <c r="N750">
        <v>29</v>
      </c>
      <c r="O750" s="60" t="s">
        <v>1418</v>
      </c>
      <c r="P750" t="s">
        <v>756</v>
      </c>
      <c r="Q750" t="s">
        <v>1025</v>
      </c>
    </row>
    <row r="751" spans="1:17" x14ac:dyDescent="0.25">
      <c r="A751" t="s">
        <v>19</v>
      </c>
      <c r="B751">
        <v>141.35</v>
      </c>
      <c r="C751">
        <v>87.149999999999991</v>
      </c>
      <c r="D751">
        <v>7.2000999999999999</v>
      </c>
      <c r="E751">
        <v>16.349999999999994</v>
      </c>
      <c r="F751">
        <v>87.149999999999991</v>
      </c>
      <c r="G751">
        <v>7.2000999999999999</v>
      </c>
      <c r="H751">
        <v>1.2</v>
      </c>
      <c r="I751">
        <v>0.9</v>
      </c>
      <c r="J751">
        <v>56.126477890366417</v>
      </c>
      <c r="K751">
        <v>1500</v>
      </c>
      <c r="L751">
        <v>0</v>
      </c>
      <c r="N751">
        <v>29</v>
      </c>
      <c r="O751" s="60" t="s">
        <v>1419</v>
      </c>
      <c r="P751" t="s">
        <v>824</v>
      </c>
      <c r="Q751" t="s">
        <v>2395</v>
      </c>
    </row>
    <row r="752" spans="1:17" x14ac:dyDescent="0.25">
      <c r="A752" t="s">
        <v>19</v>
      </c>
      <c r="B752">
        <v>16.349999999999994</v>
      </c>
      <c r="C752">
        <v>87.149999999999991</v>
      </c>
      <c r="D752">
        <v>7.2000999999999999</v>
      </c>
      <c r="E752">
        <v>16.349999999999994</v>
      </c>
      <c r="F752">
        <v>88.499999999999986</v>
      </c>
      <c r="G752">
        <v>7.2000999999999999</v>
      </c>
      <c r="H752">
        <v>1.2</v>
      </c>
      <c r="I752">
        <v>0.9</v>
      </c>
      <c r="J752">
        <v>0.60616596121595478</v>
      </c>
      <c r="K752">
        <v>1500</v>
      </c>
      <c r="L752">
        <v>0</v>
      </c>
      <c r="N752">
        <v>29</v>
      </c>
      <c r="O752" s="60" t="s">
        <v>1420</v>
      </c>
      <c r="P752" t="s">
        <v>825</v>
      </c>
      <c r="Q752" t="s">
        <v>1026</v>
      </c>
    </row>
    <row r="753" spans="1:17" x14ac:dyDescent="0.25">
      <c r="A753" t="s">
        <v>19</v>
      </c>
      <c r="B753">
        <v>16.349999999999994</v>
      </c>
      <c r="C753">
        <v>88.499999999999986</v>
      </c>
      <c r="D753">
        <v>7.2000999999999999</v>
      </c>
      <c r="E753">
        <v>141.35</v>
      </c>
      <c r="F753">
        <v>88.499999999999986</v>
      </c>
      <c r="G753">
        <v>7.2000999999999999</v>
      </c>
      <c r="H753">
        <v>1.2</v>
      </c>
      <c r="I753">
        <v>0.9</v>
      </c>
      <c r="J753">
        <v>56.126477890366417</v>
      </c>
      <c r="K753">
        <v>1500</v>
      </c>
      <c r="L753">
        <v>0</v>
      </c>
      <c r="N753">
        <v>29</v>
      </c>
      <c r="O753" s="60" t="s">
        <v>1421</v>
      </c>
      <c r="P753" t="s">
        <v>755</v>
      </c>
      <c r="Q753" t="s">
        <v>2394</v>
      </c>
    </row>
    <row r="754" spans="1:17" x14ac:dyDescent="0.25">
      <c r="A754" t="s">
        <v>19</v>
      </c>
      <c r="B754">
        <v>141.35</v>
      </c>
      <c r="C754">
        <v>88.499999999999986</v>
      </c>
      <c r="D754">
        <v>7.2000999999999999</v>
      </c>
      <c r="E754">
        <v>141.35</v>
      </c>
      <c r="F754">
        <v>92.549999999999983</v>
      </c>
      <c r="G754">
        <v>7.2000999999999999</v>
      </c>
      <c r="H754">
        <v>1.2</v>
      </c>
      <c r="I754">
        <v>0.9</v>
      </c>
      <c r="J754">
        <v>1.8184978836478705</v>
      </c>
      <c r="K754">
        <v>1500</v>
      </c>
      <c r="L754">
        <v>0</v>
      </c>
      <c r="N754">
        <v>29</v>
      </c>
      <c r="O754" s="60" t="s">
        <v>1422</v>
      </c>
      <c r="P754" t="s">
        <v>756</v>
      </c>
      <c r="Q754" t="s">
        <v>1027</v>
      </c>
    </row>
    <row r="755" spans="1:17" x14ac:dyDescent="0.25">
      <c r="A755" t="s">
        <v>19</v>
      </c>
      <c r="B755">
        <v>141.35</v>
      </c>
      <c r="C755">
        <v>92.55</v>
      </c>
      <c r="D755">
        <v>7.2000999999999999</v>
      </c>
      <c r="E755">
        <v>16.349999999999994</v>
      </c>
      <c r="F755">
        <v>92.55</v>
      </c>
      <c r="G755">
        <v>7.2000999999999999</v>
      </c>
      <c r="H755">
        <v>1.2</v>
      </c>
      <c r="I755">
        <v>0.9</v>
      </c>
      <c r="J755">
        <v>56.126477890366417</v>
      </c>
      <c r="K755">
        <v>1500</v>
      </c>
      <c r="L755">
        <v>0</v>
      </c>
      <c r="N755">
        <v>29</v>
      </c>
      <c r="O755" s="60" t="s">
        <v>1423</v>
      </c>
      <c r="P755" t="s">
        <v>824</v>
      </c>
      <c r="Q755" t="s">
        <v>2395</v>
      </c>
    </row>
    <row r="756" spans="1:17" x14ac:dyDescent="0.25">
      <c r="A756" t="s">
        <v>19</v>
      </c>
      <c r="B756">
        <v>16.349999999999994</v>
      </c>
      <c r="C756">
        <v>92.55</v>
      </c>
      <c r="D756">
        <v>7.2000999999999999</v>
      </c>
      <c r="E756">
        <v>16.349999999999994</v>
      </c>
      <c r="F756">
        <v>93.899999999999991</v>
      </c>
      <c r="G756">
        <v>7.2000999999999999</v>
      </c>
      <c r="H756">
        <v>1.2</v>
      </c>
      <c r="I756">
        <v>0.9</v>
      </c>
      <c r="J756">
        <v>0.60616596121595478</v>
      </c>
      <c r="K756">
        <v>1500</v>
      </c>
      <c r="L756">
        <v>0</v>
      </c>
      <c r="N756">
        <v>29</v>
      </c>
      <c r="O756" s="60" t="s">
        <v>1424</v>
      </c>
      <c r="P756" t="s">
        <v>825</v>
      </c>
      <c r="Q756" t="s">
        <v>1028</v>
      </c>
    </row>
    <row r="757" spans="1:17" x14ac:dyDescent="0.25">
      <c r="A757" t="s">
        <v>19</v>
      </c>
      <c r="B757">
        <v>16.349999999999994</v>
      </c>
      <c r="C757">
        <v>93.899999999999991</v>
      </c>
      <c r="D757">
        <v>7.2000999999999999</v>
      </c>
      <c r="E757">
        <v>141.35</v>
      </c>
      <c r="F757">
        <v>93.899999999999991</v>
      </c>
      <c r="G757">
        <v>7.2000999999999999</v>
      </c>
      <c r="H757">
        <v>1.2</v>
      </c>
      <c r="I757">
        <v>0.9</v>
      </c>
      <c r="J757">
        <v>56.126477890366417</v>
      </c>
      <c r="K757">
        <v>1500</v>
      </c>
      <c r="L757">
        <v>0</v>
      </c>
      <c r="N757">
        <v>29</v>
      </c>
      <c r="O757" s="60" t="s">
        <v>1425</v>
      </c>
      <c r="P757" t="s">
        <v>755</v>
      </c>
      <c r="Q757" t="s">
        <v>2394</v>
      </c>
    </row>
    <row r="758" spans="1:17" x14ac:dyDescent="0.25">
      <c r="A758" t="s">
        <v>19</v>
      </c>
      <c r="B758">
        <v>141.35</v>
      </c>
      <c r="C758">
        <v>93.899999999999991</v>
      </c>
      <c r="D758">
        <v>7.2000999999999999</v>
      </c>
      <c r="E758">
        <v>141.35</v>
      </c>
      <c r="F758">
        <v>97.949999999999989</v>
      </c>
      <c r="G758">
        <v>7.2000999999999999</v>
      </c>
      <c r="H758">
        <v>1.2</v>
      </c>
      <c r="I758">
        <v>0.9</v>
      </c>
      <c r="J758">
        <v>1.8184978836478705</v>
      </c>
      <c r="K758">
        <v>1500</v>
      </c>
      <c r="L758">
        <v>0</v>
      </c>
      <c r="N758">
        <v>29</v>
      </c>
      <c r="O758" s="60" t="s">
        <v>1426</v>
      </c>
      <c r="P758" t="s">
        <v>756</v>
      </c>
      <c r="Q758" t="s">
        <v>1029</v>
      </c>
    </row>
    <row r="759" spans="1:17" x14ac:dyDescent="0.25">
      <c r="A759" t="s">
        <v>19</v>
      </c>
      <c r="B759">
        <v>141.35</v>
      </c>
      <c r="C759">
        <v>97.949999999999989</v>
      </c>
      <c r="D759">
        <v>7.2000999999999999</v>
      </c>
      <c r="E759">
        <v>16.349999999999994</v>
      </c>
      <c r="F759">
        <v>97.949999999999989</v>
      </c>
      <c r="G759">
        <v>7.2000999999999999</v>
      </c>
      <c r="H759">
        <v>1.2</v>
      </c>
      <c r="I759">
        <v>0.9</v>
      </c>
      <c r="J759">
        <v>56.126477890366417</v>
      </c>
      <c r="K759">
        <v>1500</v>
      </c>
      <c r="L759">
        <v>0</v>
      </c>
      <c r="N759">
        <v>29</v>
      </c>
      <c r="O759" s="60" t="s">
        <v>1427</v>
      </c>
      <c r="P759" t="s">
        <v>824</v>
      </c>
      <c r="Q759" t="s">
        <v>2395</v>
      </c>
    </row>
    <row r="760" spans="1:17" x14ac:dyDescent="0.25">
      <c r="A760" t="s">
        <v>19</v>
      </c>
      <c r="B760">
        <v>16.349999999999994</v>
      </c>
      <c r="C760">
        <v>97.949999999999989</v>
      </c>
      <c r="D760">
        <v>7.2000999999999999</v>
      </c>
      <c r="E760">
        <v>16.349999999999994</v>
      </c>
      <c r="F760">
        <v>99.299999999999983</v>
      </c>
      <c r="G760">
        <v>7.2000999999999999</v>
      </c>
      <c r="H760">
        <v>1.2</v>
      </c>
      <c r="I760">
        <v>0.9</v>
      </c>
      <c r="J760">
        <v>0.60616596121595478</v>
      </c>
      <c r="K760">
        <v>1500</v>
      </c>
      <c r="L760">
        <v>0</v>
      </c>
      <c r="N760">
        <v>29</v>
      </c>
      <c r="O760" s="60" t="s">
        <v>1428</v>
      </c>
      <c r="P760" t="s">
        <v>825</v>
      </c>
      <c r="Q760" t="s">
        <v>1030</v>
      </c>
    </row>
    <row r="761" spans="1:17" x14ac:dyDescent="0.25">
      <c r="A761" t="s">
        <v>19</v>
      </c>
      <c r="B761">
        <v>16.349999999999994</v>
      </c>
      <c r="C761">
        <v>99.299999999999983</v>
      </c>
      <c r="D761">
        <v>7.2000999999999999</v>
      </c>
      <c r="E761">
        <v>141.35</v>
      </c>
      <c r="F761">
        <v>99.299999999999983</v>
      </c>
      <c r="G761">
        <v>7.2000999999999999</v>
      </c>
      <c r="H761">
        <v>1.2</v>
      </c>
      <c r="I761">
        <v>0.9</v>
      </c>
      <c r="J761">
        <v>56.126477890366417</v>
      </c>
      <c r="K761">
        <v>1500</v>
      </c>
      <c r="L761">
        <v>0</v>
      </c>
      <c r="N761">
        <v>29</v>
      </c>
      <c r="O761" s="60" t="s">
        <v>1429</v>
      </c>
      <c r="P761" t="s">
        <v>755</v>
      </c>
      <c r="Q761" t="s">
        <v>2394</v>
      </c>
    </row>
    <row r="762" spans="1:17" x14ac:dyDescent="0.25">
      <c r="A762" t="s">
        <v>19</v>
      </c>
      <c r="B762">
        <v>141.35</v>
      </c>
      <c r="C762">
        <v>99.299999999999983</v>
      </c>
      <c r="D762">
        <v>7.2000999999999999</v>
      </c>
      <c r="E762">
        <v>141.35</v>
      </c>
      <c r="F762">
        <v>103.35</v>
      </c>
      <c r="G762">
        <v>7.2000999999999999</v>
      </c>
      <c r="H762">
        <v>1.2</v>
      </c>
      <c r="I762">
        <v>0.9</v>
      </c>
      <c r="J762">
        <v>1.8184978836478705</v>
      </c>
      <c r="K762">
        <v>1500</v>
      </c>
      <c r="L762">
        <v>0</v>
      </c>
      <c r="N762">
        <v>29</v>
      </c>
      <c r="O762" s="60" t="s">
        <v>1430</v>
      </c>
      <c r="P762" t="s">
        <v>756</v>
      </c>
      <c r="Q762" t="s">
        <v>1031</v>
      </c>
    </row>
    <row r="763" spans="1:17" x14ac:dyDescent="0.25">
      <c r="A763" t="s">
        <v>19</v>
      </c>
      <c r="B763">
        <v>141.35</v>
      </c>
      <c r="C763">
        <v>103.35</v>
      </c>
      <c r="D763">
        <v>7.2000999999999999</v>
      </c>
      <c r="E763">
        <v>16.349999999999994</v>
      </c>
      <c r="F763">
        <v>103.35</v>
      </c>
      <c r="G763">
        <v>7.2000999999999999</v>
      </c>
      <c r="H763">
        <v>1.2</v>
      </c>
      <c r="I763">
        <v>0.9</v>
      </c>
      <c r="J763">
        <v>56.126477890366417</v>
      </c>
      <c r="K763">
        <v>1500</v>
      </c>
      <c r="L763">
        <v>0</v>
      </c>
      <c r="N763">
        <v>29</v>
      </c>
      <c r="O763" s="60" t="s">
        <v>1431</v>
      </c>
      <c r="P763" t="s">
        <v>824</v>
      </c>
      <c r="Q763" t="s">
        <v>2395</v>
      </c>
    </row>
    <row r="764" spans="1:17" x14ac:dyDescent="0.25">
      <c r="A764" t="s">
        <v>19</v>
      </c>
      <c r="B764">
        <v>16.349999999999994</v>
      </c>
      <c r="C764">
        <v>103.35</v>
      </c>
      <c r="D764">
        <v>7.2000999999999999</v>
      </c>
      <c r="E764">
        <v>16.349999999999994</v>
      </c>
      <c r="F764">
        <v>104.69999999999999</v>
      </c>
      <c r="G764">
        <v>7.2000999999999999</v>
      </c>
      <c r="H764">
        <v>1.2</v>
      </c>
      <c r="I764">
        <v>0.9</v>
      </c>
      <c r="J764">
        <v>0.60616596121595478</v>
      </c>
      <c r="K764">
        <v>1500</v>
      </c>
      <c r="L764">
        <v>0</v>
      </c>
      <c r="N764">
        <v>29</v>
      </c>
      <c r="O764" s="60" t="s">
        <v>1432</v>
      </c>
      <c r="P764" t="s">
        <v>825</v>
      </c>
      <c r="Q764" t="s">
        <v>1032</v>
      </c>
    </row>
    <row r="765" spans="1:17" x14ac:dyDescent="0.25">
      <c r="A765" t="s">
        <v>19</v>
      </c>
      <c r="B765">
        <v>16.349999999999994</v>
      </c>
      <c r="C765">
        <v>104.69999999999999</v>
      </c>
      <c r="D765">
        <v>7.2000999999999999</v>
      </c>
      <c r="E765">
        <v>141.35</v>
      </c>
      <c r="F765">
        <v>104.69999999999999</v>
      </c>
      <c r="G765">
        <v>7.2000999999999999</v>
      </c>
      <c r="H765">
        <v>1.2</v>
      </c>
      <c r="I765">
        <v>0.9</v>
      </c>
      <c r="J765">
        <v>56.126477890366417</v>
      </c>
      <c r="K765">
        <v>1500</v>
      </c>
      <c r="L765">
        <v>0</v>
      </c>
      <c r="N765">
        <v>29</v>
      </c>
      <c r="O765" s="60" t="s">
        <v>1433</v>
      </c>
      <c r="P765" t="s">
        <v>755</v>
      </c>
      <c r="Q765" t="s">
        <v>2394</v>
      </c>
    </row>
    <row r="766" spans="1:17" x14ac:dyDescent="0.25">
      <c r="A766" t="s">
        <v>19</v>
      </c>
      <c r="B766">
        <v>141.35</v>
      </c>
      <c r="C766">
        <v>104.69999999999999</v>
      </c>
      <c r="D766">
        <v>7.2000999999999999</v>
      </c>
      <c r="E766">
        <v>141.35</v>
      </c>
      <c r="F766">
        <v>108.74999999999999</v>
      </c>
      <c r="G766">
        <v>7.2000999999999999</v>
      </c>
      <c r="H766">
        <v>1.2</v>
      </c>
      <c r="I766">
        <v>0.9</v>
      </c>
      <c r="J766">
        <v>1.8184978836478705</v>
      </c>
      <c r="K766">
        <v>1500</v>
      </c>
      <c r="L766">
        <v>0</v>
      </c>
      <c r="N766">
        <v>29</v>
      </c>
      <c r="O766" s="60" t="s">
        <v>1434</v>
      </c>
      <c r="P766" t="s">
        <v>756</v>
      </c>
      <c r="Q766" t="s">
        <v>1033</v>
      </c>
    </row>
    <row r="767" spans="1:17" x14ac:dyDescent="0.25">
      <c r="A767" t="s">
        <v>19</v>
      </c>
      <c r="B767">
        <v>141.35</v>
      </c>
      <c r="C767">
        <v>108.75</v>
      </c>
      <c r="D767">
        <v>7.2000999999999999</v>
      </c>
      <c r="E767">
        <v>16.349999999999994</v>
      </c>
      <c r="F767">
        <v>108.75</v>
      </c>
      <c r="G767">
        <v>7.2000999999999999</v>
      </c>
      <c r="H767">
        <v>1.2</v>
      </c>
      <c r="I767">
        <v>0.9</v>
      </c>
      <c r="J767">
        <v>56.126477890366417</v>
      </c>
      <c r="K767">
        <v>1500</v>
      </c>
      <c r="L767">
        <v>0</v>
      </c>
      <c r="N767">
        <v>29</v>
      </c>
      <c r="O767" s="60" t="s">
        <v>1435</v>
      </c>
      <c r="P767" t="s">
        <v>824</v>
      </c>
      <c r="Q767" t="s">
        <v>2395</v>
      </c>
    </row>
    <row r="768" spans="1:17" x14ac:dyDescent="0.25">
      <c r="A768" t="s">
        <v>19</v>
      </c>
      <c r="B768">
        <v>16.349999999999994</v>
      </c>
      <c r="C768">
        <v>108.75</v>
      </c>
      <c r="D768">
        <v>7.2000999999999999</v>
      </c>
      <c r="E768">
        <v>16.349999999999994</v>
      </c>
      <c r="F768">
        <v>110.1</v>
      </c>
      <c r="G768">
        <v>7.2000999999999999</v>
      </c>
      <c r="H768">
        <v>1.2</v>
      </c>
      <c r="I768">
        <v>0.9</v>
      </c>
      <c r="J768">
        <v>0.60616596121595478</v>
      </c>
      <c r="K768">
        <v>1500</v>
      </c>
      <c r="L768">
        <v>0</v>
      </c>
      <c r="N768">
        <v>29</v>
      </c>
      <c r="O768" s="60" t="s">
        <v>1436</v>
      </c>
      <c r="P768" t="s">
        <v>825</v>
      </c>
      <c r="Q768" t="s">
        <v>1034</v>
      </c>
    </row>
    <row r="769" spans="1:17" x14ac:dyDescent="0.25">
      <c r="A769" t="s">
        <v>19</v>
      </c>
      <c r="B769">
        <v>16.349999999999994</v>
      </c>
      <c r="C769">
        <v>110.1</v>
      </c>
      <c r="D769">
        <v>7.2000999999999999</v>
      </c>
      <c r="E769">
        <v>141.35</v>
      </c>
      <c r="F769">
        <v>110.1</v>
      </c>
      <c r="G769">
        <v>7.2000999999999999</v>
      </c>
      <c r="H769">
        <v>1.2</v>
      </c>
      <c r="I769">
        <v>0.9</v>
      </c>
      <c r="J769">
        <v>56.126477890366417</v>
      </c>
      <c r="K769">
        <v>1500</v>
      </c>
      <c r="L769">
        <v>0</v>
      </c>
      <c r="N769">
        <v>29</v>
      </c>
      <c r="O769" s="60" t="s">
        <v>1437</v>
      </c>
      <c r="P769" t="s">
        <v>755</v>
      </c>
      <c r="Q769" t="s">
        <v>2394</v>
      </c>
    </row>
    <row r="770" spans="1:17" x14ac:dyDescent="0.25">
      <c r="A770" t="s">
        <v>19</v>
      </c>
      <c r="B770">
        <v>141.35</v>
      </c>
      <c r="C770">
        <v>110.1</v>
      </c>
      <c r="D770">
        <v>7.2000999999999999</v>
      </c>
      <c r="E770">
        <v>141.35</v>
      </c>
      <c r="F770">
        <v>114.14999999999999</v>
      </c>
      <c r="G770">
        <v>7.2000999999999999</v>
      </c>
      <c r="H770">
        <v>1.2</v>
      </c>
      <c r="I770">
        <v>0.9</v>
      </c>
      <c r="J770">
        <v>1.8184978836478705</v>
      </c>
      <c r="K770">
        <v>1500</v>
      </c>
      <c r="L770">
        <v>0</v>
      </c>
      <c r="N770">
        <v>29</v>
      </c>
      <c r="O770" s="60" t="s">
        <v>1438</v>
      </c>
      <c r="P770" t="s">
        <v>756</v>
      </c>
      <c r="Q770" t="s">
        <v>1035</v>
      </c>
    </row>
    <row r="771" spans="1:17" x14ac:dyDescent="0.25">
      <c r="A771" t="s">
        <v>19</v>
      </c>
      <c r="B771">
        <v>141.35</v>
      </c>
      <c r="C771">
        <v>114.14999999999999</v>
      </c>
      <c r="D771">
        <v>7.2000999999999999</v>
      </c>
      <c r="E771">
        <v>16.349999999999994</v>
      </c>
      <c r="F771">
        <v>114.14999999999999</v>
      </c>
      <c r="G771">
        <v>7.2000999999999999</v>
      </c>
      <c r="H771">
        <v>1.2</v>
      </c>
      <c r="I771">
        <v>0.9</v>
      </c>
      <c r="J771">
        <v>56.126477890366417</v>
      </c>
      <c r="K771">
        <v>1500</v>
      </c>
      <c r="L771">
        <v>0</v>
      </c>
      <c r="N771">
        <v>29</v>
      </c>
      <c r="O771" s="60" t="s">
        <v>1439</v>
      </c>
      <c r="P771" t="s">
        <v>824</v>
      </c>
      <c r="Q771" t="s">
        <v>2395</v>
      </c>
    </row>
    <row r="772" spans="1:17" x14ac:dyDescent="0.25">
      <c r="A772" t="s">
        <v>19</v>
      </c>
      <c r="B772">
        <v>16.349999999999994</v>
      </c>
      <c r="C772">
        <v>114.14999999999999</v>
      </c>
      <c r="D772">
        <v>7.2000999999999999</v>
      </c>
      <c r="E772">
        <v>16.349999999999994</v>
      </c>
      <c r="F772">
        <v>115.49999999999999</v>
      </c>
      <c r="G772">
        <v>7.2000999999999999</v>
      </c>
      <c r="H772">
        <v>1.2</v>
      </c>
      <c r="I772">
        <v>0.9</v>
      </c>
      <c r="J772">
        <v>0.60616596121595478</v>
      </c>
      <c r="K772">
        <v>1500</v>
      </c>
      <c r="L772">
        <v>0</v>
      </c>
      <c r="N772">
        <v>29</v>
      </c>
      <c r="O772" s="60" t="s">
        <v>1440</v>
      </c>
      <c r="P772" t="s">
        <v>825</v>
      </c>
      <c r="Q772" t="s">
        <v>1036</v>
      </c>
    </row>
    <row r="773" spans="1:17" x14ac:dyDescent="0.25">
      <c r="A773" t="s">
        <v>19</v>
      </c>
      <c r="B773">
        <v>16.349999999999994</v>
      </c>
      <c r="C773">
        <v>115.49999999999999</v>
      </c>
      <c r="D773">
        <v>7.2000999999999999</v>
      </c>
      <c r="E773">
        <v>141.35</v>
      </c>
      <c r="F773">
        <v>115.49999999999999</v>
      </c>
      <c r="G773">
        <v>7.2000999999999999</v>
      </c>
      <c r="H773">
        <v>1.2</v>
      </c>
      <c r="I773">
        <v>0.9</v>
      </c>
      <c r="J773">
        <v>56.126477890366417</v>
      </c>
      <c r="K773">
        <v>1500</v>
      </c>
      <c r="L773">
        <v>0</v>
      </c>
      <c r="N773">
        <v>29</v>
      </c>
      <c r="O773" s="60" t="s">
        <v>1441</v>
      </c>
      <c r="P773" t="s">
        <v>755</v>
      </c>
      <c r="Q773" t="s">
        <v>2394</v>
      </c>
    </row>
    <row r="774" spans="1:17" x14ac:dyDescent="0.25">
      <c r="A774" t="s">
        <v>19</v>
      </c>
      <c r="B774">
        <v>141.35</v>
      </c>
      <c r="C774">
        <v>115.49999999999999</v>
      </c>
      <c r="D774">
        <v>7.2000999999999999</v>
      </c>
      <c r="E774">
        <v>141.35</v>
      </c>
      <c r="F774">
        <v>119.54999999999998</v>
      </c>
      <c r="G774">
        <v>7.2000999999999999</v>
      </c>
      <c r="H774">
        <v>1.2</v>
      </c>
      <c r="I774">
        <v>0.9</v>
      </c>
      <c r="J774">
        <v>1.8184978836478705</v>
      </c>
      <c r="K774">
        <v>1500</v>
      </c>
      <c r="L774">
        <v>0</v>
      </c>
      <c r="N774">
        <v>29</v>
      </c>
      <c r="O774" s="60" t="s">
        <v>1442</v>
      </c>
      <c r="P774" t="s">
        <v>756</v>
      </c>
      <c r="Q774" t="s">
        <v>1037</v>
      </c>
    </row>
    <row r="775" spans="1:17" x14ac:dyDescent="0.25">
      <c r="A775" t="s">
        <v>19</v>
      </c>
      <c r="B775">
        <v>141.35</v>
      </c>
      <c r="C775">
        <v>119.55</v>
      </c>
      <c r="D775">
        <v>7.2000999999999999</v>
      </c>
      <c r="E775">
        <v>16.349999999999994</v>
      </c>
      <c r="F775">
        <v>119.55</v>
      </c>
      <c r="G775">
        <v>7.2000999999999999</v>
      </c>
      <c r="H775">
        <v>1.2</v>
      </c>
      <c r="I775">
        <v>0.9</v>
      </c>
      <c r="J775">
        <v>56.126477890366417</v>
      </c>
      <c r="K775">
        <v>1500</v>
      </c>
      <c r="L775">
        <v>0</v>
      </c>
      <c r="N775">
        <v>29</v>
      </c>
      <c r="O775" s="60" t="s">
        <v>2152</v>
      </c>
      <c r="P775" t="s">
        <v>824</v>
      </c>
      <c r="Q775" t="s">
        <v>2395</v>
      </c>
    </row>
    <row r="776" spans="1:17" x14ac:dyDescent="0.25">
      <c r="A776" t="s">
        <v>19</v>
      </c>
      <c r="B776">
        <v>16.349999999999994</v>
      </c>
      <c r="C776">
        <v>119.55</v>
      </c>
      <c r="D776">
        <v>7.2000999999999999</v>
      </c>
      <c r="E776">
        <v>16.349999999999994</v>
      </c>
      <c r="F776">
        <v>120.89999999999999</v>
      </c>
      <c r="G776">
        <v>7.2000999999999999</v>
      </c>
      <c r="H776">
        <v>1.2</v>
      </c>
      <c r="I776">
        <v>0.9</v>
      </c>
      <c r="J776">
        <v>0.60616596121595478</v>
      </c>
      <c r="K776">
        <v>1500</v>
      </c>
      <c r="L776">
        <v>0</v>
      </c>
      <c r="N776">
        <v>29</v>
      </c>
      <c r="O776" s="60" t="s">
        <v>2153</v>
      </c>
      <c r="P776" t="s">
        <v>825</v>
      </c>
      <c r="Q776" t="s">
        <v>1935</v>
      </c>
    </row>
    <row r="777" spans="1:17" x14ac:dyDescent="0.25">
      <c r="A777" t="s">
        <v>19</v>
      </c>
      <c r="B777">
        <v>16.349999999999994</v>
      </c>
      <c r="C777">
        <v>120.89999999999999</v>
      </c>
      <c r="D777">
        <v>7.2000999999999999</v>
      </c>
      <c r="E777">
        <v>141.35</v>
      </c>
      <c r="F777">
        <v>120.89999999999999</v>
      </c>
      <c r="G777">
        <v>7.2000999999999999</v>
      </c>
      <c r="H777">
        <v>1.2</v>
      </c>
      <c r="I777">
        <v>0.9</v>
      </c>
      <c r="J777">
        <v>56.126477890366417</v>
      </c>
      <c r="K777">
        <v>1500</v>
      </c>
      <c r="L777">
        <v>0</v>
      </c>
      <c r="N777">
        <v>29</v>
      </c>
      <c r="O777" s="60" t="s">
        <v>2154</v>
      </c>
      <c r="P777" t="s">
        <v>755</v>
      </c>
      <c r="Q777" t="s">
        <v>2394</v>
      </c>
    </row>
    <row r="778" spans="1:17" x14ac:dyDescent="0.25">
      <c r="A778" t="s">
        <v>19</v>
      </c>
      <c r="B778">
        <v>141.35</v>
      </c>
      <c r="C778">
        <v>120.89999999999999</v>
      </c>
      <c r="D778">
        <v>7.2000999999999999</v>
      </c>
      <c r="E778">
        <v>141.35</v>
      </c>
      <c r="F778">
        <v>124.94999999999999</v>
      </c>
      <c r="G778">
        <v>7.2000999999999999</v>
      </c>
      <c r="H778">
        <v>1.2</v>
      </c>
      <c r="I778">
        <v>0.9</v>
      </c>
      <c r="J778">
        <v>1.8184978836478705</v>
      </c>
      <c r="K778">
        <v>1500</v>
      </c>
      <c r="L778">
        <v>0</v>
      </c>
      <c r="N778">
        <v>29</v>
      </c>
      <c r="O778" s="60" t="s">
        <v>2155</v>
      </c>
      <c r="P778" t="s">
        <v>756</v>
      </c>
      <c r="Q778" t="s">
        <v>1938</v>
      </c>
    </row>
    <row r="779" spans="1:17" x14ac:dyDescent="0.25">
      <c r="A779" t="s">
        <v>19</v>
      </c>
      <c r="B779">
        <v>141.35</v>
      </c>
      <c r="C779">
        <v>124.95</v>
      </c>
      <c r="D779">
        <v>7.2000999999999999</v>
      </c>
      <c r="E779">
        <v>16.349999999999994</v>
      </c>
      <c r="F779">
        <v>124.95</v>
      </c>
      <c r="G779">
        <v>7.2000999999999999</v>
      </c>
      <c r="H779">
        <v>1.2</v>
      </c>
      <c r="I779">
        <v>0.9</v>
      </c>
      <c r="J779">
        <v>56.126477890366417</v>
      </c>
      <c r="K779">
        <v>1500</v>
      </c>
      <c r="L779">
        <v>0</v>
      </c>
      <c r="N779">
        <v>29</v>
      </c>
      <c r="O779" s="60" t="s">
        <v>2156</v>
      </c>
      <c r="P779" t="s">
        <v>824</v>
      </c>
      <c r="Q779" t="s">
        <v>2395</v>
      </c>
    </row>
    <row r="780" spans="1:17" x14ac:dyDescent="0.25">
      <c r="A780" t="s">
        <v>19</v>
      </c>
      <c r="B780">
        <v>16.349999999999994</v>
      </c>
      <c r="C780">
        <v>124.95</v>
      </c>
      <c r="D780">
        <v>7.2000999999999999</v>
      </c>
      <c r="E780">
        <v>16.349999999999994</v>
      </c>
      <c r="F780">
        <v>126.3</v>
      </c>
      <c r="G780">
        <v>7.2000999999999999</v>
      </c>
      <c r="H780">
        <v>1.2</v>
      </c>
      <c r="I780">
        <v>0.9</v>
      </c>
      <c r="J780">
        <v>0.60616596121595478</v>
      </c>
      <c r="K780">
        <v>1500</v>
      </c>
      <c r="L780">
        <v>0</v>
      </c>
      <c r="N780">
        <v>29</v>
      </c>
      <c r="O780" s="60" t="s">
        <v>2157</v>
      </c>
      <c r="P780" t="s">
        <v>825</v>
      </c>
      <c r="Q780" t="s">
        <v>1941</v>
      </c>
    </row>
    <row r="781" spans="1:17" x14ac:dyDescent="0.25">
      <c r="A781" t="s">
        <v>19</v>
      </c>
      <c r="B781">
        <v>16.349999999999994</v>
      </c>
      <c r="C781">
        <v>126.3</v>
      </c>
      <c r="D781">
        <v>7.2000999999999999</v>
      </c>
      <c r="E781">
        <v>141.35</v>
      </c>
      <c r="F781">
        <v>126.3</v>
      </c>
      <c r="G781">
        <v>7.2000999999999999</v>
      </c>
      <c r="H781">
        <v>1.2</v>
      </c>
      <c r="I781">
        <v>0.9</v>
      </c>
      <c r="J781">
        <v>56.126477890366417</v>
      </c>
      <c r="K781">
        <v>1500</v>
      </c>
      <c r="L781">
        <v>0</v>
      </c>
      <c r="N781">
        <v>29</v>
      </c>
      <c r="O781" s="60" t="s">
        <v>2158</v>
      </c>
      <c r="P781" t="s">
        <v>755</v>
      </c>
      <c r="Q781" t="s">
        <v>2394</v>
      </c>
    </row>
    <row r="782" spans="1:17" x14ac:dyDescent="0.25">
      <c r="A782" t="s">
        <v>19</v>
      </c>
      <c r="B782">
        <v>141.35</v>
      </c>
      <c r="C782">
        <v>126.3</v>
      </c>
      <c r="D782">
        <v>7.2000999999999999</v>
      </c>
      <c r="E782">
        <v>141.35</v>
      </c>
      <c r="F782">
        <v>130.35</v>
      </c>
      <c r="G782">
        <v>7.2000999999999999</v>
      </c>
      <c r="H782">
        <v>1.2</v>
      </c>
      <c r="I782">
        <v>0.9</v>
      </c>
      <c r="J782">
        <v>1.8184978836478705</v>
      </c>
      <c r="K782">
        <v>1500</v>
      </c>
      <c r="L782">
        <v>0</v>
      </c>
      <c r="N782">
        <v>29</v>
      </c>
      <c r="O782" s="60" t="s">
        <v>2159</v>
      </c>
      <c r="P782" t="s">
        <v>756</v>
      </c>
      <c r="Q782" t="s">
        <v>1944</v>
      </c>
    </row>
    <row r="783" spans="1:17" x14ac:dyDescent="0.25">
      <c r="A783" t="s">
        <v>39</v>
      </c>
      <c r="B783">
        <v>-1.25</v>
      </c>
      <c r="C783">
        <v>2100</v>
      </c>
      <c r="N783">
        <v>29</v>
      </c>
      <c r="O783" s="60" t="s">
        <v>936</v>
      </c>
      <c r="P783" t="s">
        <v>753</v>
      </c>
      <c r="Q783" t="s">
        <v>845</v>
      </c>
    </row>
    <row r="784" spans="1:17" x14ac:dyDescent="0.25">
      <c r="A784" t="s">
        <v>660</v>
      </c>
      <c r="B784">
        <v>0.9</v>
      </c>
      <c r="C784">
        <v>10000</v>
      </c>
      <c r="N784">
        <v>29</v>
      </c>
      <c r="O784" s="60" t="s">
        <v>936</v>
      </c>
      <c r="P784" t="s">
        <v>753</v>
      </c>
      <c r="Q784" t="s">
        <v>835</v>
      </c>
    </row>
    <row r="785" spans="1:17" x14ac:dyDescent="0.25">
      <c r="A785" t="s">
        <v>23</v>
      </c>
      <c r="B785">
        <v>141.35</v>
      </c>
      <c r="C785">
        <v>130.35</v>
      </c>
      <c r="D785">
        <v>7.2000999999999999</v>
      </c>
      <c r="E785">
        <v>141.35</v>
      </c>
      <c r="F785">
        <v>76.349999999999994</v>
      </c>
      <c r="G785">
        <v>8.1000999999999994</v>
      </c>
      <c r="H785">
        <v>0</v>
      </c>
      <c r="I785">
        <v>0</v>
      </c>
      <c r="K785">
        <v>48000</v>
      </c>
      <c r="N785">
        <v>0</v>
      </c>
      <c r="O785" s="60">
        <v>0</v>
      </c>
      <c r="P785" t="s">
        <v>661</v>
      </c>
      <c r="Q785" t="s">
        <v>2160</v>
      </c>
    </row>
    <row r="786" spans="1:17" x14ac:dyDescent="0.25">
      <c r="A786" t="s">
        <v>19</v>
      </c>
      <c r="B786">
        <v>141.35</v>
      </c>
      <c r="C786">
        <v>76.349999999999994</v>
      </c>
      <c r="D786">
        <v>8.1000999999999994</v>
      </c>
      <c r="E786">
        <v>16.349999999999994</v>
      </c>
      <c r="F786">
        <v>76.349999999999994</v>
      </c>
      <c r="G786">
        <v>8.1000999999999994</v>
      </c>
      <c r="H786">
        <v>1.2</v>
      </c>
      <c r="I786">
        <v>0.9</v>
      </c>
      <c r="J786">
        <v>56.126477890366417</v>
      </c>
      <c r="K786">
        <v>1500</v>
      </c>
      <c r="L786">
        <v>0</v>
      </c>
      <c r="N786">
        <v>29</v>
      </c>
      <c r="O786" s="60" t="s">
        <v>2161</v>
      </c>
      <c r="P786" t="s">
        <v>2001</v>
      </c>
      <c r="Q786" t="s">
        <v>2393</v>
      </c>
    </row>
    <row r="787" spans="1:17" x14ac:dyDescent="0.25">
      <c r="A787" t="s">
        <v>19</v>
      </c>
      <c r="B787">
        <v>16.349999999999994</v>
      </c>
      <c r="C787">
        <v>76.349999999999994</v>
      </c>
      <c r="D787">
        <v>8.1000999999999994</v>
      </c>
      <c r="E787">
        <v>16.349999999999994</v>
      </c>
      <c r="F787">
        <v>77.699999999999989</v>
      </c>
      <c r="G787">
        <v>8.1000999999999994</v>
      </c>
      <c r="H787">
        <v>1.2</v>
      </c>
      <c r="I787">
        <v>0.9</v>
      </c>
      <c r="J787">
        <v>0.60616596121595478</v>
      </c>
      <c r="K787">
        <v>1500</v>
      </c>
      <c r="L787">
        <v>0</v>
      </c>
      <c r="N787">
        <v>29</v>
      </c>
      <c r="O787" s="60" t="s">
        <v>2162</v>
      </c>
      <c r="P787" t="s">
        <v>2003</v>
      </c>
      <c r="Q787" t="s">
        <v>876</v>
      </c>
    </row>
    <row r="788" spans="1:17" x14ac:dyDescent="0.25">
      <c r="A788" t="s">
        <v>19</v>
      </c>
      <c r="B788">
        <v>16.349999999999994</v>
      </c>
      <c r="C788">
        <v>77.699999999999989</v>
      </c>
      <c r="D788">
        <v>8.1000999999999994</v>
      </c>
      <c r="E788">
        <v>141.35</v>
      </c>
      <c r="F788">
        <v>77.699999999999989</v>
      </c>
      <c r="G788">
        <v>8.1000999999999994</v>
      </c>
      <c r="H788">
        <v>1.2</v>
      </c>
      <c r="I788">
        <v>0.9</v>
      </c>
      <c r="J788">
        <v>56.126477890366417</v>
      </c>
      <c r="K788">
        <v>1500</v>
      </c>
      <c r="L788">
        <v>0</v>
      </c>
      <c r="N788">
        <v>29</v>
      </c>
      <c r="O788" s="60" t="s">
        <v>2163</v>
      </c>
      <c r="P788" t="s">
        <v>2005</v>
      </c>
      <c r="Q788" t="s">
        <v>2394</v>
      </c>
    </row>
    <row r="789" spans="1:17" x14ac:dyDescent="0.25">
      <c r="A789" t="s">
        <v>19</v>
      </c>
      <c r="B789">
        <v>141.35</v>
      </c>
      <c r="C789">
        <v>77.699999999999989</v>
      </c>
      <c r="D789">
        <v>8.1000999999999994</v>
      </c>
      <c r="E789">
        <v>141.35</v>
      </c>
      <c r="F789">
        <v>81.749999999999986</v>
      </c>
      <c r="G789">
        <v>8.1000999999999994</v>
      </c>
      <c r="H789">
        <v>1.2</v>
      </c>
      <c r="I789">
        <v>0.9</v>
      </c>
      <c r="J789">
        <v>1.8184978836478705</v>
      </c>
      <c r="K789">
        <v>1500</v>
      </c>
      <c r="L789">
        <v>0</v>
      </c>
      <c r="N789">
        <v>29</v>
      </c>
      <c r="O789" s="60" t="s">
        <v>2164</v>
      </c>
      <c r="P789" t="s">
        <v>2007</v>
      </c>
      <c r="Q789" t="s">
        <v>877</v>
      </c>
    </row>
    <row r="790" spans="1:17" x14ac:dyDescent="0.25">
      <c r="A790" t="s">
        <v>19</v>
      </c>
      <c r="B790">
        <v>141.35</v>
      </c>
      <c r="C790">
        <v>81.75</v>
      </c>
      <c r="D790">
        <v>8.1000999999999994</v>
      </c>
      <c r="E790">
        <v>16.349999999999994</v>
      </c>
      <c r="F790">
        <v>81.75</v>
      </c>
      <c r="G790">
        <v>8.1000999999999994</v>
      </c>
      <c r="H790">
        <v>1.2</v>
      </c>
      <c r="I790">
        <v>0.9</v>
      </c>
      <c r="J790">
        <v>56.126477890366417</v>
      </c>
      <c r="K790">
        <v>1500</v>
      </c>
      <c r="L790">
        <v>0</v>
      </c>
      <c r="N790">
        <v>29</v>
      </c>
      <c r="O790" s="60" t="s">
        <v>1443</v>
      </c>
      <c r="P790" t="s">
        <v>805</v>
      </c>
      <c r="Q790" t="s">
        <v>2395</v>
      </c>
    </row>
    <row r="791" spans="1:17" x14ac:dyDescent="0.25">
      <c r="A791" t="s">
        <v>19</v>
      </c>
      <c r="B791">
        <v>16.349999999999994</v>
      </c>
      <c r="C791">
        <v>81.75</v>
      </c>
      <c r="D791">
        <v>8.1000999999999994</v>
      </c>
      <c r="E791">
        <v>16.349999999999994</v>
      </c>
      <c r="F791">
        <v>83.1</v>
      </c>
      <c r="G791">
        <v>8.1000999999999994</v>
      </c>
      <c r="H791">
        <v>1.2</v>
      </c>
      <c r="I791">
        <v>0.9</v>
      </c>
      <c r="J791">
        <v>0.60616596121595478</v>
      </c>
      <c r="K791">
        <v>1500</v>
      </c>
      <c r="L791">
        <v>0</v>
      </c>
      <c r="N791">
        <v>29</v>
      </c>
      <c r="O791" s="60" t="s">
        <v>1444</v>
      </c>
      <c r="P791" t="s">
        <v>806</v>
      </c>
      <c r="Q791" t="s">
        <v>1024</v>
      </c>
    </row>
    <row r="792" spans="1:17" x14ac:dyDescent="0.25">
      <c r="A792" t="s">
        <v>19</v>
      </c>
      <c r="B792">
        <v>16.349999999999994</v>
      </c>
      <c r="C792">
        <v>83.1</v>
      </c>
      <c r="D792">
        <v>8.1000999999999994</v>
      </c>
      <c r="E792">
        <v>141.35</v>
      </c>
      <c r="F792">
        <v>83.1</v>
      </c>
      <c r="G792">
        <v>8.1000999999999994</v>
      </c>
      <c r="H792">
        <v>1.2</v>
      </c>
      <c r="I792">
        <v>0.9</v>
      </c>
      <c r="J792">
        <v>56.126477890366417</v>
      </c>
      <c r="K792">
        <v>1500</v>
      </c>
      <c r="L792">
        <v>0</v>
      </c>
      <c r="N792">
        <v>29</v>
      </c>
      <c r="O792" s="60" t="s">
        <v>1445</v>
      </c>
      <c r="P792" t="s">
        <v>826</v>
      </c>
      <c r="Q792" t="s">
        <v>2394</v>
      </c>
    </row>
    <row r="793" spans="1:17" x14ac:dyDescent="0.25">
      <c r="A793" t="s">
        <v>19</v>
      </c>
      <c r="B793">
        <v>141.35</v>
      </c>
      <c r="C793">
        <v>83.1</v>
      </c>
      <c r="D793">
        <v>8.1000999999999994</v>
      </c>
      <c r="E793">
        <v>141.35</v>
      </c>
      <c r="F793">
        <v>87.149999999999991</v>
      </c>
      <c r="G793">
        <v>8.1000999999999994</v>
      </c>
      <c r="H793">
        <v>1.2</v>
      </c>
      <c r="I793">
        <v>0.9</v>
      </c>
      <c r="J793">
        <v>1.8184978836478705</v>
      </c>
      <c r="K793">
        <v>1500</v>
      </c>
      <c r="L793">
        <v>0</v>
      </c>
      <c r="N793">
        <v>29</v>
      </c>
      <c r="O793" s="60" t="s">
        <v>1446</v>
      </c>
      <c r="P793" t="s">
        <v>761</v>
      </c>
      <c r="Q793" t="s">
        <v>1025</v>
      </c>
    </row>
    <row r="794" spans="1:17" x14ac:dyDescent="0.25">
      <c r="A794" t="s">
        <v>19</v>
      </c>
      <c r="B794">
        <v>141.35</v>
      </c>
      <c r="C794">
        <v>87.149999999999991</v>
      </c>
      <c r="D794">
        <v>8.1000999999999994</v>
      </c>
      <c r="E794">
        <v>16.349999999999994</v>
      </c>
      <c r="F794">
        <v>87.149999999999991</v>
      </c>
      <c r="G794">
        <v>8.1000999999999994</v>
      </c>
      <c r="H794">
        <v>1.2</v>
      </c>
      <c r="I794">
        <v>0.9</v>
      </c>
      <c r="J794">
        <v>56.126477890366417</v>
      </c>
      <c r="K794">
        <v>1500</v>
      </c>
      <c r="L794">
        <v>0</v>
      </c>
      <c r="N794">
        <v>29</v>
      </c>
      <c r="O794" s="60" t="s">
        <v>1447</v>
      </c>
      <c r="P794" t="s">
        <v>805</v>
      </c>
      <c r="Q794" t="s">
        <v>2395</v>
      </c>
    </row>
    <row r="795" spans="1:17" x14ac:dyDescent="0.25">
      <c r="A795" t="s">
        <v>19</v>
      </c>
      <c r="B795">
        <v>16.349999999999994</v>
      </c>
      <c r="C795">
        <v>87.149999999999991</v>
      </c>
      <c r="D795">
        <v>8.1000999999999994</v>
      </c>
      <c r="E795">
        <v>16.349999999999994</v>
      </c>
      <c r="F795">
        <v>88.499999999999986</v>
      </c>
      <c r="G795">
        <v>8.1000999999999994</v>
      </c>
      <c r="H795">
        <v>1.2</v>
      </c>
      <c r="I795">
        <v>0.9</v>
      </c>
      <c r="J795">
        <v>0.60616596121595478</v>
      </c>
      <c r="K795">
        <v>1500</v>
      </c>
      <c r="L795">
        <v>0</v>
      </c>
      <c r="N795">
        <v>29</v>
      </c>
      <c r="O795" s="60" t="s">
        <v>1448</v>
      </c>
      <c r="P795" t="s">
        <v>806</v>
      </c>
      <c r="Q795" t="s">
        <v>1026</v>
      </c>
    </row>
    <row r="796" spans="1:17" x14ac:dyDescent="0.25">
      <c r="A796" t="s">
        <v>19</v>
      </c>
      <c r="B796">
        <v>16.349999999999994</v>
      </c>
      <c r="C796">
        <v>88.499999999999986</v>
      </c>
      <c r="D796">
        <v>8.1000999999999994</v>
      </c>
      <c r="E796">
        <v>141.35</v>
      </c>
      <c r="F796">
        <v>88.499999999999986</v>
      </c>
      <c r="G796">
        <v>8.1000999999999994</v>
      </c>
      <c r="H796">
        <v>1.2</v>
      </c>
      <c r="I796">
        <v>0.9</v>
      </c>
      <c r="J796">
        <v>56.126477890366417</v>
      </c>
      <c r="K796">
        <v>1500</v>
      </c>
      <c r="L796">
        <v>0</v>
      </c>
      <c r="N796">
        <v>29</v>
      </c>
      <c r="O796" s="60" t="s">
        <v>1449</v>
      </c>
      <c r="P796" t="s">
        <v>826</v>
      </c>
      <c r="Q796" t="s">
        <v>2394</v>
      </c>
    </row>
    <row r="797" spans="1:17" x14ac:dyDescent="0.25">
      <c r="A797" t="s">
        <v>19</v>
      </c>
      <c r="B797">
        <v>141.35</v>
      </c>
      <c r="C797">
        <v>88.499999999999986</v>
      </c>
      <c r="D797">
        <v>8.1000999999999994</v>
      </c>
      <c r="E797">
        <v>141.35</v>
      </c>
      <c r="F797">
        <v>92.549999999999983</v>
      </c>
      <c r="G797">
        <v>8.1000999999999994</v>
      </c>
      <c r="H797">
        <v>1.2</v>
      </c>
      <c r="I797">
        <v>0.9</v>
      </c>
      <c r="J797">
        <v>1.8184978836478705</v>
      </c>
      <c r="K797">
        <v>1500</v>
      </c>
      <c r="L797">
        <v>0</v>
      </c>
      <c r="N797">
        <v>29</v>
      </c>
      <c r="O797" s="60" t="s">
        <v>1450</v>
      </c>
      <c r="P797" t="s">
        <v>761</v>
      </c>
      <c r="Q797" t="s">
        <v>1027</v>
      </c>
    </row>
    <row r="798" spans="1:17" x14ac:dyDescent="0.25">
      <c r="A798" t="s">
        <v>19</v>
      </c>
      <c r="B798">
        <v>141.35</v>
      </c>
      <c r="C798">
        <v>92.55</v>
      </c>
      <c r="D798">
        <v>8.1000999999999994</v>
      </c>
      <c r="E798">
        <v>16.349999999999994</v>
      </c>
      <c r="F798">
        <v>92.55</v>
      </c>
      <c r="G798">
        <v>8.1000999999999994</v>
      </c>
      <c r="H798">
        <v>1.2</v>
      </c>
      <c r="I798">
        <v>0.9</v>
      </c>
      <c r="J798">
        <v>56.126477890366417</v>
      </c>
      <c r="K798">
        <v>1500</v>
      </c>
      <c r="L798">
        <v>0</v>
      </c>
      <c r="N798">
        <v>29</v>
      </c>
      <c r="O798" s="60" t="s">
        <v>1451</v>
      </c>
      <c r="P798" t="s">
        <v>805</v>
      </c>
      <c r="Q798" t="s">
        <v>2395</v>
      </c>
    </row>
    <row r="799" spans="1:17" x14ac:dyDescent="0.25">
      <c r="A799" t="s">
        <v>19</v>
      </c>
      <c r="B799">
        <v>16.349999999999994</v>
      </c>
      <c r="C799">
        <v>92.55</v>
      </c>
      <c r="D799">
        <v>8.1000999999999994</v>
      </c>
      <c r="E799">
        <v>16.349999999999994</v>
      </c>
      <c r="F799">
        <v>93.899999999999991</v>
      </c>
      <c r="G799">
        <v>8.1000999999999994</v>
      </c>
      <c r="H799">
        <v>1.2</v>
      </c>
      <c r="I799">
        <v>0.9</v>
      </c>
      <c r="J799">
        <v>0.60616596121595478</v>
      </c>
      <c r="K799">
        <v>1500</v>
      </c>
      <c r="L799">
        <v>0</v>
      </c>
      <c r="N799">
        <v>29</v>
      </c>
      <c r="O799" s="60" t="s">
        <v>1452</v>
      </c>
      <c r="P799" t="s">
        <v>806</v>
      </c>
      <c r="Q799" t="s">
        <v>1028</v>
      </c>
    </row>
    <row r="800" spans="1:17" x14ac:dyDescent="0.25">
      <c r="A800" t="s">
        <v>19</v>
      </c>
      <c r="B800">
        <v>16.349999999999994</v>
      </c>
      <c r="C800">
        <v>93.899999999999991</v>
      </c>
      <c r="D800">
        <v>8.1000999999999994</v>
      </c>
      <c r="E800">
        <v>141.35</v>
      </c>
      <c r="F800">
        <v>93.899999999999991</v>
      </c>
      <c r="G800">
        <v>8.1000999999999994</v>
      </c>
      <c r="H800">
        <v>1.2</v>
      </c>
      <c r="I800">
        <v>0.9</v>
      </c>
      <c r="J800">
        <v>56.126477890366417</v>
      </c>
      <c r="K800">
        <v>1500</v>
      </c>
      <c r="L800">
        <v>0</v>
      </c>
      <c r="N800">
        <v>29</v>
      </c>
      <c r="O800" s="60" t="s">
        <v>1453</v>
      </c>
      <c r="P800" t="s">
        <v>826</v>
      </c>
      <c r="Q800" t="s">
        <v>2394</v>
      </c>
    </row>
    <row r="801" spans="1:17" x14ac:dyDescent="0.25">
      <c r="A801" t="s">
        <v>19</v>
      </c>
      <c r="B801">
        <v>141.35</v>
      </c>
      <c r="C801">
        <v>93.899999999999991</v>
      </c>
      <c r="D801">
        <v>8.1000999999999994</v>
      </c>
      <c r="E801">
        <v>141.35</v>
      </c>
      <c r="F801">
        <v>97.949999999999989</v>
      </c>
      <c r="G801">
        <v>8.1000999999999994</v>
      </c>
      <c r="H801">
        <v>1.2</v>
      </c>
      <c r="I801">
        <v>0.9</v>
      </c>
      <c r="J801">
        <v>1.8184978836478705</v>
      </c>
      <c r="K801">
        <v>1500</v>
      </c>
      <c r="L801">
        <v>0</v>
      </c>
      <c r="N801">
        <v>29</v>
      </c>
      <c r="O801" s="60" t="s">
        <v>1454</v>
      </c>
      <c r="P801" t="s">
        <v>761</v>
      </c>
      <c r="Q801" t="s">
        <v>1029</v>
      </c>
    </row>
    <row r="802" spans="1:17" x14ac:dyDescent="0.25">
      <c r="A802" t="s">
        <v>19</v>
      </c>
      <c r="B802">
        <v>141.35</v>
      </c>
      <c r="C802">
        <v>97.949999999999989</v>
      </c>
      <c r="D802">
        <v>8.1000999999999994</v>
      </c>
      <c r="E802">
        <v>16.349999999999994</v>
      </c>
      <c r="F802">
        <v>97.949999999999989</v>
      </c>
      <c r="G802">
        <v>8.1000999999999994</v>
      </c>
      <c r="H802">
        <v>1.2</v>
      </c>
      <c r="I802">
        <v>0.9</v>
      </c>
      <c r="J802">
        <v>56.126477890366417</v>
      </c>
      <c r="K802">
        <v>1500</v>
      </c>
      <c r="L802">
        <v>0</v>
      </c>
      <c r="N802">
        <v>29</v>
      </c>
      <c r="O802" s="60" t="s">
        <v>1455</v>
      </c>
      <c r="P802" t="s">
        <v>805</v>
      </c>
      <c r="Q802" t="s">
        <v>2395</v>
      </c>
    </row>
    <row r="803" spans="1:17" x14ac:dyDescent="0.25">
      <c r="A803" t="s">
        <v>19</v>
      </c>
      <c r="B803">
        <v>16.349999999999994</v>
      </c>
      <c r="C803">
        <v>97.949999999999989</v>
      </c>
      <c r="D803">
        <v>8.1000999999999994</v>
      </c>
      <c r="E803">
        <v>16.349999999999994</v>
      </c>
      <c r="F803">
        <v>99.299999999999983</v>
      </c>
      <c r="G803">
        <v>8.1000999999999994</v>
      </c>
      <c r="H803">
        <v>1.2</v>
      </c>
      <c r="I803">
        <v>0.9</v>
      </c>
      <c r="J803">
        <v>0.60616596121595478</v>
      </c>
      <c r="K803">
        <v>1500</v>
      </c>
      <c r="L803">
        <v>0</v>
      </c>
      <c r="N803">
        <v>29</v>
      </c>
      <c r="O803" s="60" t="s">
        <v>1456</v>
      </c>
      <c r="P803" t="s">
        <v>806</v>
      </c>
      <c r="Q803" t="s">
        <v>1030</v>
      </c>
    </row>
    <row r="804" spans="1:17" x14ac:dyDescent="0.25">
      <c r="A804" t="s">
        <v>19</v>
      </c>
      <c r="B804">
        <v>16.349999999999994</v>
      </c>
      <c r="C804">
        <v>99.299999999999983</v>
      </c>
      <c r="D804">
        <v>8.1000999999999994</v>
      </c>
      <c r="E804">
        <v>141.35</v>
      </c>
      <c r="F804">
        <v>99.299999999999983</v>
      </c>
      <c r="G804">
        <v>8.1000999999999994</v>
      </c>
      <c r="H804">
        <v>1.2</v>
      </c>
      <c r="I804">
        <v>0.9</v>
      </c>
      <c r="J804">
        <v>56.126477890366417</v>
      </c>
      <c r="K804">
        <v>1500</v>
      </c>
      <c r="L804">
        <v>0</v>
      </c>
      <c r="N804">
        <v>29</v>
      </c>
      <c r="O804" s="60" t="s">
        <v>1457</v>
      </c>
      <c r="P804" t="s">
        <v>826</v>
      </c>
      <c r="Q804" t="s">
        <v>2394</v>
      </c>
    </row>
    <row r="805" spans="1:17" x14ac:dyDescent="0.25">
      <c r="A805" t="s">
        <v>19</v>
      </c>
      <c r="B805">
        <v>141.35</v>
      </c>
      <c r="C805">
        <v>99.299999999999983</v>
      </c>
      <c r="D805">
        <v>8.1000999999999994</v>
      </c>
      <c r="E805">
        <v>141.35</v>
      </c>
      <c r="F805">
        <v>103.35</v>
      </c>
      <c r="G805">
        <v>8.1000999999999994</v>
      </c>
      <c r="H805">
        <v>1.2</v>
      </c>
      <c r="I805">
        <v>0.9</v>
      </c>
      <c r="J805">
        <v>1.8184978836478705</v>
      </c>
      <c r="K805">
        <v>1500</v>
      </c>
      <c r="L805">
        <v>0</v>
      </c>
      <c r="N805">
        <v>29</v>
      </c>
      <c r="O805" s="60" t="s">
        <v>1458</v>
      </c>
      <c r="P805" t="s">
        <v>761</v>
      </c>
      <c r="Q805" t="s">
        <v>1031</v>
      </c>
    </row>
    <row r="806" spans="1:17" x14ac:dyDescent="0.25">
      <c r="A806" t="s">
        <v>19</v>
      </c>
      <c r="B806">
        <v>141.35</v>
      </c>
      <c r="C806">
        <v>103.35</v>
      </c>
      <c r="D806">
        <v>8.1000999999999994</v>
      </c>
      <c r="E806">
        <v>16.349999999999994</v>
      </c>
      <c r="F806">
        <v>103.35</v>
      </c>
      <c r="G806">
        <v>8.1000999999999994</v>
      </c>
      <c r="H806">
        <v>1.2</v>
      </c>
      <c r="I806">
        <v>0.9</v>
      </c>
      <c r="J806">
        <v>56.126477890366417</v>
      </c>
      <c r="K806">
        <v>1500</v>
      </c>
      <c r="L806">
        <v>0</v>
      </c>
      <c r="N806">
        <v>29</v>
      </c>
      <c r="O806" s="60" t="s">
        <v>1459</v>
      </c>
      <c r="P806" t="s">
        <v>805</v>
      </c>
      <c r="Q806" t="s">
        <v>2395</v>
      </c>
    </row>
    <row r="807" spans="1:17" x14ac:dyDescent="0.25">
      <c r="A807" t="s">
        <v>19</v>
      </c>
      <c r="B807">
        <v>16.349999999999994</v>
      </c>
      <c r="C807">
        <v>103.35</v>
      </c>
      <c r="D807">
        <v>8.1000999999999994</v>
      </c>
      <c r="E807">
        <v>16.349999999999994</v>
      </c>
      <c r="F807">
        <v>104.69999999999999</v>
      </c>
      <c r="G807">
        <v>8.1000999999999994</v>
      </c>
      <c r="H807">
        <v>1.2</v>
      </c>
      <c r="I807">
        <v>0.9</v>
      </c>
      <c r="J807">
        <v>0.60616596121595478</v>
      </c>
      <c r="K807">
        <v>1500</v>
      </c>
      <c r="L807">
        <v>0</v>
      </c>
      <c r="N807">
        <v>29</v>
      </c>
      <c r="O807" s="60" t="s">
        <v>1460</v>
      </c>
      <c r="P807" t="s">
        <v>806</v>
      </c>
      <c r="Q807" t="s">
        <v>1032</v>
      </c>
    </row>
    <row r="808" spans="1:17" x14ac:dyDescent="0.25">
      <c r="A808" t="s">
        <v>19</v>
      </c>
      <c r="B808">
        <v>16.349999999999994</v>
      </c>
      <c r="C808">
        <v>104.69999999999999</v>
      </c>
      <c r="D808">
        <v>8.1000999999999994</v>
      </c>
      <c r="E808">
        <v>141.35</v>
      </c>
      <c r="F808">
        <v>104.69999999999999</v>
      </c>
      <c r="G808">
        <v>8.1000999999999994</v>
      </c>
      <c r="H808">
        <v>1.2</v>
      </c>
      <c r="I808">
        <v>0.9</v>
      </c>
      <c r="J808">
        <v>56.126477890366417</v>
      </c>
      <c r="K808">
        <v>1500</v>
      </c>
      <c r="L808">
        <v>0</v>
      </c>
      <c r="N808">
        <v>29</v>
      </c>
      <c r="O808" s="60" t="s">
        <v>1461</v>
      </c>
      <c r="P808" t="s">
        <v>826</v>
      </c>
      <c r="Q808" t="s">
        <v>2394</v>
      </c>
    </row>
    <row r="809" spans="1:17" x14ac:dyDescent="0.25">
      <c r="A809" t="s">
        <v>19</v>
      </c>
      <c r="B809">
        <v>141.35</v>
      </c>
      <c r="C809">
        <v>104.69999999999999</v>
      </c>
      <c r="D809">
        <v>8.1000999999999994</v>
      </c>
      <c r="E809">
        <v>141.35</v>
      </c>
      <c r="F809">
        <v>108.74999999999999</v>
      </c>
      <c r="G809">
        <v>8.1000999999999994</v>
      </c>
      <c r="H809">
        <v>1.2</v>
      </c>
      <c r="I809">
        <v>0.9</v>
      </c>
      <c r="J809">
        <v>1.8184978836478705</v>
      </c>
      <c r="K809">
        <v>1500</v>
      </c>
      <c r="L809">
        <v>0</v>
      </c>
      <c r="N809">
        <v>29</v>
      </c>
      <c r="O809" s="60" t="s">
        <v>1462</v>
      </c>
      <c r="P809" t="s">
        <v>761</v>
      </c>
      <c r="Q809" t="s">
        <v>1033</v>
      </c>
    </row>
    <row r="810" spans="1:17" x14ac:dyDescent="0.25">
      <c r="A810" t="s">
        <v>19</v>
      </c>
      <c r="B810">
        <v>141.35</v>
      </c>
      <c r="C810">
        <v>108.75</v>
      </c>
      <c r="D810">
        <v>8.1000999999999994</v>
      </c>
      <c r="E810">
        <v>16.349999999999994</v>
      </c>
      <c r="F810">
        <v>108.75</v>
      </c>
      <c r="G810">
        <v>8.1000999999999994</v>
      </c>
      <c r="H810">
        <v>1.2</v>
      </c>
      <c r="I810">
        <v>0.9</v>
      </c>
      <c r="J810">
        <v>56.126477890366417</v>
      </c>
      <c r="K810">
        <v>1500</v>
      </c>
      <c r="L810">
        <v>0</v>
      </c>
      <c r="N810">
        <v>29</v>
      </c>
      <c r="O810" s="60" t="s">
        <v>1463</v>
      </c>
      <c r="P810" t="s">
        <v>805</v>
      </c>
      <c r="Q810" t="s">
        <v>2395</v>
      </c>
    </row>
    <row r="811" spans="1:17" x14ac:dyDescent="0.25">
      <c r="A811" t="s">
        <v>19</v>
      </c>
      <c r="B811">
        <v>16.349999999999994</v>
      </c>
      <c r="C811">
        <v>108.75</v>
      </c>
      <c r="D811">
        <v>8.1000999999999994</v>
      </c>
      <c r="E811">
        <v>16.349999999999994</v>
      </c>
      <c r="F811">
        <v>110.1</v>
      </c>
      <c r="G811">
        <v>8.1000999999999994</v>
      </c>
      <c r="H811">
        <v>1.2</v>
      </c>
      <c r="I811">
        <v>0.9</v>
      </c>
      <c r="J811">
        <v>0.60616596121595478</v>
      </c>
      <c r="K811">
        <v>1500</v>
      </c>
      <c r="L811">
        <v>0</v>
      </c>
      <c r="N811">
        <v>29</v>
      </c>
      <c r="O811" s="60" t="s">
        <v>1464</v>
      </c>
      <c r="P811" t="s">
        <v>806</v>
      </c>
      <c r="Q811" t="s">
        <v>1034</v>
      </c>
    </row>
    <row r="812" spans="1:17" x14ac:dyDescent="0.25">
      <c r="A812" t="s">
        <v>19</v>
      </c>
      <c r="B812">
        <v>16.349999999999994</v>
      </c>
      <c r="C812">
        <v>110.1</v>
      </c>
      <c r="D812">
        <v>8.1000999999999994</v>
      </c>
      <c r="E812">
        <v>141.35</v>
      </c>
      <c r="F812">
        <v>110.1</v>
      </c>
      <c r="G812">
        <v>8.1000999999999994</v>
      </c>
      <c r="H812">
        <v>1.2</v>
      </c>
      <c r="I812">
        <v>0.9</v>
      </c>
      <c r="J812">
        <v>56.126477890366417</v>
      </c>
      <c r="K812">
        <v>1500</v>
      </c>
      <c r="L812">
        <v>0</v>
      </c>
      <c r="N812">
        <v>29</v>
      </c>
      <c r="O812" s="60" t="s">
        <v>1465</v>
      </c>
      <c r="P812" t="s">
        <v>826</v>
      </c>
      <c r="Q812" t="s">
        <v>2394</v>
      </c>
    </row>
    <row r="813" spans="1:17" x14ac:dyDescent="0.25">
      <c r="A813" t="s">
        <v>19</v>
      </c>
      <c r="B813">
        <v>141.35</v>
      </c>
      <c r="C813">
        <v>110.1</v>
      </c>
      <c r="D813">
        <v>8.1000999999999994</v>
      </c>
      <c r="E813">
        <v>141.35</v>
      </c>
      <c r="F813">
        <v>114.14999999999999</v>
      </c>
      <c r="G813">
        <v>8.1000999999999994</v>
      </c>
      <c r="H813">
        <v>1.2</v>
      </c>
      <c r="I813">
        <v>0.9</v>
      </c>
      <c r="J813">
        <v>1.8184978836478705</v>
      </c>
      <c r="K813">
        <v>1500</v>
      </c>
      <c r="L813">
        <v>0</v>
      </c>
      <c r="N813">
        <v>29</v>
      </c>
      <c r="O813" s="60" t="s">
        <v>1466</v>
      </c>
      <c r="P813" t="s">
        <v>761</v>
      </c>
      <c r="Q813" t="s">
        <v>1035</v>
      </c>
    </row>
    <row r="814" spans="1:17" x14ac:dyDescent="0.25">
      <c r="A814" t="s">
        <v>19</v>
      </c>
      <c r="B814">
        <v>141.35</v>
      </c>
      <c r="C814">
        <v>114.14999999999999</v>
      </c>
      <c r="D814">
        <v>8.1000999999999994</v>
      </c>
      <c r="E814">
        <v>16.349999999999994</v>
      </c>
      <c r="F814">
        <v>114.14999999999999</v>
      </c>
      <c r="G814">
        <v>8.1000999999999994</v>
      </c>
      <c r="H814">
        <v>1.2</v>
      </c>
      <c r="I814">
        <v>0.9</v>
      </c>
      <c r="J814">
        <v>56.126477890366417</v>
      </c>
      <c r="K814">
        <v>1500</v>
      </c>
      <c r="L814">
        <v>0</v>
      </c>
      <c r="N814">
        <v>29</v>
      </c>
      <c r="O814" s="60" t="s">
        <v>1467</v>
      </c>
      <c r="P814" t="s">
        <v>805</v>
      </c>
      <c r="Q814" t="s">
        <v>2395</v>
      </c>
    </row>
    <row r="815" spans="1:17" x14ac:dyDescent="0.25">
      <c r="A815" t="s">
        <v>19</v>
      </c>
      <c r="B815">
        <v>16.349999999999994</v>
      </c>
      <c r="C815">
        <v>114.14999999999999</v>
      </c>
      <c r="D815">
        <v>8.1000999999999994</v>
      </c>
      <c r="E815">
        <v>16.349999999999994</v>
      </c>
      <c r="F815">
        <v>115.49999999999999</v>
      </c>
      <c r="G815">
        <v>8.1000999999999994</v>
      </c>
      <c r="H815">
        <v>1.2</v>
      </c>
      <c r="I815">
        <v>0.9</v>
      </c>
      <c r="J815">
        <v>0.60616596121595478</v>
      </c>
      <c r="K815">
        <v>1500</v>
      </c>
      <c r="L815">
        <v>0</v>
      </c>
      <c r="N815">
        <v>29</v>
      </c>
      <c r="O815" s="60" t="s">
        <v>1468</v>
      </c>
      <c r="P815" t="s">
        <v>806</v>
      </c>
      <c r="Q815" t="s">
        <v>1036</v>
      </c>
    </row>
    <row r="816" spans="1:17" x14ac:dyDescent="0.25">
      <c r="A816" t="s">
        <v>19</v>
      </c>
      <c r="B816">
        <v>16.349999999999994</v>
      </c>
      <c r="C816">
        <v>115.49999999999999</v>
      </c>
      <c r="D816">
        <v>8.1000999999999994</v>
      </c>
      <c r="E816">
        <v>141.35</v>
      </c>
      <c r="F816">
        <v>115.49999999999999</v>
      </c>
      <c r="G816">
        <v>8.1000999999999994</v>
      </c>
      <c r="H816">
        <v>1.2</v>
      </c>
      <c r="I816">
        <v>0.9</v>
      </c>
      <c r="J816">
        <v>56.126477890366417</v>
      </c>
      <c r="K816">
        <v>1500</v>
      </c>
      <c r="L816">
        <v>0</v>
      </c>
      <c r="N816">
        <v>29</v>
      </c>
      <c r="O816" s="60" t="s">
        <v>1469</v>
      </c>
      <c r="P816" t="s">
        <v>826</v>
      </c>
      <c r="Q816" t="s">
        <v>2394</v>
      </c>
    </row>
    <row r="817" spans="1:17" x14ac:dyDescent="0.25">
      <c r="A817" t="s">
        <v>19</v>
      </c>
      <c r="B817">
        <v>141.35</v>
      </c>
      <c r="C817">
        <v>115.49999999999999</v>
      </c>
      <c r="D817">
        <v>8.1000999999999994</v>
      </c>
      <c r="E817">
        <v>141.35</v>
      </c>
      <c r="F817">
        <v>119.54999999999998</v>
      </c>
      <c r="G817">
        <v>8.1000999999999994</v>
      </c>
      <c r="H817">
        <v>1.2</v>
      </c>
      <c r="I817">
        <v>0.9</v>
      </c>
      <c r="J817">
        <v>1.8184978836478705</v>
      </c>
      <c r="K817">
        <v>1500</v>
      </c>
      <c r="L817">
        <v>0</v>
      </c>
      <c r="N817">
        <v>29</v>
      </c>
      <c r="O817" s="60" t="s">
        <v>1470</v>
      </c>
      <c r="P817" t="s">
        <v>761</v>
      </c>
      <c r="Q817" t="s">
        <v>1037</v>
      </c>
    </row>
    <row r="818" spans="1:17" x14ac:dyDescent="0.25">
      <c r="A818" t="s">
        <v>19</v>
      </c>
      <c r="B818">
        <v>141.35</v>
      </c>
      <c r="C818">
        <v>119.55</v>
      </c>
      <c r="D818">
        <v>8.1000999999999994</v>
      </c>
      <c r="E818">
        <v>16.349999999999994</v>
      </c>
      <c r="F818">
        <v>119.55</v>
      </c>
      <c r="G818">
        <v>8.1000999999999994</v>
      </c>
      <c r="H818">
        <v>1.2</v>
      </c>
      <c r="I818">
        <v>0.9</v>
      </c>
      <c r="J818">
        <v>56.126477890366417</v>
      </c>
      <c r="K818">
        <v>1500</v>
      </c>
      <c r="L818">
        <v>0</v>
      </c>
      <c r="N818">
        <v>29</v>
      </c>
      <c r="O818" s="60" t="s">
        <v>2165</v>
      </c>
      <c r="P818" t="s">
        <v>805</v>
      </c>
      <c r="Q818" t="s">
        <v>2395</v>
      </c>
    </row>
    <row r="819" spans="1:17" x14ac:dyDescent="0.25">
      <c r="A819" t="s">
        <v>19</v>
      </c>
      <c r="B819">
        <v>16.349999999999994</v>
      </c>
      <c r="C819">
        <v>119.55</v>
      </c>
      <c r="D819">
        <v>8.1000999999999994</v>
      </c>
      <c r="E819">
        <v>16.349999999999994</v>
      </c>
      <c r="F819">
        <v>120.89999999999999</v>
      </c>
      <c r="G819">
        <v>8.1000999999999994</v>
      </c>
      <c r="H819">
        <v>1.2</v>
      </c>
      <c r="I819">
        <v>0.9</v>
      </c>
      <c r="J819">
        <v>0.60616596121595478</v>
      </c>
      <c r="K819">
        <v>1500</v>
      </c>
      <c r="L819">
        <v>0</v>
      </c>
      <c r="N819">
        <v>29</v>
      </c>
      <c r="O819" s="60" t="s">
        <v>2166</v>
      </c>
      <c r="P819" t="s">
        <v>806</v>
      </c>
      <c r="Q819" t="s">
        <v>1935</v>
      </c>
    </row>
    <row r="820" spans="1:17" x14ac:dyDescent="0.25">
      <c r="A820" t="s">
        <v>19</v>
      </c>
      <c r="B820">
        <v>16.349999999999994</v>
      </c>
      <c r="C820">
        <v>120.89999999999999</v>
      </c>
      <c r="D820">
        <v>8.1000999999999994</v>
      </c>
      <c r="E820">
        <v>141.35</v>
      </c>
      <c r="F820">
        <v>120.89999999999999</v>
      </c>
      <c r="G820">
        <v>8.1000999999999994</v>
      </c>
      <c r="H820">
        <v>1.2</v>
      </c>
      <c r="I820">
        <v>0.9</v>
      </c>
      <c r="J820">
        <v>56.126477890366417</v>
      </c>
      <c r="K820">
        <v>1500</v>
      </c>
      <c r="L820">
        <v>0</v>
      </c>
      <c r="N820">
        <v>29</v>
      </c>
      <c r="O820" s="60" t="s">
        <v>2167</v>
      </c>
      <c r="P820" t="s">
        <v>826</v>
      </c>
      <c r="Q820" t="s">
        <v>2394</v>
      </c>
    </row>
    <row r="821" spans="1:17" x14ac:dyDescent="0.25">
      <c r="A821" t="s">
        <v>19</v>
      </c>
      <c r="B821">
        <v>141.35</v>
      </c>
      <c r="C821">
        <v>120.89999999999999</v>
      </c>
      <c r="D821">
        <v>8.1000999999999994</v>
      </c>
      <c r="E821">
        <v>141.35</v>
      </c>
      <c r="F821">
        <v>124.94999999999999</v>
      </c>
      <c r="G821">
        <v>8.1000999999999994</v>
      </c>
      <c r="H821">
        <v>1.2</v>
      </c>
      <c r="I821">
        <v>0.9</v>
      </c>
      <c r="J821">
        <v>1.8184978836478705</v>
      </c>
      <c r="K821">
        <v>1500</v>
      </c>
      <c r="L821">
        <v>0</v>
      </c>
      <c r="N821">
        <v>29</v>
      </c>
      <c r="O821" s="60" t="s">
        <v>2168</v>
      </c>
      <c r="P821" t="s">
        <v>761</v>
      </c>
      <c r="Q821" t="s">
        <v>1938</v>
      </c>
    </row>
    <row r="822" spans="1:17" x14ac:dyDescent="0.25">
      <c r="A822" t="s">
        <v>19</v>
      </c>
      <c r="B822">
        <v>141.35</v>
      </c>
      <c r="C822">
        <v>124.95</v>
      </c>
      <c r="D822">
        <v>8.1000999999999994</v>
      </c>
      <c r="E822">
        <v>16.349999999999994</v>
      </c>
      <c r="F822">
        <v>124.95</v>
      </c>
      <c r="G822">
        <v>8.1000999999999994</v>
      </c>
      <c r="H822">
        <v>1.2</v>
      </c>
      <c r="I822">
        <v>0.9</v>
      </c>
      <c r="J822">
        <v>56.126477890366417</v>
      </c>
      <c r="K822">
        <v>1500</v>
      </c>
      <c r="L822">
        <v>0</v>
      </c>
      <c r="N822">
        <v>29</v>
      </c>
      <c r="O822" s="60" t="s">
        <v>2169</v>
      </c>
      <c r="P822" t="s">
        <v>805</v>
      </c>
      <c r="Q822" t="s">
        <v>2395</v>
      </c>
    </row>
    <row r="823" spans="1:17" x14ac:dyDescent="0.25">
      <c r="A823" t="s">
        <v>19</v>
      </c>
      <c r="B823">
        <v>16.349999999999994</v>
      </c>
      <c r="C823">
        <v>124.95</v>
      </c>
      <c r="D823">
        <v>8.1000999999999994</v>
      </c>
      <c r="E823">
        <v>16.349999999999994</v>
      </c>
      <c r="F823">
        <v>126.3</v>
      </c>
      <c r="G823">
        <v>8.1000999999999994</v>
      </c>
      <c r="H823">
        <v>1.2</v>
      </c>
      <c r="I823">
        <v>0.9</v>
      </c>
      <c r="J823">
        <v>0.60616596121595478</v>
      </c>
      <c r="K823">
        <v>1500</v>
      </c>
      <c r="L823">
        <v>0</v>
      </c>
      <c r="N823">
        <v>29</v>
      </c>
      <c r="O823" s="60" t="s">
        <v>2170</v>
      </c>
      <c r="P823" t="s">
        <v>806</v>
      </c>
      <c r="Q823" t="s">
        <v>1941</v>
      </c>
    </row>
    <row r="824" spans="1:17" x14ac:dyDescent="0.25">
      <c r="A824" t="s">
        <v>19</v>
      </c>
      <c r="B824">
        <v>16.349999999999994</v>
      </c>
      <c r="C824">
        <v>126.3</v>
      </c>
      <c r="D824">
        <v>8.1000999999999994</v>
      </c>
      <c r="E824">
        <v>141.35</v>
      </c>
      <c r="F824">
        <v>126.3</v>
      </c>
      <c r="G824">
        <v>8.1000999999999994</v>
      </c>
      <c r="H824">
        <v>1.2</v>
      </c>
      <c r="I824">
        <v>0.9</v>
      </c>
      <c r="J824">
        <v>56.126477890366417</v>
      </c>
      <c r="K824">
        <v>1500</v>
      </c>
      <c r="L824">
        <v>0</v>
      </c>
      <c r="N824">
        <v>29</v>
      </c>
      <c r="O824" s="60" t="s">
        <v>2171</v>
      </c>
      <c r="P824" t="s">
        <v>826</v>
      </c>
      <c r="Q824" t="s">
        <v>2394</v>
      </c>
    </row>
    <row r="825" spans="1:17" x14ac:dyDescent="0.25">
      <c r="A825" t="s">
        <v>19</v>
      </c>
      <c r="B825">
        <v>141.35</v>
      </c>
      <c r="C825">
        <v>126.3</v>
      </c>
      <c r="D825">
        <v>8.1000999999999994</v>
      </c>
      <c r="E825">
        <v>141.35</v>
      </c>
      <c r="F825">
        <v>130.35</v>
      </c>
      <c r="G825">
        <v>8.1000999999999994</v>
      </c>
      <c r="H825">
        <v>1.2</v>
      </c>
      <c r="I825">
        <v>0.9</v>
      </c>
      <c r="J825">
        <v>1.8184978836478705</v>
      </c>
      <c r="K825">
        <v>1500</v>
      </c>
      <c r="L825">
        <v>0</v>
      </c>
      <c r="N825">
        <v>29</v>
      </c>
      <c r="O825" s="60" t="s">
        <v>2172</v>
      </c>
      <c r="P825" t="s">
        <v>761</v>
      </c>
      <c r="Q825" t="s">
        <v>1944</v>
      </c>
    </row>
    <row r="826" spans="1:17" x14ac:dyDescent="0.25">
      <c r="A826" t="s">
        <v>49</v>
      </c>
      <c r="B826" t="s">
        <v>811</v>
      </c>
      <c r="N826">
        <v>29</v>
      </c>
      <c r="O826" s="60" t="s">
        <v>937</v>
      </c>
      <c r="P826" t="s">
        <v>759</v>
      </c>
      <c r="Q826" t="s">
        <v>811</v>
      </c>
    </row>
    <row r="827" spans="1:17" x14ac:dyDescent="0.25">
      <c r="A827" t="s">
        <v>49</v>
      </c>
      <c r="B827" t="s">
        <v>203</v>
      </c>
      <c r="C827">
        <v>0</v>
      </c>
      <c r="N827">
        <v>29</v>
      </c>
      <c r="O827" s="60" t="s">
        <v>938</v>
      </c>
      <c r="P827" t="s">
        <v>764</v>
      </c>
      <c r="Q827" t="s">
        <v>467</v>
      </c>
    </row>
    <row r="828" spans="1:17" x14ac:dyDescent="0.25">
      <c r="A828" t="s">
        <v>49</v>
      </c>
      <c r="B828" t="s">
        <v>634</v>
      </c>
      <c r="N828">
        <v>29</v>
      </c>
      <c r="O828" s="60" t="s">
        <v>939</v>
      </c>
      <c r="P828" t="s">
        <v>813</v>
      </c>
      <c r="Q828" t="s">
        <v>634</v>
      </c>
    </row>
    <row r="829" spans="1:17" x14ac:dyDescent="0.25">
      <c r="A829" t="s">
        <v>23</v>
      </c>
      <c r="B829">
        <v>141.35</v>
      </c>
      <c r="C829">
        <v>130.35</v>
      </c>
      <c r="D829">
        <v>8.1000999999999994</v>
      </c>
      <c r="E829">
        <v>15</v>
      </c>
      <c r="F829">
        <v>75</v>
      </c>
      <c r="G829">
        <v>8.1</v>
      </c>
      <c r="H829">
        <v>0</v>
      </c>
      <c r="I829">
        <v>0</v>
      </c>
      <c r="K829">
        <v>48000</v>
      </c>
      <c r="N829">
        <v>0</v>
      </c>
      <c r="O829" s="60">
        <v>0</v>
      </c>
      <c r="P829" t="s">
        <v>661</v>
      </c>
      <c r="Q829" t="s">
        <v>2173</v>
      </c>
    </row>
    <row r="830" spans="1:17" x14ac:dyDescent="0.25">
      <c r="A830" t="s">
        <v>19</v>
      </c>
      <c r="B830">
        <v>15</v>
      </c>
      <c r="C830">
        <v>75</v>
      </c>
      <c r="D830">
        <v>8.1</v>
      </c>
      <c r="E830">
        <v>15</v>
      </c>
      <c r="F830">
        <v>79.05</v>
      </c>
      <c r="G830">
        <v>8.1</v>
      </c>
      <c r="H830">
        <v>1.2</v>
      </c>
      <c r="I830">
        <v>0.9</v>
      </c>
      <c r="J830">
        <v>1.8184978836478705</v>
      </c>
      <c r="K830">
        <v>1500</v>
      </c>
      <c r="L830">
        <v>0</v>
      </c>
      <c r="N830">
        <v>29</v>
      </c>
      <c r="O830" s="60" t="s">
        <v>2174</v>
      </c>
      <c r="P830" t="s">
        <v>2018</v>
      </c>
      <c r="Q830" t="s">
        <v>879</v>
      </c>
    </row>
    <row r="831" spans="1:17" x14ac:dyDescent="0.25">
      <c r="A831" t="s">
        <v>19</v>
      </c>
      <c r="B831">
        <v>15</v>
      </c>
      <c r="C831">
        <v>79.05</v>
      </c>
      <c r="D831">
        <v>8.1</v>
      </c>
      <c r="E831">
        <v>140</v>
      </c>
      <c r="F831">
        <v>79.05</v>
      </c>
      <c r="G831">
        <v>8.1</v>
      </c>
      <c r="H831">
        <v>1.2</v>
      </c>
      <c r="I831">
        <v>0.9</v>
      </c>
      <c r="J831">
        <v>56.126477890366417</v>
      </c>
      <c r="K831">
        <v>1500</v>
      </c>
      <c r="L831">
        <v>0</v>
      </c>
      <c r="N831">
        <v>29</v>
      </c>
      <c r="O831" s="60" t="s">
        <v>2175</v>
      </c>
      <c r="P831" t="s">
        <v>2020</v>
      </c>
      <c r="Q831" t="s">
        <v>2396</v>
      </c>
    </row>
    <row r="832" spans="1:17" x14ac:dyDescent="0.25">
      <c r="A832" t="s">
        <v>19</v>
      </c>
      <c r="B832">
        <v>140</v>
      </c>
      <c r="C832">
        <v>79.05</v>
      </c>
      <c r="D832">
        <v>8.1</v>
      </c>
      <c r="E832">
        <v>140</v>
      </c>
      <c r="F832">
        <v>80.399999999999991</v>
      </c>
      <c r="G832">
        <v>8.1</v>
      </c>
      <c r="H832">
        <v>1.2</v>
      </c>
      <c r="I832">
        <v>0.9</v>
      </c>
      <c r="J832">
        <v>0.60616596121595478</v>
      </c>
      <c r="K832">
        <v>1500</v>
      </c>
      <c r="L832">
        <v>0</v>
      </c>
      <c r="N832">
        <v>29</v>
      </c>
      <c r="O832" s="60" t="s">
        <v>2176</v>
      </c>
      <c r="P832" t="s">
        <v>2022</v>
      </c>
      <c r="Q832" t="s">
        <v>880</v>
      </c>
    </row>
    <row r="833" spans="1:17" x14ac:dyDescent="0.25">
      <c r="A833" t="s">
        <v>19</v>
      </c>
      <c r="B833">
        <v>140</v>
      </c>
      <c r="C833">
        <v>80.399999999999991</v>
      </c>
      <c r="D833">
        <v>8.1</v>
      </c>
      <c r="E833">
        <v>15</v>
      </c>
      <c r="F833">
        <v>80.399999999999991</v>
      </c>
      <c r="G833">
        <v>8.1</v>
      </c>
      <c r="H833">
        <v>1.2</v>
      </c>
      <c r="I833">
        <v>0.9</v>
      </c>
      <c r="J833">
        <v>56.126477890366417</v>
      </c>
      <c r="K833">
        <v>1500</v>
      </c>
      <c r="L833">
        <v>0</v>
      </c>
      <c r="N833">
        <v>29</v>
      </c>
      <c r="O833" s="60" t="s">
        <v>2177</v>
      </c>
      <c r="P833" t="s">
        <v>2024</v>
      </c>
      <c r="Q833" t="s">
        <v>2397</v>
      </c>
    </row>
    <row r="834" spans="1:17" x14ac:dyDescent="0.25">
      <c r="A834" t="s">
        <v>19</v>
      </c>
      <c r="B834">
        <v>15</v>
      </c>
      <c r="C834">
        <v>80.400000000000006</v>
      </c>
      <c r="D834">
        <v>8.1</v>
      </c>
      <c r="E834">
        <v>15</v>
      </c>
      <c r="F834">
        <v>84.45</v>
      </c>
      <c r="G834">
        <v>8.1</v>
      </c>
      <c r="H834">
        <v>1.2</v>
      </c>
      <c r="I834">
        <v>0.9</v>
      </c>
      <c r="J834">
        <v>1.8184978836478705</v>
      </c>
      <c r="K834">
        <v>1500</v>
      </c>
      <c r="L834">
        <v>0</v>
      </c>
      <c r="N834">
        <v>29</v>
      </c>
      <c r="O834" s="60" t="s">
        <v>1471</v>
      </c>
      <c r="P834" t="s">
        <v>827</v>
      </c>
      <c r="Q834" t="s">
        <v>1065</v>
      </c>
    </row>
    <row r="835" spans="1:17" x14ac:dyDescent="0.25">
      <c r="A835" t="s">
        <v>19</v>
      </c>
      <c r="B835">
        <v>15</v>
      </c>
      <c r="C835">
        <v>84.45</v>
      </c>
      <c r="D835">
        <v>8.1</v>
      </c>
      <c r="E835">
        <v>140</v>
      </c>
      <c r="F835">
        <v>84.45</v>
      </c>
      <c r="G835">
        <v>8.1</v>
      </c>
      <c r="H835">
        <v>1.2</v>
      </c>
      <c r="I835">
        <v>0.9</v>
      </c>
      <c r="J835">
        <v>56.126477890366417</v>
      </c>
      <c r="K835">
        <v>1500</v>
      </c>
      <c r="L835">
        <v>0</v>
      </c>
      <c r="N835">
        <v>29</v>
      </c>
      <c r="O835" s="60" t="s">
        <v>1472</v>
      </c>
      <c r="P835" t="s">
        <v>828</v>
      </c>
      <c r="Q835" t="s">
        <v>2396</v>
      </c>
    </row>
    <row r="836" spans="1:17" x14ac:dyDescent="0.25">
      <c r="A836" t="s">
        <v>19</v>
      </c>
      <c r="B836">
        <v>140</v>
      </c>
      <c r="C836">
        <v>84.45</v>
      </c>
      <c r="D836">
        <v>8.1</v>
      </c>
      <c r="E836">
        <v>140</v>
      </c>
      <c r="F836">
        <v>85.8</v>
      </c>
      <c r="G836">
        <v>8.1</v>
      </c>
      <c r="H836">
        <v>1.2</v>
      </c>
      <c r="I836">
        <v>0.9</v>
      </c>
      <c r="J836">
        <v>0.60616596121595478</v>
      </c>
      <c r="K836">
        <v>1500</v>
      </c>
      <c r="L836">
        <v>0</v>
      </c>
      <c r="N836">
        <v>29</v>
      </c>
      <c r="O836" s="60" t="s">
        <v>1473</v>
      </c>
      <c r="P836" t="s">
        <v>829</v>
      </c>
      <c r="Q836" t="s">
        <v>1066</v>
      </c>
    </row>
    <row r="837" spans="1:17" x14ac:dyDescent="0.25">
      <c r="A837" t="s">
        <v>19</v>
      </c>
      <c r="B837">
        <v>140</v>
      </c>
      <c r="C837">
        <v>85.8</v>
      </c>
      <c r="D837">
        <v>8.1</v>
      </c>
      <c r="E837">
        <v>15</v>
      </c>
      <c r="F837">
        <v>85.8</v>
      </c>
      <c r="G837">
        <v>8.1</v>
      </c>
      <c r="H837">
        <v>1.2</v>
      </c>
      <c r="I837">
        <v>0.9</v>
      </c>
      <c r="J837">
        <v>56.126477890366417</v>
      </c>
      <c r="K837">
        <v>1500</v>
      </c>
      <c r="L837">
        <v>0</v>
      </c>
      <c r="N837">
        <v>29</v>
      </c>
      <c r="O837" s="60" t="s">
        <v>1474</v>
      </c>
      <c r="P837" t="s">
        <v>814</v>
      </c>
      <c r="Q837" t="s">
        <v>2397</v>
      </c>
    </row>
    <row r="838" spans="1:17" x14ac:dyDescent="0.25">
      <c r="A838" t="s">
        <v>19</v>
      </c>
      <c r="B838">
        <v>15</v>
      </c>
      <c r="C838">
        <v>85.8</v>
      </c>
      <c r="D838">
        <v>8.1</v>
      </c>
      <c r="E838">
        <v>15</v>
      </c>
      <c r="F838">
        <v>89.85</v>
      </c>
      <c r="G838">
        <v>8.1</v>
      </c>
      <c r="H838">
        <v>1.2</v>
      </c>
      <c r="I838">
        <v>0.9</v>
      </c>
      <c r="J838">
        <v>1.8184978836478705</v>
      </c>
      <c r="K838">
        <v>1500</v>
      </c>
      <c r="L838">
        <v>0</v>
      </c>
      <c r="N838">
        <v>29</v>
      </c>
      <c r="O838" s="60" t="s">
        <v>1475</v>
      </c>
      <c r="P838" t="s">
        <v>827</v>
      </c>
      <c r="Q838" t="s">
        <v>1067</v>
      </c>
    </row>
    <row r="839" spans="1:17" x14ac:dyDescent="0.25">
      <c r="A839" t="s">
        <v>19</v>
      </c>
      <c r="B839">
        <v>15</v>
      </c>
      <c r="C839">
        <v>89.85</v>
      </c>
      <c r="D839">
        <v>8.1</v>
      </c>
      <c r="E839">
        <v>140</v>
      </c>
      <c r="F839">
        <v>89.85</v>
      </c>
      <c r="G839">
        <v>8.1</v>
      </c>
      <c r="H839">
        <v>1.2</v>
      </c>
      <c r="I839">
        <v>0.9</v>
      </c>
      <c r="J839">
        <v>56.126477890366417</v>
      </c>
      <c r="K839">
        <v>1500</v>
      </c>
      <c r="L839">
        <v>0</v>
      </c>
      <c r="N839">
        <v>29</v>
      </c>
      <c r="O839" s="60" t="s">
        <v>1476</v>
      </c>
      <c r="P839" t="s">
        <v>828</v>
      </c>
      <c r="Q839" t="s">
        <v>2396</v>
      </c>
    </row>
    <row r="840" spans="1:17" x14ac:dyDescent="0.25">
      <c r="A840" t="s">
        <v>19</v>
      </c>
      <c r="B840">
        <v>140</v>
      </c>
      <c r="C840">
        <v>89.85</v>
      </c>
      <c r="D840">
        <v>8.1</v>
      </c>
      <c r="E840">
        <v>140</v>
      </c>
      <c r="F840">
        <v>91.199999999999989</v>
      </c>
      <c r="G840">
        <v>8.1</v>
      </c>
      <c r="H840">
        <v>1.2</v>
      </c>
      <c r="I840">
        <v>0.9</v>
      </c>
      <c r="J840">
        <v>0.60616596121595478</v>
      </c>
      <c r="K840">
        <v>1500</v>
      </c>
      <c r="L840">
        <v>0</v>
      </c>
      <c r="N840">
        <v>29</v>
      </c>
      <c r="O840" s="60" t="s">
        <v>1477</v>
      </c>
      <c r="P840" t="s">
        <v>829</v>
      </c>
      <c r="Q840" t="s">
        <v>1068</v>
      </c>
    </row>
    <row r="841" spans="1:17" x14ac:dyDescent="0.25">
      <c r="A841" t="s">
        <v>19</v>
      </c>
      <c r="B841">
        <v>140</v>
      </c>
      <c r="C841">
        <v>91.199999999999989</v>
      </c>
      <c r="D841">
        <v>8.1</v>
      </c>
      <c r="E841">
        <v>15</v>
      </c>
      <c r="F841">
        <v>91.199999999999989</v>
      </c>
      <c r="G841">
        <v>8.1</v>
      </c>
      <c r="H841">
        <v>1.2</v>
      </c>
      <c r="I841">
        <v>0.9</v>
      </c>
      <c r="J841">
        <v>56.126477890366417</v>
      </c>
      <c r="K841">
        <v>1500</v>
      </c>
      <c r="L841">
        <v>0</v>
      </c>
      <c r="N841">
        <v>29</v>
      </c>
      <c r="O841" s="60" t="s">
        <v>1478</v>
      </c>
      <c r="P841" t="s">
        <v>814</v>
      </c>
      <c r="Q841" t="s">
        <v>2397</v>
      </c>
    </row>
    <row r="842" spans="1:17" x14ac:dyDescent="0.25">
      <c r="A842" t="s">
        <v>19</v>
      </c>
      <c r="B842">
        <v>15</v>
      </c>
      <c r="C842">
        <v>91.2</v>
      </c>
      <c r="D842">
        <v>8.1</v>
      </c>
      <c r="E842">
        <v>15</v>
      </c>
      <c r="F842">
        <v>95.25</v>
      </c>
      <c r="G842">
        <v>8.1</v>
      </c>
      <c r="H842">
        <v>1.2</v>
      </c>
      <c r="I842">
        <v>0.9</v>
      </c>
      <c r="J842">
        <v>1.8184978836478705</v>
      </c>
      <c r="K842">
        <v>1500</v>
      </c>
      <c r="L842">
        <v>0</v>
      </c>
      <c r="N842">
        <v>29</v>
      </c>
      <c r="O842" s="60" t="s">
        <v>1479</v>
      </c>
      <c r="P842" t="s">
        <v>827</v>
      </c>
      <c r="Q842" t="s">
        <v>1069</v>
      </c>
    </row>
    <row r="843" spans="1:17" x14ac:dyDescent="0.25">
      <c r="A843" t="s">
        <v>19</v>
      </c>
      <c r="B843">
        <v>15</v>
      </c>
      <c r="C843">
        <v>95.25</v>
      </c>
      <c r="D843">
        <v>8.1</v>
      </c>
      <c r="E843">
        <v>140</v>
      </c>
      <c r="F843">
        <v>95.25</v>
      </c>
      <c r="G843">
        <v>8.1</v>
      </c>
      <c r="H843">
        <v>1.2</v>
      </c>
      <c r="I843">
        <v>0.9</v>
      </c>
      <c r="J843">
        <v>56.126477890366417</v>
      </c>
      <c r="K843">
        <v>1500</v>
      </c>
      <c r="L843">
        <v>0</v>
      </c>
      <c r="N843">
        <v>29</v>
      </c>
      <c r="O843" s="60" t="s">
        <v>1480</v>
      </c>
      <c r="P843" t="s">
        <v>828</v>
      </c>
      <c r="Q843" t="s">
        <v>2396</v>
      </c>
    </row>
    <row r="844" spans="1:17" x14ac:dyDescent="0.25">
      <c r="A844" t="s">
        <v>19</v>
      </c>
      <c r="B844">
        <v>140</v>
      </c>
      <c r="C844">
        <v>95.25</v>
      </c>
      <c r="D844">
        <v>8.1</v>
      </c>
      <c r="E844">
        <v>140</v>
      </c>
      <c r="F844">
        <v>96.6</v>
      </c>
      <c r="G844">
        <v>8.1</v>
      </c>
      <c r="H844">
        <v>1.2</v>
      </c>
      <c r="I844">
        <v>0.9</v>
      </c>
      <c r="J844">
        <v>0.60616596121595478</v>
      </c>
      <c r="K844">
        <v>1500</v>
      </c>
      <c r="L844">
        <v>0</v>
      </c>
      <c r="N844">
        <v>29</v>
      </c>
      <c r="O844" s="60" t="s">
        <v>1481</v>
      </c>
      <c r="P844" t="s">
        <v>829</v>
      </c>
      <c r="Q844" t="s">
        <v>1070</v>
      </c>
    </row>
    <row r="845" spans="1:17" x14ac:dyDescent="0.25">
      <c r="A845" t="s">
        <v>19</v>
      </c>
      <c r="B845">
        <v>140</v>
      </c>
      <c r="C845">
        <v>96.6</v>
      </c>
      <c r="D845">
        <v>8.1</v>
      </c>
      <c r="E845">
        <v>15</v>
      </c>
      <c r="F845">
        <v>96.6</v>
      </c>
      <c r="G845">
        <v>8.1</v>
      </c>
      <c r="H845">
        <v>1.2</v>
      </c>
      <c r="I845">
        <v>0.9</v>
      </c>
      <c r="J845">
        <v>56.126477890366417</v>
      </c>
      <c r="K845">
        <v>1500</v>
      </c>
      <c r="L845">
        <v>0</v>
      </c>
      <c r="N845">
        <v>29</v>
      </c>
      <c r="O845" s="60" t="s">
        <v>1482</v>
      </c>
      <c r="P845" t="s">
        <v>814</v>
      </c>
      <c r="Q845" t="s">
        <v>2397</v>
      </c>
    </row>
    <row r="846" spans="1:17" x14ac:dyDescent="0.25">
      <c r="A846" t="s">
        <v>19</v>
      </c>
      <c r="B846">
        <v>15</v>
      </c>
      <c r="C846">
        <v>96.6</v>
      </c>
      <c r="D846">
        <v>8.1</v>
      </c>
      <c r="E846">
        <v>15</v>
      </c>
      <c r="F846">
        <v>100.65</v>
      </c>
      <c r="G846">
        <v>8.1</v>
      </c>
      <c r="H846">
        <v>1.2</v>
      </c>
      <c r="I846">
        <v>0.9</v>
      </c>
      <c r="J846">
        <v>1.8184978836478705</v>
      </c>
      <c r="K846">
        <v>1500</v>
      </c>
      <c r="L846">
        <v>0</v>
      </c>
      <c r="N846">
        <v>29</v>
      </c>
      <c r="O846" s="60" t="s">
        <v>1483</v>
      </c>
      <c r="P846" t="s">
        <v>827</v>
      </c>
      <c r="Q846" t="s">
        <v>1071</v>
      </c>
    </row>
    <row r="847" spans="1:17" x14ac:dyDescent="0.25">
      <c r="A847" t="s">
        <v>19</v>
      </c>
      <c r="B847">
        <v>15</v>
      </c>
      <c r="C847">
        <v>100.65</v>
      </c>
      <c r="D847">
        <v>8.1</v>
      </c>
      <c r="E847">
        <v>140</v>
      </c>
      <c r="F847">
        <v>100.65</v>
      </c>
      <c r="G847">
        <v>8.1</v>
      </c>
      <c r="H847">
        <v>1.2</v>
      </c>
      <c r="I847">
        <v>0.9</v>
      </c>
      <c r="J847">
        <v>56.126477890366417</v>
      </c>
      <c r="K847">
        <v>1500</v>
      </c>
      <c r="L847">
        <v>0</v>
      </c>
      <c r="N847">
        <v>29</v>
      </c>
      <c r="O847" s="60" t="s">
        <v>1484</v>
      </c>
      <c r="P847" t="s">
        <v>828</v>
      </c>
      <c r="Q847" t="s">
        <v>2396</v>
      </c>
    </row>
    <row r="848" spans="1:17" x14ac:dyDescent="0.25">
      <c r="A848" t="s">
        <v>19</v>
      </c>
      <c r="B848">
        <v>140</v>
      </c>
      <c r="C848">
        <v>100.65</v>
      </c>
      <c r="D848">
        <v>8.1</v>
      </c>
      <c r="E848">
        <v>140</v>
      </c>
      <c r="F848">
        <v>102</v>
      </c>
      <c r="G848">
        <v>8.1</v>
      </c>
      <c r="H848">
        <v>1.2</v>
      </c>
      <c r="I848">
        <v>0.9</v>
      </c>
      <c r="J848">
        <v>0.60616596121595478</v>
      </c>
      <c r="K848">
        <v>1500</v>
      </c>
      <c r="L848">
        <v>0</v>
      </c>
      <c r="N848">
        <v>29</v>
      </c>
      <c r="O848" s="60" t="s">
        <v>1485</v>
      </c>
      <c r="P848" t="s">
        <v>829</v>
      </c>
      <c r="Q848" t="s">
        <v>1072</v>
      </c>
    </row>
    <row r="849" spans="1:17" x14ac:dyDescent="0.25">
      <c r="A849" t="s">
        <v>19</v>
      </c>
      <c r="B849">
        <v>140</v>
      </c>
      <c r="C849">
        <v>102</v>
      </c>
      <c r="D849">
        <v>8.1</v>
      </c>
      <c r="E849">
        <v>15</v>
      </c>
      <c r="F849">
        <v>102</v>
      </c>
      <c r="G849">
        <v>8.1</v>
      </c>
      <c r="H849">
        <v>1.2</v>
      </c>
      <c r="I849">
        <v>0.9</v>
      </c>
      <c r="J849">
        <v>56.126477890366417</v>
      </c>
      <c r="K849">
        <v>1500</v>
      </c>
      <c r="L849">
        <v>0</v>
      </c>
      <c r="N849">
        <v>29</v>
      </c>
      <c r="O849" s="60" t="s">
        <v>1486</v>
      </c>
      <c r="P849" t="s">
        <v>814</v>
      </c>
      <c r="Q849" t="s">
        <v>2397</v>
      </c>
    </row>
    <row r="850" spans="1:17" x14ac:dyDescent="0.25">
      <c r="A850" t="s">
        <v>19</v>
      </c>
      <c r="B850">
        <v>15</v>
      </c>
      <c r="C850">
        <v>102</v>
      </c>
      <c r="D850">
        <v>8.1</v>
      </c>
      <c r="E850">
        <v>15</v>
      </c>
      <c r="F850">
        <v>106.05</v>
      </c>
      <c r="G850">
        <v>8.1</v>
      </c>
      <c r="H850">
        <v>1.2</v>
      </c>
      <c r="I850">
        <v>0.9</v>
      </c>
      <c r="J850">
        <v>1.8184978836478705</v>
      </c>
      <c r="K850">
        <v>1500</v>
      </c>
      <c r="L850">
        <v>0</v>
      </c>
      <c r="N850">
        <v>29</v>
      </c>
      <c r="O850" s="60" t="s">
        <v>1487</v>
      </c>
      <c r="P850" t="s">
        <v>827</v>
      </c>
      <c r="Q850" t="s">
        <v>1073</v>
      </c>
    </row>
    <row r="851" spans="1:17" x14ac:dyDescent="0.25">
      <c r="A851" t="s">
        <v>19</v>
      </c>
      <c r="B851">
        <v>15</v>
      </c>
      <c r="C851">
        <v>106.05</v>
      </c>
      <c r="D851">
        <v>8.1</v>
      </c>
      <c r="E851">
        <v>140</v>
      </c>
      <c r="F851">
        <v>106.05</v>
      </c>
      <c r="G851">
        <v>8.1</v>
      </c>
      <c r="H851">
        <v>1.2</v>
      </c>
      <c r="I851">
        <v>0.9</v>
      </c>
      <c r="J851">
        <v>56.126477890366417</v>
      </c>
      <c r="K851">
        <v>1500</v>
      </c>
      <c r="L851">
        <v>0</v>
      </c>
      <c r="N851">
        <v>29</v>
      </c>
      <c r="O851" s="60" t="s">
        <v>1488</v>
      </c>
      <c r="P851" t="s">
        <v>828</v>
      </c>
      <c r="Q851" t="s">
        <v>2396</v>
      </c>
    </row>
    <row r="852" spans="1:17" x14ac:dyDescent="0.25">
      <c r="A852" t="s">
        <v>19</v>
      </c>
      <c r="B852">
        <v>140</v>
      </c>
      <c r="C852">
        <v>106.05</v>
      </c>
      <c r="D852">
        <v>8.1</v>
      </c>
      <c r="E852">
        <v>140</v>
      </c>
      <c r="F852">
        <v>107.39999999999999</v>
      </c>
      <c r="G852">
        <v>8.1</v>
      </c>
      <c r="H852">
        <v>1.2</v>
      </c>
      <c r="I852">
        <v>0.9</v>
      </c>
      <c r="J852">
        <v>0.60616596121595478</v>
      </c>
      <c r="K852">
        <v>1500</v>
      </c>
      <c r="L852">
        <v>0</v>
      </c>
      <c r="N852">
        <v>29</v>
      </c>
      <c r="O852" s="60" t="s">
        <v>1489</v>
      </c>
      <c r="P852" t="s">
        <v>829</v>
      </c>
      <c r="Q852" t="s">
        <v>1074</v>
      </c>
    </row>
    <row r="853" spans="1:17" x14ac:dyDescent="0.25">
      <c r="A853" t="s">
        <v>19</v>
      </c>
      <c r="B853">
        <v>140</v>
      </c>
      <c r="C853">
        <v>107.39999999999999</v>
      </c>
      <c r="D853">
        <v>8.1</v>
      </c>
      <c r="E853">
        <v>15</v>
      </c>
      <c r="F853">
        <v>107.39999999999999</v>
      </c>
      <c r="G853">
        <v>8.1</v>
      </c>
      <c r="H853">
        <v>1.2</v>
      </c>
      <c r="I853">
        <v>0.9</v>
      </c>
      <c r="J853">
        <v>56.126477890366417</v>
      </c>
      <c r="K853">
        <v>1500</v>
      </c>
      <c r="L853">
        <v>0</v>
      </c>
      <c r="N853">
        <v>29</v>
      </c>
      <c r="O853" s="60" t="s">
        <v>1490</v>
      </c>
      <c r="P853" t="s">
        <v>814</v>
      </c>
      <c r="Q853" t="s">
        <v>2397</v>
      </c>
    </row>
    <row r="854" spans="1:17" x14ac:dyDescent="0.25">
      <c r="A854" t="s">
        <v>19</v>
      </c>
      <c r="B854">
        <v>15</v>
      </c>
      <c r="C854">
        <v>107.4</v>
      </c>
      <c r="D854">
        <v>8.1</v>
      </c>
      <c r="E854">
        <v>15</v>
      </c>
      <c r="F854">
        <v>111.45</v>
      </c>
      <c r="G854">
        <v>8.1</v>
      </c>
      <c r="H854">
        <v>1.2</v>
      </c>
      <c r="I854">
        <v>0.9</v>
      </c>
      <c r="J854">
        <v>1.8184978836478705</v>
      </c>
      <c r="K854">
        <v>1500</v>
      </c>
      <c r="L854">
        <v>0</v>
      </c>
      <c r="N854">
        <v>29</v>
      </c>
      <c r="O854" s="60" t="s">
        <v>1491</v>
      </c>
      <c r="P854" t="s">
        <v>827</v>
      </c>
      <c r="Q854" t="s">
        <v>1075</v>
      </c>
    </row>
    <row r="855" spans="1:17" x14ac:dyDescent="0.25">
      <c r="A855" t="s">
        <v>19</v>
      </c>
      <c r="B855">
        <v>15</v>
      </c>
      <c r="C855">
        <v>111.45</v>
      </c>
      <c r="D855">
        <v>8.1</v>
      </c>
      <c r="E855">
        <v>140</v>
      </c>
      <c r="F855">
        <v>111.45</v>
      </c>
      <c r="G855">
        <v>8.1</v>
      </c>
      <c r="H855">
        <v>1.2</v>
      </c>
      <c r="I855">
        <v>0.9</v>
      </c>
      <c r="J855">
        <v>56.126477890366417</v>
      </c>
      <c r="K855">
        <v>1500</v>
      </c>
      <c r="L855">
        <v>0</v>
      </c>
      <c r="N855">
        <v>29</v>
      </c>
      <c r="O855" s="60" t="s">
        <v>1492</v>
      </c>
      <c r="P855" t="s">
        <v>828</v>
      </c>
      <c r="Q855" t="s">
        <v>2396</v>
      </c>
    </row>
    <row r="856" spans="1:17" x14ac:dyDescent="0.25">
      <c r="A856" t="s">
        <v>19</v>
      </c>
      <c r="B856">
        <v>140</v>
      </c>
      <c r="C856">
        <v>111.45</v>
      </c>
      <c r="D856">
        <v>8.1</v>
      </c>
      <c r="E856">
        <v>140</v>
      </c>
      <c r="F856">
        <v>112.8</v>
      </c>
      <c r="G856">
        <v>8.1</v>
      </c>
      <c r="H856">
        <v>1.2</v>
      </c>
      <c r="I856">
        <v>0.9</v>
      </c>
      <c r="J856">
        <v>0.60616596121595478</v>
      </c>
      <c r="K856">
        <v>1500</v>
      </c>
      <c r="L856">
        <v>0</v>
      </c>
      <c r="N856">
        <v>29</v>
      </c>
      <c r="O856" s="60" t="s">
        <v>1493</v>
      </c>
      <c r="P856" t="s">
        <v>829</v>
      </c>
      <c r="Q856" t="s">
        <v>1076</v>
      </c>
    </row>
    <row r="857" spans="1:17" x14ac:dyDescent="0.25">
      <c r="A857" t="s">
        <v>19</v>
      </c>
      <c r="B857">
        <v>140</v>
      </c>
      <c r="C857">
        <v>112.8</v>
      </c>
      <c r="D857">
        <v>8.1</v>
      </c>
      <c r="E857">
        <v>15</v>
      </c>
      <c r="F857">
        <v>112.8</v>
      </c>
      <c r="G857">
        <v>8.1</v>
      </c>
      <c r="H857">
        <v>1.2</v>
      </c>
      <c r="I857">
        <v>0.9</v>
      </c>
      <c r="J857">
        <v>56.126477890366417</v>
      </c>
      <c r="K857">
        <v>1500</v>
      </c>
      <c r="L857">
        <v>0</v>
      </c>
      <c r="N857">
        <v>29</v>
      </c>
      <c r="O857" s="60" t="s">
        <v>1494</v>
      </c>
      <c r="P857" t="s">
        <v>814</v>
      </c>
      <c r="Q857" t="s">
        <v>2397</v>
      </c>
    </row>
    <row r="858" spans="1:17" x14ac:dyDescent="0.25">
      <c r="A858" t="s">
        <v>19</v>
      </c>
      <c r="B858">
        <v>15</v>
      </c>
      <c r="C858">
        <v>112.8</v>
      </c>
      <c r="D858">
        <v>8.1</v>
      </c>
      <c r="E858">
        <v>15</v>
      </c>
      <c r="F858">
        <v>116.85</v>
      </c>
      <c r="G858">
        <v>8.1</v>
      </c>
      <c r="H858">
        <v>1.2</v>
      </c>
      <c r="I858">
        <v>0.9</v>
      </c>
      <c r="J858">
        <v>1.8184978836478705</v>
      </c>
      <c r="K858">
        <v>1500</v>
      </c>
      <c r="L858">
        <v>0</v>
      </c>
      <c r="N858">
        <v>29</v>
      </c>
      <c r="O858" s="60" t="s">
        <v>1495</v>
      </c>
      <c r="P858" t="s">
        <v>827</v>
      </c>
      <c r="Q858" t="s">
        <v>1077</v>
      </c>
    </row>
    <row r="859" spans="1:17" x14ac:dyDescent="0.25">
      <c r="A859" t="s">
        <v>19</v>
      </c>
      <c r="B859">
        <v>15</v>
      </c>
      <c r="C859">
        <v>116.85</v>
      </c>
      <c r="D859">
        <v>8.1</v>
      </c>
      <c r="E859">
        <v>140</v>
      </c>
      <c r="F859">
        <v>116.85</v>
      </c>
      <c r="G859">
        <v>8.1</v>
      </c>
      <c r="H859">
        <v>1.2</v>
      </c>
      <c r="I859">
        <v>0.9</v>
      </c>
      <c r="J859">
        <v>56.126477890366417</v>
      </c>
      <c r="K859">
        <v>1500</v>
      </c>
      <c r="L859">
        <v>0</v>
      </c>
      <c r="N859">
        <v>29</v>
      </c>
      <c r="O859" s="60" t="s">
        <v>1496</v>
      </c>
      <c r="P859" t="s">
        <v>828</v>
      </c>
      <c r="Q859" t="s">
        <v>2396</v>
      </c>
    </row>
    <row r="860" spans="1:17" x14ac:dyDescent="0.25">
      <c r="A860" t="s">
        <v>19</v>
      </c>
      <c r="B860">
        <v>140</v>
      </c>
      <c r="C860">
        <v>116.85</v>
      </c>
      <c r="D860">
        <v>8.1</v>
      </c>
      <c r="E860">
        <v>140</v>
      </c>
      <c r="F860">
        <v>118.19999999999999</v>
      </c>
      <c r="G860">
        <v>8.1</v>
      </c>
      <c r="H860">
        <v>1.2</v>
      </c>
      <c r="I860">
        <v>0.9</v>
      </c>
      <c r="J860">
        <v>0.60616596121595478</v>
      </c>
      <c r="K860">
        <v>1500</v>
      </c>
      <c r="L860">
        <v>0</v>
      </c>
      <c r="N860">
        <v>29</v>
      </c>
      <c r="O860" s="60" t="s">
        <v>1497</v>
      </c>
      <c r="P860" t="s">
        <v>829</v>
      </c>
      <c r="Q860" t="s">
        <v>1078</v>
      </c>
    </row>
    <row r="861" spans="1:17" x14ac:dyDescent="0.25">
      <c r="A861" t="s">
        <v>19</v>
      </c>
      <c r="B861">
        <v>140</v>
      </c>
      <c r="C861">
        <v>118.19999999999999</v>
      </c>
      <c r="D861">
        <v>8.1</v>
      </c>
      <c r="E861">
        <v>15</v>
      </c>
      <c r="F861">
        <v>118.19999999999999</v>
      </c>
      <c r="G861">
        <v>8.1</v>
      </c>
      <c r="H861">
        <v>1.2</v>
      </c>
      <c r="I861">
        <v>0.9</v>
      </c>
      <c r="J861">
        <v>56.126477890366417</v>
      </c>
      <c r="K861">
        <v>1500</v>
      </c>
      <c r="L861">
        <v>0</v>
      </c>
      <c r="N861">
        <v>29</v>
      </c>
      <c r="O861" s="60" t="s">
        <v>1498</v>
      </c>
      <c r="P861" t="s">
        <v>814</v>
      </c>
      <c r="Q861" t="s">
        <v>2397</v>
      </c>
    </row>
    <row r="862" spans="1:17" x14ac:dyDescent="0.25">
      <c r="A862" t="s">
        <v>19</v>
      </c>
      <c r="B862">
        <v>15</v>
      </c>
      <c r="C862">
        <v>118.2</v>
      </c>
      <c r="D862">
        <v>8.1</v>
      </c>
      <c r="E862">
        <v>15</v>
      </c>
      <c r="F862">
        <v>122.25</v>
      </c>
      <c r="G862">
        <v>8.1</v>
      </c>
      <c r="H862">
        <v>1.2</v>
      </c>
      <c r="I862">
        <v>0.9</v>
      </c>
      <c r="J862">
        <v>1.8184978836478705</v>
      </c>
      <c r="K862">
        <v>1500</v>
      </c>
      <c r="L862">
        <v>0</v>
      </c>
      <c r="N862">
        <v>29</v>
      </c>
      <c r="O862" s="60" t="s">
        <v>2178</v>
      </c>
      <c r="P862" t="s">
        <v>827</v>
      </c>
      <c r="Q862" t="s">
        <v>1955</v>
      </c>
    </row>
    <row r="863" spans="1:17" x14ac:dyDescent="0.25">
      <c r="A863" t="s">
        <v>19</v>
      </c>
      <c r="B863">
        <v>15</v>
      </c>
      <c r="C863">
        <v>122.25</v>
      </c>
      <c r="D863">
        <v>8.1</v>
      </c>
      <c r="E863">
        <v>140</v>
      </c>
      <c r="F863">
        <v>122.25</v>
      </c>
      <c r="G863">
        <v>8.1</v>
      </c>
      <c r="H863">
        <v>1.2</v>
      </c>
      <c r="I863">
        <v>0.9</v>
      </c>
      <c r="J863">
        <v>56.126477890366417</v>
      </c>
      <c r="K863">
        <v>1500</v>
      </c>
      <c r="L863">
        <v>0</v>
      </c>
      <c r="N863">
        <v>29</v>
      </c>
      <c r="O863" s="60" t="s">
        <v>2179</v>
      </c>
      <c r="P863" t="s">
        <v>828</v>
      </c>
      <c r="Q863" t="s">
        <v>2396</v>
      </c>
    </row>
    <row r="864" spans="1:17" x14ac:dyDescent="0.25">
      <c r="A864" t="s">
        <v>19</v>
      </c>
      <c r="B864">
        <v>140</v>
      </c>
      <c r="C864">
        <v>122.25</v>
      </c>
      <c r="D864">
        <v>8.1</v>
      </c>
      <c r="E864">
        <v>140</v>
      </c>
      <c r="F864">
        <v>123.6</v>
      </c>
      <c r="G864">
        <v>8.1</v>
      </c>
      <c r="H864">
        <v>1.2</v>
      </c>
      <c r="I864">
        <v>0.9</v>
      </c>
      <c r="J864">
        <v>0.60616596121595478</v>
      </c>
      <c r="K864">
        <v>1500</v>
      </c>
      <c r="L864">
        <v>0</v>
      </c>
      <c r="N864">
        <v>29</v>
      </c>
      <c r="O864" s="60" t="s">
        <v>2180</v>
      </c>
      <c r="P864" t="s">
        <v>829</v>
      </c>
      <c r="Q864" t="s">
        <v>1958</v>
      </c>
    </row>
    <row r="865" spans="1:17" x14ac:dyDescent="0.25">
      <c r="A865" t="s">
        <v>19</v>
      </c>
      <c r="B865">
        <v>140</v>
      </c>
      <c r="C865">
        <v>123.6</v>
      </c>
      <c r="D865">
        <v>8.1</v>
      </c>
      <c r="E865">
        <v>15</v>
      </c>
      <c r="F865">
        <v>123.6</v>
      </c>
      <c r="G865">
        <v>8.1</v>
      </c>
      <c r="H865">
        <v>1.2</v>
      </c>
      <c r="I865">
        <v>0.9</v>
      </c>
      <c r="J865">
        <v>56.126477890366417</v>
      </c>
      <c r="K865">
        <v>1500</v>
      </c>
      <c r="L865">
        <v>0</v>
      </c>
      <c r="N865">
        <v>29</v>
      </c>
      <c r="O865" s="60" t="s">
        <v>2181</v>
      </c>
      <c r="P865" t="s">
        <v>814</v>
      </c>
      <c r="Q865" t="s">
        <v>2397</v>
      </c>
    </row>
    <row r="866" spans="1:17" x14ac:dyDescent="0.25">
      <c r="A866" t="s">
        <v>19</v>
      </c>
      <c r="B866">
        <v>15</v>
      </c>
      <c r="C866">
        <v>123.60000000000001</v>
      </c>
      <c r="D866">
        <v>8.1</v>
      </c>
      <c r="E866">
        <v>15</v>
      </c>
      <c r="F866">
        <v>127.65</v>
      </c>
      <c r="G866">
        <v>8.1</v>
      </c>
      <c r="H866">
        <v>1.2</v>
      </c>
      <c r="I866">
        <v>0.9</v>
      </c>
      <c r="J866">
        <v>1.8184978836478705</v>
      </c>
      <c r="K866">
        <v>1500</v>
      </c>
      <c r="L866">
        <v>0</v>
      </c>
      <c r="N866">
        <v>29</v>
      </c>
      <c r="O866" s="60" t="s">
        <v>2182</v>
      </c>
      <c r="P866" t="s">
        <v>827</v>
      </c>
      <c r="Q866" t="s">
        <v>1961</v>
      </c>
    </row>
    <row r="867" spans="1:17" x14ac:dyDescent="0.25">
      <c r="A867" t="s">
        <v>19</v>
      </c>
      <c r="B867">
        <v>15</v>
      </c>
      <c r="C867">
        <v>127.65</v>
      </c>
      <c r="D867">
        <v>8.1</v>
      </c>
      <c r="E867">
        <v>140</v>
      </c>
      <c r="F867">
        <v>127.65</v>
      </c>
      <c r="G867">
        <v>8.1</v>
      </c>
      <c r="H867">
        <v>1.2</v>
      </c>
      <c r="I867">
        <v>0.9</v>
      </c>
      <c r="J867">
        <v>56.126477890366417</v>
      </c>
      <c r="K867">
        <v>1500</v>
      </c>
      <c r="L867">
        <v>0</v>
      </c>
      <c r="N867">
        <v>29</v>
      </c>
      <c r="O867" s="60" t="s">
        <v>2183</v>
      </c>
      <c r="P867" t="s">
        <v>828</v>
      </c>
      <c r="Q867" t="s">
        <v>2396</v>
      </c>
    </row>
    <row r="868" spans="1:17" x14ac:dyDescent="0.25">
      <c r="A868" t="s">
        <v>19</v>
      </c>
      <c r="B868">
        <v>140</v>
      </c>
      <c r="C868">
        <v>127.65</v>
      </c>
      <c r="D868">
        <v>8.1</v>
      </c>
      <c r="E868">
        <v>140</v>
      </c>
      <c r="F868">
        <v>129</v>
      </c>
      <c r="G868">
        <v>8.1</v>
      </c>
      <c r="H868">
        <v>1.2</v>
      </c>
      <c r="I868">
        <v>0.9</v>
      </c>
      <c r="J868">
        <v>0.60616596121595478</v>
      </c>
      <c r="K868">
        <v>1500</v>
      </c>
      <c r="L868">
        <v>0</v>
      </c>
      <c r="N868">
        <v>29</v>
      </c>
      <c r="O868" s="60" t="s">
        <v>2184</v>
      </c>
      <c r="P868" t="s">
        <v>829</v>
      </c>
      <c r="Q868" t="s">
        <v>1964</v>
      </c>
    </row>
    <row r="869" spans="1:17" x14ac:dyDescent="0.25">
      <c r="A869" t="s">
        <v>19</v>
      </c>
      <c r="B869">
        <v>140</v>
      </c>
      <c r="C869">
        <v>129</v>
      </c>
      <c r="D869">
        <v>8.1</v>
      </c>
      <c r="E869">
        <v>15</v>
      </c>
      <c r="F869">
        <v>129</v>
      </c>
      <c r="G869">
        <v>8.1</v>
      </c>
      <c r="H869">
        <v>1.2</v>
      </c>
      <c r="I869">
        <v>0.9</v>
      </c>
      <c r="J869">
        <v>56.126477890366417</v>
      </c>
      <c r="K869">
        <v>1500</v>
      </c>
      <c r="L869">
        <v>0</v>
      </c>
      <c r="N869">
        <v>29</v>
      </c>
      <c r="O869" s="60" t="s">
        <v>2185</v>
      </c>
      <c r="P869" t="s">
        <v>814</v>
      </c>
      <c r="Q869" t="s">
        <v>2397</v>
      </c>
    </row>
    <row r="870" spans="1:17" x14ac:dyDescent="0.25">
      <c r="A870" t="s">
        <v>39</v>
      </c>
      <c r="B870">
        <v>-1.25</v>
      </c>
      <c r="C870">
        <v>2100</v>
      </c>
      <c r="N870">
        <v>29</v>
      </c>
      <c r="O870" s="60" t="s">
        <v>940</v>
      </c>
      <c r="P870" t="s">
        <v>757</v>
      </c>
      <c r="Q870" t="s">
        <v>845</v>
      </c>
    </row>
    <row r="871" spans="1:17" x14ac:dyDescent="0.25">
      <c r="A871" t="s">
        <v>660</v>
      </c>
      <c r="B871">
        <v>0.9</v>
      </c>
      <c r="C871">
        <v>10000</v>
      </c>
      <c r="N871">
        <v>29</v>
      </c>
      <c r="O871" s="60" t="s">
        <v>940</v>
      </c>
      <c r="P871" t="s">
        <v>757</v>
      </c>
      <c r="Q871" t="s">
        <v>836</v>
      </c>
    </row>
    <row r="872" spans="1:17" x14ac:dyDescent="0.25">
      <c r="A872" t="s">
        <v>23</v>
      </c>
      <c r="B872">
        <v>15</v>
      </c>
      <c r="C872">
        <v>129</v>
      </c>
      <c r="D872">
        <v>8.1</v>
      </c>
      <c r="E872">
        <v>15</v>
      </c>
      <c r="F872">
        <v>75</v>
      </c>
      <c r="G872">
        <v>9</v>
      </c>
      <c r="H872">
        <v>0</v>
      </c>
      <c r="I872">
        <v>0</v>
      </c>
      <c r="K872">
        <v>48000</v>
      </c>
      <c r="N872">
        <v>0</v>
      </c>
      <c r="O872" s="60">
        <v>0</v>
      </c>
      <c r="P872" t="s">
        <v>661</v>
      </c>
      <c r="Q872" t="s">
        <v>2186</v>
      </c>
    </row>
    <row r="873" spans="1:17" x14ac:dyDescent="0.25">
      <c r="A873" t="s">
        <v>19</v>
      </c>
      <c r="B873">
        <v>15</v>
      </c>
      <c r="C873">
        <v>75</v>
      </c>
      <c r="D873">
        <v>9</v>
      </c>
      <c r="E873">
        <v>15</v>
      </c>
      <c r="F873">
        <v>79.05</v>
      </c>
      <c r="G873">
        <v>9</v>
      </c>
      <c r="H873">
        <v>1.2</v>
      </c>
      <c r="I873">
        <v>0.9</v>
      </c>
      <c r="J873">
        <v>1.8184978836478705</v>
      </c>
      <c r="K873">
        <v>1500</v>
      </c>
      <c r="L873">
        <v>0</v>
      </c>
      <c r="N873">
        <v>29</v>
      </c>
      <c r="O873" s="60" t="s">
        <v>2187</v>
      </c>
      <c r="P873" t="s">
        <v>1968</v>
      </c>
      <c r="Q873" t="s">
        <v>879</v>
      </c>
    </row>
    <row r="874" spans="1:17" x14ac:dyDescent="0.25">
      <c r="A874" t="s">
        <v>19</v>
      </c>
      <c r="B874">
        <v>15</v>
      </c>
      <c r="C874">
        <v>79.05</v>
      </c>
      <c r="D874">
        <v>9</v>
      </c>
      <c r="E874">
        <v>140</v>
      </c>
      <c r="F874">
        <v>79.05</v>
      </c>
      <c r="G874">
        <v>9</v>
      </c>
      <c r="H874">
        <v>1.2</v>
      </c>
      <c r="I874">
        <v>0.9</v>
      </c>
      <c r="J874">
        <v>56.126477890366417</v>
      </c>
      <c r="K874">
        <v>1500</v>
      </c>
      <c r="L874">
        <v>0</v>
      </c>
      <c r="N874">
        <v>29</v>
      </c>
      <c r="O874" s="60" t="s">
        <v>2188</v>
      </c>
      <c r="P874" t="s">
        <v>1970</v>
      </c>
      <c r="Q874" t="s">
        <v>2396</v>
      </c>
    </row>
    <row r="875" spans="1:17" x14ac:dyDescent="0.25">
      <c r="A875" t="s">
        <v>19</v>
      </c>
      <c r="B875">
        <v>140</v>
      </c>
      <c r="C875">
        <v>79.05</v>
      </c>
      <c r="D875">
        <v>9</v>
      </c>
      <c r="E875">
        <v>140</v>
      </c>
      <c r="F875">
        <v>80.399999999999991</v>
      </c>
      <c r="G875">
        <v>9</v>
      </c>
      <c r="H875">
        <v>1.2</v>
      </c>
      <c r="I875">
        <v>0.9</v>
      </c>
      <c r="J875">
        <v>0.60616596121595478</v>
      </c>
      <c r="K875">
        <v>1500</v>
      </c>
      <c r="L875">
        <v>0</v>
      </c>
      <c r="N875">
        <v>29</v>
      </c>
      <c r="O875" s="60" t="s">
        <v>2189</v>
      </c>
      <c r="P875" t="s">
        <v>1972</v>
      </c>
      <c r="Q875" t="s">
        <v>880</v>
      </c>
    </row>
    <row r="876" spans="1:17" x14ac:dyDescent="0.25">
      <c r="A876" t="s">
        <v>19</v>
      </c>
      <c r="B876">
        <v>140</v>
      </c>
      <c r="C876">
        <v>80.399999999999991</v>
      </c>
      <c r="D876">
        <v>9</v>
      </c>
      <c r="E876">
        <v>15</v>
      </c>
      <c r="F876">
        <v>80.399999999999991</v>
      </c>
      <c r="G876">
        <v>9</v>
      </c>
      <c r="H876">
        <v>1.2</v>
      </c>
      <c r="I876">
        <v>0.9</v>
      </c>
      <c r="J876">
        <v>56.126477890366417</v>
      </c>
      <c r="K876">
        <v>1500</v>
      </c>
      <c r="L876">
        <v>0</v>
      </c>
      <c r="N876">
        <v>29</v>
      </c>
      <c r="O876" s="60" t="s">
        <v>2190</v>
      </c>
      <c r="P876" t="s">
        <v>1974</v>
      </c>
      <c r="Q876" t="s">
        <v>2397</v>
      </c>
    </row>
    <row r="877" spans="1:17" x14ac:dyDescent="0.25">
      <c r="A877" t="s">
        <v>19</v>
      </c>
      <c r="B877">
        <v>15</v>
      </c>
      <c r="C877">
        <v>80.400000000000006</v>
      </c>
      <c r="D877">
        <v>9</v>
      </c>
      <c r="E877">
        <v>15</v>
      </c>
      <c r="F877">
        <v>84.45</v>
      </c>
      <c r="G877">
        <v>9</v>
      </c>
      <c r="H877">
        <v>1.2</v>
      </c>
      <c r="I877">
        <v>0.9</v>
      </c>
      <c r="J877">
        <v>1.8184978836478705</v>
      </c>
      <c r="K877">
        <v>1500</v>
      </c>
      <c r="L877">
        <v>0</v>
      </c>
      <c r="N877">
        <v>29</v>
      </c>
      <c r="O877" s="60" t="s">
        <v>1499</v>
      </c>
      <c r="P877" t="s">
        <v>823</v>
      </c>
      <c r="Q877" t="s">
        <v>1065</v>
      </c>
    </row>
    <row r="878" spans="1:17" x14ac:dyDescent="0.25">
      <c r="A878" t="s">
        <v>19</v>
      </c>
      <c r="B878">
        <v>15</v>
      </c>
      <c r="C878">
        <v>84.45</v>
      </c>
      <c r="D878">
        <v>9</v>
      </c>
      <c r="E878">
        <v>140</v>
      </c>
      <c r="F878">
        <v>84.45</v>
      </c>
      <c r="G878">
        <v>9</v>
      </c>
      <c r="H878">
        <v>1.2</v>
      </c>
      <c r="I878">
        <v>0.9</v>
      </c>
      <c r="J878">
        <v>56.126477890366417</v>
      </c>
      <c r="K878">
        <v>1500</v>
      </c>
      <c r="L878">
        <v>0</v>
      </c>
      <c r="N878">
        <v>29</v>
      </c>
      <c r="O878" s="60" t="s">
        <v>1500</v>
      </c>
      <c r="P878" t="s">
        <v>750</v>
      </c>
      <c r="Q878" t="s">
        <v>2396</v>
      </c>
    </row>
    <row r="879" spans="1:17" x14ac:dyDescent="0.25">
      <c r="A879" t="s">
        <v>19</v>
      </c>
      <c r="B879">
        <v>140</v>
      </c>
      <c r="C879">
        <v>84.45</v>
      </c>
      <c r="D879">
        <v>9</v>
      </c>
      <c r="E879">
        <v>140</v>
      </c>
      <c r="F879">
        <v>85.8</v>
      </c>
      <c r="G879">
        <v>9</v>
      </c>
      <c r="H879">
        <v>1.2</v>
      </c>
      <c r="I879">
        <v>0.9</v>
      </c>
      <c r="J879">
        <v>0.60616596121595478</v>
      </c>
      <c r="K879">
        <v>1500</v>
      </c>
      <c r="L879">
        <v>0</v>
      </c>
      <c r="N879">
        <v>29</v>
      </c>
      <c r="O879" s="60" t="s">
        <v>1501</v>
      </c>
      <c r="P879" t="s">
        <v>751</v>
      </c>
      <c r="Q879" t="s">
        <v>1066</v>
      </c>
    </row>
    <row r="880" spans="1:17" x14ac:dyDescent="0.25">
      <c r="A880" t="s">
        <v>19</v>
      </c>
      <c r="B880">
        <v>140</v>
      </c>
      <c r="C880">
        <v>85.8</v>
      </c>
      <c r="D880">
        <v>9</v>
      </c>
      <c r="E880">
        <v>15</v>
      </c>
      <c r="F880">
        <v>85.8</v>
      </c>
      <c r="G880">
        <v>9</v>
      </c>
      <c r="H880">
        <v>1.2</v>
      </c>
      <c r="I880">
        <v>0.9</v>
      </c>
      <c r="J880">
        <v>56.126477890366417</v>
      </c>
      <c r="K880">
        <v>1500</v>
      </c>
      <c r="L880">
        <v>0</v>
      </c>
      <c r="N880">
        <v>29</v>
      </c>
      <c r="O880" s="60" t="s">
        <v>941</v>
      </c>
      <c r="P880" t="s">
        <v>752</v>
      </c>
      <c r="Q880" t="s">
        <v>2397</v>
      </c>
    </row>
    <row r="881" spans="1:17" x14ac:dyDescent="0.25">
      <c r="A881" t="s">
        <v>19</v>
      </c>
      <c r="B881">
        <v>15</v>
      </c>
      <c r="C881">
        <v>85.8</v>
      </c>
      <c r="D881">
        <v>9</v>
      </c>
      <c r="E881">
        <v>15</v>
      </c>
      <c r="F881">
        <v>89.85</v>
      </c>
      <c r="G881">
        <v>9</v>
      </c>
      <c r="H881">
        <v>1.2</v>
      </c>
      <c r="I881">
        <v>0.9</v>
      </c>
      <c r="J881">
        <v>1.8184978836478705</v>
      </c>
      <c r="K881">
        <v>1500</v>
      </c>
      <c r="L881">
        <v>0</v>
      </c>
      <c r="N881">
        <v>29</v>
      </c>
      <c r="O881" s="60" t="s">
        <v>1502</v>
      </c>
      <c r="P881" t="s">
        <v>823</v>
      </c>
      <c r="Q881" t="s">
        <v>1067</v>
      </c>
    </row>
    <row r="882" spans="1:17" x14ac:dyDescent="0.25">
      <c r="A882" t="s">
        <v>19</v>
      </c>
      <c r="B882">
        <v>15</v>
      </c>
      <c r="C882">
        <v>89.85</v>
      </c>
      <c r="D882">
        <v>9</v>
      </c>
      <c r="E882">
        <v>140</v>
      </c>
      <c r="F882">
        <v>89.85</v>
      </c>
      <c r="G882">
        <v>9</v>
      </c>
      <c r="H882">
        <v>1.2</v>
      </c>
      <c r="I882">
        <v>0.9</v>
      </c>
      <c r="J882">
        <v>56.126477890366417</v>
      </c>
      <c r="K882">
        <v>1500</v>
      </c>
      <c r="L882">
        <v>0</v>
      </c>
      <c r="N882">
        <v>29</v>
      </c>
      <c r="O882" s="60" t="s">
        <v>1503</v>
      </c>
      <c r="P882" t="s">
        <v>750</v>
      </c>
      <c r="Q882" t="s">
        <v>2396</v>
      </c>
    </row>
    <row r="883" spans="1:17" x14ac:dyDescent="0.25">
      <c r="A883" t="s">
        <v>19</v>
      </c>
      <c r="B883">
        <v>140</v>
      </c>
      <c r="C883">
        <v>89.85</v>
      </c>
      <c r="D883">
        <v>9</v>
      </c>
      <c r="E883">
        <v>140</v>
      </c>
      <c r="F883">
        <v>91.199999999999989</v>
      </c>
      <c r="G883">
        <v>9</v>
      </c>
      <c r="H883">
        <v>1.2</v>
      </c>
      <c r="I883">
        <v>0.9</v>
      </c>
      <c r="J883">
        <v>0.60616596121595478</v>
      </c>
      <c r="K883">
        <v>1500</v>
      </c>
      <c r="L883">
        <v>0</v>
      </c>
      <c r="N883">
        <v>29</v>
      </c>
      <c r="O883" s="60" t="s">
        <v>1504</v>
      </c>
      <c r="P883" t="s">
        <v>751</v>
      </c>
      <c r="Q883" t="s">
        <v>1068</v>
      </c>
    </row>
    <row r="884" spans="1:17" x14ac:dyDescent="0.25">
      <c r="A884" t="s">
        <v>19</v>
      </c>
      <c r="B884">
        <v>140</v>
      </c>
      <c r="C884">
        <v>91.199999999999989</v>
      </c>
      <c r="D884">
        <v>9</v>
      </c>
      <c r="E884">
        <v>15</v>
      </c>
      <c r="F884">
        <v>91.199999999999989</v>
      </c>
      <c r="G884">
        <v>9</v>
      </c>
      <c r="H884">
        <v>1.2</v>
      </c>
      <c r="I884">
        <v>0.9</v>
      </c>
      <c r="J884">
        <v>56.126477890366417</v>
      </c>
      <c r="K884">
        <v>1500</v>
      </c>
      <c r="L884">
        <v>0</v>
      </c>
      <c r="N884">
        <v>29</v>
      </c>
      <c r="O884" s="60" t="s">
        <v>942</v>
      </c>
      <c r="P884" t="s">
        <v>752</v>
      </c>
      <c r="Q884" t="s">
        <v>2397</v>
      </c>
    </row>
    <row r="885" spans="1:17" x14ac:dyDescent="0.25">
      <c r="A885" t="s">
        <v>19</v>
      </c>
      <c r="B885">
        <v>15</v>
      </c>
      <c r="C885">
        <v>91.2</v>
      </c>
      <c r="D885">
        <v>9</v>
      </c>
      <c r="E885">
        <v>15</v>
      </c>
      <c r="F885">
        <v>95.25</v>
      </c>
      <c r="G885">
        <v>9</v>
      </c>
      <c r="H885">
        <v>1.2</v>
      </c>
      <c r="I885">
        <v>0.9</v>
      </c>
      <c r="J885">
        <v>1.8184978836478705</v>
      </c>
      <c r="K885">
        <v>1500</v>
      </c>
      <c r="L885">
        <v>0</v>
      </c>
      <c r="N885">
        <v>29</v>
      </c>
      <c r="O885" s="60" t="s">
        <v>1505</v>
      </c>
      <c r="P885" t="s">
        <v>823</v>
      </c>
      <c r="Q885" t="s">
        <v>1069</v>
      </c>
    </row>
    <row r="886" spans="1:17" x14ac:dyDescent="0.25">
      <c r="A886" t="s">
        <v>19</v>
      </c>
      <c r="B886">
        <v>15</v>
      </c>
      <c r="C886">
        <v>95.25</v>
      </c>
      <c r="D886">
        <v>9</v>
      </c>
      <c r="E886">
        <v>140</v>
      </c>
      <c r="F886">
        <v>95.25</v>
      </c>
      <c r="G886">
        <v>9</v>
      </c>
      <c r="H886">
        <v>1.2</v>
      </c>
      <c r="I886">
        <v>0.9</v>
      </c>
      <c r="J886">
        <v>56.126477890366417</v>
      </c>
      <c r="K886">
        <v>1500</v>
      </c>
      <c r="L886">
        <v>0</v>
      </c>
      <c r="N886">
        <v>29</v>
      </c>
      <c r="O886" s="60" t="s">
        <v>1506</v>
      </c>
      <c r="P886" t="s">
        <v>750</v>
      </c>
      <c r="Q886" t="s">
        <v>2396</v>
      </c>
    </row>
    <row r="887" spans="1:17" x14ac:dyDescent="0.25">
      <c r="A887" t="s">
        <v>19</v>
      </c>
      <c r="B887">
        <v>140</v>
      </c>
      <c r="C887">
        <v>95.25</v>
      </c>
      <c r="D887">
        <v>9</v>
      </c>
      <c r="E887">
        <v>140</v>
      </c>
      <c r="F887">
        <v>96.6</v>
      </c>
      <c r="G887">
        <v>9</v>
      </c>
      <c r="H887">
        <v>1.2</v>
      </c>
      <c r="I887">
        <v>0.9</v>
      </c>
      <c r="J887">
        <v>0.60616596121595478</v>
      </c>
      <c r="K887">
        <v>1500</v>
      </c>
      <c r="L887">
        <v>0</v>
      </c>
      <c r="N887">
        <v>29</v>
      </c>
      <c r="O887" s="60" t="s">
        <v>1507</v>
      </c>
      <c r="P887" t="s">
        <v>751</v>
      </c>
      <c r="Q887" t="s">
        <v>1070</v>
      </c>
    </row>
    <row r="888" spans="1:17" x14ac:dyDescent="0.25">
      <c r="A888" t="s">
        <v>19</v>
      </c>
      <c r="B888">
        <v>140</v>
      </c>
      <c r="C888">
        <v>96.6</v>
      </c>
      <c r="D888">
        <v>9</v>
      </c>
      <c r="E888">
        <v>15</v>
      </c>
      <c r="F888">
        <v>96.6</v>
      </c>
      <c r="G888">
        <v>9</v>
      </c>
      <c r="H888">
        <v>1.2</v>
      </c>
      <c r="I888">
        <v>0.9</v>
      </c>
      <c r="J888">
        <v>56.126477890366417</v>
      </c>
      <c r="K888">
        <v>1500</v>
      </c>
      <c r="L888">
        <v>0</v>
      </c>
      <c r="N888">
        <v>29</v>
      </c>
      <c r="O888" s="60" t="s">
        <v>943</v>
      </c>
      <c r="P888" t="s">
        <v>752</v>
      </c>
      <c r="Q888" t="s">
        <v>2397</v>
      </c>
    </row>
    <row r="889" spans="1:17" x14ac:dyDescent="0.25">
      <c r="A889" t="s">
        <v>19</v>
      </c>
      <c r="B889">
        <v>15</v>
      </c>
      <c r="C889">
        <v>96.6</v>
      </c>
      <c r="D889">
        <v>9</v>
      </c>
      <c r="E889">
        <v>15</v>
      </c>
      <c r="F889">
        <v>100.65</v>
      </c>
      <c r="G889">
        <v>9</v>
      </c>
      <c r="H889">
        <v>1.2</v>
      </c>
      <c r="I889">
        <v>0.9</v>
      </c>
      <c r="J889">
        <v>1.8184978836478705</v>
      </c>
      <c r="K889">
        <v>1500</v>
      </c>
      <c r="L889">
        <v>0</v>
      </c>
      <c r="N889">
        <v>29</v>
      </c>
      <c r="O889" s="60" t="s">
        <v>1508</v>
      </c>
      <c r="P889" t="s">
        <v>823</v>
      </c>
      <c r="Q889" t="s">
        <v>1071</v>
      </c>
    </row>
    <row r="890" spans="1:17" x14ac:dyDescent="0.25">
      <c r="A890" t="s">
        <v>19</v>
      </c>
      <c r="B890">
        <v>15</v>
      </c>
      <c r="C890">
        <v>100.65</v>
      </c>
      <c r="D890">
        <v>9</v>
      </c>
      <c r="E890">
        <v>140</v>
      </c>
      <c r="F890">
        <v>100.65</v>
      </c>
      <c r="G890">
        <v>9</v>
      </c>
      <c r="H890">
        <v>1.2</v>
      </c>
      <c r="I890">
        <v>0.9</v>
      </c>
      <c r="J890">
        <v>56.126477890366417</v>
      </c>
      <c r="K890">
        <v>1500</v>
      </c>
      <c r="L890">
        <v>0</v>
      </c>
      <c r="N890">
        <v>29</v>
      </c>
      <c r="O890" s="60" t="s">
        <v>1509</v>
      </c>
      <c r="P890" t="s">
        <v>750</v>
      </c>
      <c r="Q890" t="s">
        <v>2396</v>
      </c>
    </row>
    <row r="891" spans="1:17" x14ac:dyDescent="0.25">
      <c r="A891" t="s">
        <v>19</v>
      </c>
      <c r="B891">
        <v>140</v>
      </c>
      <c r="C891">
        <v>100.65</v>
      </c>
      <c r="D891">
        <v>9</v>
      </c>
      <c r="E891">
        <v>140</v>
      </c>
      <c r="F891">
        <v>102</v>
      </c>
      <c r="G891">
        <v>9</v>
      </c>
      <c r="H891">
        <v>1.2</v>
      </c>
      <c r="I891">
        <v>0.9</v>
      </c>
      <c r="J891">
        <v>0.60616596121595478</v>
      </c>
      <c r="K891">
        <v>1500</v>
      </c>
      <c r="L891">
        <v>0</v>
      </c>
      <c r="N891">
        <v>29</v>
      </c>
      <c r="O891" s="60" t="s">
        <v>1510</v>
      </c>
      <c r="P891" t="s">
        <v>751</v>
      </c>
      <c r="Q891" t="s">
        <v>1072</v>
      </c>
    </row>
    <row r="892" spans="1:17" x14ac:dyDescent="0.25">
      <c r="A892" t="s">
        <v>19</v>
      </c>
      <c r="B892">
        <v>140</v>
      </c>
      <c r="C892">
        <v>102</v>
      </c>
      <c r="D892">
        <v>9</v>
      </c>
      <c r="E892">
        <v>15</v>
      </c>
      <c r="F892">
        <v>102</v>
      </c>
      <c r="G892">
        <v>9</v>
      </c>
      <c r="H892">
        <v>1.2</v>
      </c>
      <c r="I892">
        <v>0.9</v>
      </c>
      <c r="J892">
        <v>56.126477890366417</v>
      </c>
      <c r="K892">
        <v>1500</v>
      </c>
      <c r="L892">
        <v>0</v>
      </c>
      <c r="N892">
        <v>29</v>
      </c>
      <c r="O892" s="60" t="s">
        <v>944</v>
      </c>
      <c r="P892" t="s">
        <v>752</v>
      </c>
      <c r="Q892" t="s">
        <v>2397</v>
      </c>
    </row>
    <row r="893" spans="1:17" x14ac:dyDescent="0.25">
      <c r="A893" t="s">
        <v>19</v>
      </c>
      <c r="B893">
        <v>15</v>
      </c>
      <c r="C893">
        <v>102</v>
      </c>
      <c r="D893">
        <v>9</v>
      </c>
      <c r="E893">
        <v>15</v>
      </c>
      <c r="F893">
        <v>106.05</v>
      </c>
      <c r="G893">
        <v>9</v>
      </c>
      <c r="H893">
        <v>1.2</v>
      </c>
      <c r="I893">
        <v>0.9</v>
      </c>
      <c r="J893">
        <v>1.8184978836478705</v>
      </c>
      <c r="K893">
        <v>1500</v>
      </c>
      <c r="L893">
        <v>0</v>
      </c>
      <c r="N893">
        <v>29</v>
      </c>
      <c r="O893" s="60" t="s">
        <v>1511</v>
      </c>
      <c r="P893" t="s">
        <v>823</v>
      </c>
      <c r="Q893" t="s">
        <v>1073</v>
      </c>
    </row>
    <row r="894" spans="1:17" x14ac:dyDescent="0.25">
      <c r="A894" t="s">
        <v>19</v>
      </c>
      <c r="B894">
        <v>15</v>
      </c>
      <c r="C894">
        <v>106.05</v>
      </c>
      <c r="D894">
        <v>9</v>
      </c>
      <c r="E894">
        <v>140</v>
      </c>
      <c r="F894">
        <v>106.05</v>
      </c>
      <c r="G894">
        <v>9</v>
      </c>
      <c r="H894">
        <v>1.2</v>
      </c>
      <c r="I894">
        <v>0.9</v>
      </c>
      <c r="J894">
        <v>56.126477890366417</v>
      </c>
      <c r="K894">
        <v>1500</v>
      </c>
      <c r="L894">
        <v>0</v>
      </c>
      <c r="N894">
        <v>29</v>
      </c>
      <c r="O894" s="60" t="s">
        <v>1512</v>
      </c>
      <c r="P894" t="s">
        <v>750</v>
      </c>
      <c r="Q894" t="s">
        <v>2396</v>
      </c>
    </row>
    <row r="895" spans="1:17" x14ac:dyDescent="0.25">
      <c r="A895" t="s">
        <v>19</v>
      </c>
      <c r="B895">
        <v>140</v>
      </c>
      <c r="C895">
        <v>106.05</v>
      </c>
      <c r="D895">
        <v>9</v>
      </c>
      <c r="E895">
        <v>140</v>
      </c>
      <c r="F895">
        <v>107.39999999999999</v>
      </c>
      <c r="G895">
        <v>9</v>
      </c>
      <c r="H895">
        <v>1.2</v>
      </c>
      <c r="I895">
        <v>0.9</v>
      </c>
      <c r="J895">
        <v>0.60616596121595478</v>
      </c>
      <c r="K895">
        <v>1500</v>
      </c>
      <c r="L895">
        <v>0</v>
      </c>
      <c r="N895">
        <v>29</v>
      </c>
      <c r="O895" s="60" t="s">
        <v>1513</v>
      </c>
      <c r="P895" t="s">
        <v>751</v>
      </c>
      <c r="Q895" t="s">
        <v>1074</v>
      </c>
    </row>
    <row r="896" spans="1:17" x14ac:dyDescent="0.25">
      <c r="A896" t="s">
        <v>19</v>
      </c>
      <c r="B896">
        <v>140</v>
      </c>
      <c r="C896">
        <v>107.39999999999999</v>
      </c>
      <c r="D896">
        <v>9</v>
      </c>
      <c r="E896">
        <v>15</v>
      </c>
      <c r="F896">
        <v>107.39999999999999</v>
      </c>
      <c r="G896">
        <v>9</v>
      </c>
      <c r="H896">
        <v>1.2</v>
      </c>
      <c r="I896">
        <v>0.9</v>
      </c>
      <c r="J896">
        <v>56.126477890366417</v>
      </c>
      <c r="K896">
        <v>1500</v>
      </c>
      <c r="L896">
        <v>0</v>
      </c>
      <c r="N896">
        <v>29</v>
      </c>
      <c r="O896" s="60" t="s">
        <v>945</v>
      </c>
      <c r="P896" t="s">
        <v>752</v>
      </c>
      <c r="Q896" t="s">
        <v>2397</v>
      </c>
    </row>
    <row r="897" spans="1:17" x14ac:dyDescent="0.25">
      <c r="A897" t="s">
        <v>19</v>
      </c>
      <c r="B897">
        <v>15</v>
      </c>
      <c r="C897">
        <v>107.4</v>
      </c>
      <c r="D897">
        <v>9</v>
      </c>
      <c r="E897">
        <v>15</v>
      </c>
      <c r="F897">
        <v>111.45</v>
      </c>
      <c r="G897">
        <v>9</v>
      </c>
      <c r="H897">
        <v>1.2</v>
      </c>
      <c r="I897">
        <v>0.9</v>
      </c>
      <c r="J897">
        <v>1.8184978836478705</v>
      </c>
      <c r="K897">
        <v>1500</v>
      </c>
      <c r="L897">
        <v>0</v>
      </c>
      <c r="N897">
        <v>29</v>
      </c>
      <c r="O897" s="60" t="s">
        <v>1514</v>
      </c>
      <c r="P897" t="s">
        <v>823</v>
      </c>
      <c r="Q897" t="s">
        <v>1075</v>
      </c>
    </row>
    <row r="898" spans="1:17" x14ac:dyDescent="0.25">
      <c r="A898" t="s">
        <v>19</v>
      </c>
      <c r="B898">
        <v>15</v>
      </c>
      <c r="C898">
        <v>111.45</v>
      </c>
      <c r="D898">
        <v>9</v>
      </c>
      <c r="E898">
        <v>140</v>
      </c>
      <c r="F898">
        <v>111.45</v>
      </c>
      <c r="G898">
        <v>9</v>
      </c>
      <c r="H898">
        <v>1.2</v>
      </c>
      <c r="I898">
        <v>0.9</v>
      </c>
      <c r="J898">
        <v>56.126477890366417</v>
      </c>
      <c r="K898">
        <v>1500</v>
      </c>
      <c r="L898">
        <v>0</v>
      </c>
      <c r="N898">
        <v>29</v>
      </c>
      <c r="O898" s="60" t="s">
        <v>1515</v>
      </c>
      <c r="P898" t="s">
        <v>750</v>
      </c>
      <c r="Q898" t="s">
        <v>2396</v>
      </c>
    </row>
    <row r="899" spans="1:17" x14ac:dyDescent="0.25">
      <c r="A899" t="s">
        <v>19</v>
      </c>
      <c r="B899">
        <v>140</v>
      </c>
      <c r="C899">
        <v>111.45</v>
      </c>
      <c r="D899">
        <v>9</v>
      </c>
      <c r="E899">
        <v>140</v>
      </c>
      <c r="F899">
        <v>112.8</v>
      </c>
      <c r="G899">
        <v>9</v>
      </c>
      <c r="H899">
        <v>1.2</v>
      </c>
      <c r="I899">
        <v>0.9</v>
      </c>
      <c r="J899">
        <v>0.60616596121595478</v>
      </c>
      <c r="K899">
        <v>1500</v>
      </c>
      <c r="L899">
        <v>0</v>
      </c>
      <c r="N899">
        <v>29</v>
      </c>
      <c r="O899" s="60" t="s">
        <v>1516</v>
      </c>
      <c r="P899" t="s">
        <v>751</v>
      </c>
      <c r="Q899" t="s">
        <v>1076</v>
      </c>
    </row>
    <row r="900" spans="1:17" x14ac:dyDescent="0.25">
      <c r="A900" t="s">
        <v>19</v>
      </c>
      <c r="B900">
        <v>140</v>
      </c>
      <c r="C900">
        <v>112.8</v>
      </c>
      <c r="D900">
        <v>9</v>
      </c>
      <c r="E900">
        <v>15</v>
      </c>
      <c r="F900">
        <v>112.8</v>
      </c>
      <c r="G900">
        <v>9</v>
      </c>
      <c r="H900">
        <v>1.2</v>
      </c>
      <c r="I900">
        <v>0.9</v>
      </c>
      <c r="J900">
        <v>56.126477890366417</v>
      </c>
      <c r="K900">
        <v>1500</v>
      </c>
      <c r="L900">
        <v>0</v>
      </c>
      <c r="N900">
        <v>29</v>
      </c>
      <c r="O900" s="60" t="s">
        <v>946</v>
      </c>
      <c r="P900" t="s">
        <v>752</v>
      </c>
      <c r="Q900" t="s">
        <v>2397</v>
      </c>
    </row>
    <row r="901" spans="1:17" x14ac:dyDescent="0.25">
      <c r="A901" t="s">
        <v>19</v>
      </c>
      <c r="B901">
        <v>15</v>
      </c>
      <c r="C901">
        <v>112.8</v>
      </c>
      <c r="D901">
        <v>9</v>
      </c>
      <c r="E901">
        <v>15</v>
      </c>
      <c r="F901">
        <v>116.85</v>
      </c>
      <c r="G901">
        <v>9</v>
      </c>
      <c r="H901">
        <v>1.2</v>
      </c>
      <c r="I901">
        <v>0.9</v>
      </c>
      <c r="J901">
        <v>1.8184978836478705</v>
      </c>
      <c r="K901">
        <v>1500</v>
      </c>
      <c r="L901">
        <v>0</v>
      </c>
      <c r="N901">
        <v>29</v>
      </c>
      <c r="O901" s="60" t="s">
        <v>1517</v>
      </c>
      <c r="P901" t="s">
        <v>823</v>
      </c>
      <c r="Q901" t="s">
        <v>1077</v>
      </c>
    </row>
    <row r="902" spans="1:17" x14ac:dyDescent="0.25">
      <c r="A902" t="s">
        <v>19</v>
      </c>
      <c r="B902">
        <v>15</v>
      </c>
      <c r="C902">
        <v>116.85</v>
      </c>
      <c r="D902">
        <v>9</v>
      </c>
      <c r="E902">
        <v>140</v>
      </c>
      <c r="F902">
        <v>116.85</v>
      </c>
      <c r="G902">
        <v>9</v>
      </c>
      <c r="H902">
        <v>1.2</v>
      </c>
      <c r="I902">
        <v>0.9</v>
      </c>
      <c r="J902">
        <v>56.126477890366417</v>
      </c>
      <c r="K902">
        <v>1500</v>
      </c>
      <c r="L902">
        <v>0</v>
      </c>
      <c r="N902">
        <v>29</v>
      </c>
      <c r="O902" s="60" t="s">
        <v>1518</v>
      </c>
      <c r="P902" t="s">
        <v>750</v>
      </c>
      <c r="Q902" t="s">
        <v>2396</v>
      </c>
    </row>
    <row r="903" spans="1:17" x14ac:dyDescent="0.25">
      <c r="A903" t="s">
        <v>19</v>
      </c>
      <c r="B903">
        <v>140</v>
      </c>
      <c r="C903">
        <v>116.85</v>
      </c>
      <c r="D903">
        <v>9</v>
      </c>
      <c r="E903">
        <v>140</v>
      </c>
      <c r="F903">
        <v>118.19999999999999</v>
      </c>
      <c r="G903">
        <v>9</v>
      </c>
      <c r="H903">
        <v>1.2</v>
      </c>
      <c r="I903">
        <v>0.9</v>
      </c>
      <c r="J903">
        <v>0.60616596121595478</v>
      </c>
      <c r="K903">
        <v>1500</v>
      </c>
      <c r="L903">
        <v>0</v>
      </c>
      <c r="N903">
        <v>29</v>
      </c>
      <c r="O903" s="60" t="s">
        <v>1519</v>
      </c>
      <c r="P903" t="s">
        <v>751</v>
      </c>
      <c r="Q903" t="s">
        <v>1078</v>
      </c>
    </row>
    <row r="904" spans="1:17" x14ac:dyDescent="0.25">
      <c r="A904" t="s">
        <v>19</v>
      </c>
      <c r="B904">
        <v>140</v>
      </c>
      <c r="C904">
        <v>118.19999999999999</v>
      </c>
      <c r="D904">
        <v>9</v>
      </c>
      <c r="E904">
        <v>15</v>
      </c>
      <c r="F904">
        <v>118.19999999999999</v>
      </c>
      <c r="G904">
        <v>9</v>
      </c>
      <c r="H904">
        <v>1.2</v>
      </c>
      <c r="I904">
        <v>0.9</v>
      </c>
      <c r="J904">
        <v>56.126477890366417</v>
      </c>
      <c r="K904">
        <v>1500</v>
      </c>
      <c r="L904">
        <v>0</v>
      </c>
      <c r="N904">
        <v>29</v>
      </c>
      <c r="O904" s="60" t="s">
        <v>947</v>
      </c>
      <c r="P904" t="s">
        <v>752</v>
      </c>
      <c r="Q904" t="s">
        <v>2397</v>
      </c>
    </row>
    <row r="905" spans="1:17" x14ac:dyDescent="0.25">
      <c r="A905" t="s">
        <v>19</v>
      </c>
      <c r="B905">
        <v>15</v>
      </c>
      <c r="C905">
        <v>118.2</v>
      </c>
      <c r="D905">
        <v>9</v>
      </c>
      <c r="E905">
        <v>15</v>
      </c>
      <c r="F905">
        <v>122.25</v>
      </c>
      <c r="G905">
        <v>9</v>
      </c>
      <c r="H905">
        <v>1.2</v>
      </c>
      <c r="I905">
        <v>0.9</v>
      </c>
      <c r="J905">
        <v>1.8184978836478705</v>
      </c>
      <c r="K905">
        <v>1500</v>
      </c>
      <c r="L905">
        <v>0</v>
      </c>
      <c r="N905">
        <v>29</v>
      </c>
      <c r="O905" s="60" t="s">
        <v>2191</v>
      </c>
      <c r="P905" t="s">
        <v>823</v>
      </c>
      <c r="Q905" t="s">
        <v>1955</v>
      </c>
    </row>
    <row r="906" spans="1:17" x14ac:dyDescent="0.25">
      <c r="A906" t="s">
        <v>19</v>
      </c>
      <c r="B906">
        <v>15</v>
      </c>
      <c r="C906">
        <v>122.25</v>
      </c>
      <c r="D906">
        <v>9</v>
      </c>
      <c r="E906">
        <v>140</v>
      </c>
      <c r="F906">
        <v>122.25</v>
      </c>
      <c r="G906">
        <v>9</v>
      </c>
      <c r="H906">
        <v>1.2</v>
      </c>
      <c r="I906">
        <v>0.9</v>
      </c>
      <c r="J906">
        <v>56.126477890366417</v>
      </c>
      <c r="K906">
        <v>1500</v>
      </c>
      <c r="L906">
        <v>0</v>
      </c>
      <c r="N906">
        <v>29</v>
      </c>
      <c r="O906" s="60" t="s">
        <v>2192</v>
      </c>
      <c r="P906" t="s">
        <v>750</v>
      </c>
      <c r="Q906" t="s">
        <v>2396</v>
      </c>
    </row>
    <row r="907" spans="1:17" x14ac:dyDescent="0.25">
      <c r="A907" t="s">
        <v>19</v>
      </c>
      <c r="B907">
        <v>140</v>
      </c>
      <c r="C907">
        <v>122.25</v>
      </c>
      <c r="D907">
        <v>9</v>
      </c>
      <c r="E907">
        <v>140</v>
      </c>
      <c r="F907">
        <v>123.6</v>
      </c>
      <c r="G907">
        <v>9</v>
      </c>
      <c r="H907">
        <v>1.2</v>
      </c>
      <c r="I907">
        <v>0.9</v>
      </c>
      <c r="J907">
        <v>0.60616596121595478</v>
      </c>
      <c r="K907">
        <v>1500</v>
      </c>
      <c r="L907">
        <v>0</v>
      </c>
      <c r="N907">
        <v>29</v>
      </c>
      <c r="O907" s="60" t="s">
        <v>2193</v>
      </c>
      <c r="P907" t="s">
        <v>751</v>
      </c>
      <c r="Q907" t="s">
        <v>1958</v>
      </c>
    </row>
    <row r="908" spans="1:17" x14ac:dyDescent="0.25">
      <c r="A908" t="s">
        <v>19</v>
      </c>
      <c r="B908">
        <v>140</v>
      </c>
      <c r="C908">
        <v>123.6</v>
      </c>
      <c r="D908">
        <v>9</v>
      </c>
      <c r="E908">
        <v>15</v>
      </c>
      <c r="F908">
        <v>123.6</v>
      </c>
      <c r="G908">
        <v>9</v>
      </c>
      <c r="H908">
        <v>1.2</v>
      </c>
      <c r="I908">
        <v>0.9</v>
      </c>
      <c r="J908">
        <v>56.126477890366417</v>
      </c>
      <c r="K908">
        <v>1500</v>
      </c>
      <c r="L908">
        <v>0</v>
      </c>
      <c r="N908">
        <v>29</v>
      </c>
      <c r="O908" s="60" t="s">
        <v>2194</v>
      </c>
      <c r="P908" t="s">
        <v>752</v>
      </c>
      <c r="Q908" t="s">
        <v>2397</v>
      </c>
    </row>
    <row r="909" spans="1:17" x14ac:dyDescent="0.25">
      <c r="A909" t="s">
        <v>19</v>
      </c>
      <c r="B909">
        <v>15</v>
      </c>
      <c r="C909">
        <v>123.60000000000001</v>
      </c>
      <c r="D909">
        <v>9</v>
      </c>
      <c r="E909">
        <v>15</v>
      </c>
      <c r="F909">
        <v>127.65</v>
      </c>
      <c r="G909">
        <v>9</v>
      </c>
      <c r="H909">
        <v>1.2</v>
      </c>
      <c r="I909">
        <v>0.9</v>
      </c>
      <c r="J909">
        <v>1.8184978836478705</v>
      </c>
      <c r="K909">
        <v>1500</v>
      </c>
      <c r="L909">
        <v>0</v>
      </c>
      <c r="N909">
        <v>29</v>
      </c>
      <c r="O909" s="60" t="s">
        <v>2195</v>
      </c>
      <c r="P909" t="s">
        <v>823</v>
      </c>
      <c r="Q909" t="s">
        <v>1961</v>
      </c>
    </row>
    <row r="910" spans="1:17" x14ac:dyDescent="0.25">
      <c r="A910" t="s">
        <v>19</v>
      </c>
      <c r="B910">
        <v>15</v>
      </c>
      <c r="C910">
        <v>127.65</v>
      </c>
      <c r="D910">
        <v>9</v>
      </c>
      <c r="E910">
        <v>140</v>
      </c>
      <c r="F910">
        <v>127.65</v>
      </c>
      <c r="G910">
        <v>9</v>
      </c>
      <c r="H910">
        <v>1.2</v>
      </c>
      <c r="I910">
        <v>0.9</v>
      </c>
      <c r="J910">
        <v>56.126477890366417</v>
      </c>
      <c r="K910">
        <v>1500</v>
      </c>
      <c r="L910">
        <v>0</v>
      </c>
      <c r="N910">
        <v>29</v>
      </c>
      <c r="O910" s="60" t="s">
        <v>2196</v>
      </c>
      <c r="P910" t="s">
        <v>750</v>
      </c>
      <c r="Q910" t="s">
        <v>2396</v>
      </c>
    </row>
    <row r="911" spans="1:17" x14ac:dyDescent="0.25">
      <c r="A911" t="s">
        <v>19</v>
      </c>
      <c r="B911">
        <v>140</v>
      </c>
      <c r="C911">
        <v>127.65</v>
      </c>
      <c r="D911">
        <v>9</v>
      </c>
      <c r="E911">
        <v>140</v>
      </c>
      <c r="F911">
        <v>129</v>
      </c>
      <c r="G911">
        <v>9</v>
      </c>
      <c r="H911">
        <v>1.2</v>
      </c>
      <c r="I911">
        <v>0.9</v>
      </c>
      <c r="J911">
        <v>0.60616596121595478</v>
      </c>
      <c r="K911">
        <v>1500</v>
      </c>
      <c r="L911">
        <v>0</v>
      </c>
      <c r="N911">
        <v>29</v>
      </c>
      <c r="O911" s="60" t="s">
        <v>2197</v>
      </c>
      <c r="P911" t="s">
        <v>751</v>
      </c>
      <c r="Q911" t="s">
        <v>1964</v>
      </c>
    </row>
    <row r="912" spans="1:17" x14ac:dyDescent="0.25">
      <c r="A912" t="s">
        <v>19</v>
      </c>
      <c r="B912">
        <v>140</v>
      </c>
      <c r="C912">
        <v>129</v>
      </c>
      <c r="D912">
        <v>9</v>
      </c>
      <c r="E912">
        <v>15</v>
      </c>
      <c r="F912">
        <v>129</v>
      </c>
      <c r="G912">
        <v>9</v>
      </c>
      <c r="H912">
        <v>1.2</v>
      </c>
      <c r="I912">
        <v>0.9</v>
      </c>
      <c r="J912">
        <v>56.126477890366417</v>
      </c>
      <c r="K912">
        <v>1500</v>
      </c>
      <c r="L912">
        <v>0</v>
      </c>
      <c r="N912">
        <v>29</v>
      </c>
      <c r="O912" s="60" t="s">
        <v>2198</v>
      </c>
      <c r="P912" t="s">
        <v>752</v>
      </c>
      <c r="Q912" t="s">
        <v>2397</v>
      </c>
    </row>
    <row r="913" spans="1:17" x14ac:dyDescent="0.25">
      <c r="A913" t="s">
        <v>49</v>
      </c>
      <c r="B913" t="s">
        <v>811</v>
      </c>
      <c r="N913">
        <v>29</v>
      </c>
      <c r="O913" s="60" t="s">
        <v>948</v>
      </c>
      <c r="P913" t="s">
        <v>749</v>
      </c>
      <c r="Q913" t="s">
        <v>811</v>
      </c>
    </row>
    <row r="914" spans="1:17" x14ac:dyDescent="0.25">
      <c r="A914" t="s">
        <v>49</v>
      </c>
      <c r="B914" t="s">
        <v>203</v>
      </c>
      <c r="C914">
        <v>1</v>
      </c>
      <c r="N914">
        <v>29</v>
      </c>
      <c r="O914" s="60" t="s">
        <v>949</v>
      </c>
      <c r="P914" t="s">
        <v>754</v>
      </c>
      <c r="Q914" t="s">
        <v>468</v>
      </c>
    </row>
    <row r="915" spans="1:17" x14ac:dyDescent="0.25">
      <c r="A915" t="s">
        <v>49</v>
      </c>
      <c r="B915" t="s">
        <v>634</v>
      </c>
      <c r="N915">
        <v>29</v>
      </c>
      <c r="O915" s="60" t="s">
        <v>950</v>
      </c>
      <c r="P915" t="s">
        <v>758</v>
      </c>
      <c r="Q915" t="s">
        <v>634</v>
      </c>
    </row>
    <row r="916" spans="1:17" x14ac:dyDescent="0.25">
      <c r="A916" t="s">
        <v>23</v>
      </c>
      <c r="B916">
        <v>15</v>
      </c>
      <c r="C916">
        <v>129</v>
      </c>
      <c r="D916">
        <v>9</v>
      </c>
      <c r="E916">
        <v>141.35</v>
      </c>
      <c r="F916">
        <v>76.349999999999994</v>
      </c>
      <c r="G916">
        <v>9.0000999999999998</v>
      </c>
      <c r="H916">
        <v>0</v>
      </c>
      <c r="I916">
        <v>0</v>
      </c>
      <c r="K916">
        <v>48000</v>
      </c>
      <c r="N916">
        <v>0</v>
      </c>
      <c r="O916" s="60">
        <v>0</v>
      </c>
      <c r="P916" t="s">
        <v>661</v>
      </c>
      <c r="Q916" t="s">
        <v>2402</v>
      </c>
    </row>
    <row r="917" spans="1:17" x14ac:dyDescent="0.25">
      <c r="A917" t="s">
        <v>19</v>
      </c>
      <c r="B917">
        <v>141.35</v>
      </c>
      <c r="C917">
        <v>76.349999999999994</v>
      </c>
      <c r="D917">
        <v>9.0000999999999998</v>
      </c>
      <c r="E917">
        <v>16.349999999999994</v>
      </c>
      <c r="F917">
        <v>76.349999999999994</v>
      </c>
      <c r="G917">
        <v>9.0000999999999998</v>
      </c>
      <c r="H917">
        <v>1.2</v>
      </c>
      <c r="I917">
        <v>0.9</v>
      </c>
      <c r="J917">
        <v>56.126477890366417</v>
      </c>
      <c r="K917">
        <v>1500</v>
      </c>
      <c r="L917">
        <v>0</v>
      </c>
      <c r="N917">
        <v>29</v>
      </c>
      <c r="O917" s="60" t="s">
        <v>2199</v>
      </c>
      <c r="P917" t="s">
        <v>1984</v>
      </c>
      <c r="Q917" t="s">
        <v>2393</v>
      </c>
    </row>
    <row r="918" spans="1:17" x14ac:dyDescent="0.25">
      <c r="A918" t="s">
        <v>19</v>
      </c>
      <c r="B918">
        <v>16.349999999999994</v>
      </c>
      <c r="C918">
        <v>76.349999999999994</v>
      </c>
      <c r="D918">
        <v>9.0000999999999998</v>
      </c>
      <c r="E918">
        <v>16.349999999999994</v>
      </c>
      <c r="F918">
        <v>77.699999999999989</v>
      </c>
      <c r="G918">
        <v>9.0000999999999998</v>
      </c>
      <c r="H918">
        <v>1.2</v>
      </c>
      <c r="I918">
        <v>0.9</v>
      </c>
      <c r="J918">
        <v>0.60616596121595478</v>
      </c>
      <c r="K918">
        <v>1500</v>
      </c>
      <c r="L918">
        <v>0</v>
      </c>
      <c r="N918">
        <v>29</v>
      </c>
      <c r="O918" s="60" t="s">
        <v>2200</v>
      </c>
      <c r="P918" t="s">
        <v>1986</v>
      </c>
      <c r="Q918" t="s">
        <v>876</v>
      </c>
    </row>
    <row r="919" spans="1:17" x14ac:dyDescent="0.25">
      <c r="A919" t="s">
        <v>19</v>
      </c>
      <c r="B919">
        <v>16.349999999999994</v>
      </c>
      <c r="C919">
        <v>77.699999999999989</v>
      </c>
      <c r="D919">
        <v>9.0000999999999998</v>
      </c>
      <c r="E919">
        <v>141.35</v>
      </c>
      <c r="F919">
        <v>77.699999999999989</v>
      </c>
      <c r="G919">
        <v>9.0000999999999998</v>
      </c>
      <c r="H919">
        <v>1.2</v>
      </c>
      <c r="I919">
        <v>0.9</v>
      </c>
      <c r="J919">
        <v>56.126477890366417</v>
      </c>
      <c r="K919">
        <v>1500</v>
      </c>
      <c r="L919">
        <v>0</v>
      </c>
      <c r="N919">
        <v>29</v>
      </c>
      <c r="O919" s="60" t="s">
        <v>2201</v>
      </c>
      <c r="P919" t="s">
        <v>1988</v>
      </c>
      <c r="Q919" t="s">
        <v>2394</v>
      </c>
    </row>
    <row r="920" spans="1:17" x14ac:dyDescent="0.25">
      <c r="A920" t="s">
        <v>19</v>
      </c>
      <c r="B920">
        <v>141.35</v>
      </c>
      <c r="C920">
        <v>77.699999999999989</v>
      </c>
      <c r="D920">
        <v>9.0000999999999998</v>
      </c>
      <c r="E920">
        <v>141.35</v>
      </c>
      <c r="F920">
        <v>81.749999999999986</v>
      </c>
      <c r="G920">
        <v>9.0000999999999998</v>
      </c>
      <c r="H920">
        <v>1.2</v>
      </c>
      <c r="I920">
        <v>0.9</v>
      </c>
      <c r="J920">
        <v>1.8184978836478705</v>
      </c>
      <c r="K920">
        <v>1500</v>
      </c>
      <c r="L920">
        <v>0</v>
      </c>
      <c r="N920">
        <v>29</v>
      </c>
      <c r="O920" s="60" t="s">
        <v>2202</v>
      </c>
      <c r="P920" t="s">
        <v>1990</v>
      </c>
      <c r="Q920" t="s">
        <v>877</v>
      </c>
    </row>
    <row r="921" spans="1:17" x14ac:dyDescent="0.25">
      <c r="A921" t="s">
        <v>19</v>
      </c>
      <c r="B921">
        <v>141.35</v>
      </c>
      <c r="C921">
        <v>81.75</v>
      </c>
      <c r="D921">
        <v>9.0000999999999998</v>
      </c>
      <c r="E921">
        <v>16.349999999999994</v>
      </c>
      <c r="F921">
        <v>81.75</v>
      </c>
      <c r="G921">
        <v>9.0000999999999998</v>
      </c>
      <c r="H921">
        <v>1.2</v>
      </c>
      <c r="I921">
        <v>0.9</v>
      </c>
      <c r="J921">
        <v>56.126477890366417</v>
      </c>
      <c r="K921">
        <v>1500</v>
      </c>
      <c r="L921">
        <v>0</v>
      </c>
      <c r="N921">
        <v>29</v>
      </c>
      <c r="O921" s="60" t="s">
        <v>1520</v>
      </c>
      <c r="P921" t="s">
        <v>824</v>
      </c>
      <c r="Q921" t="s">
        <v>2395</v>
      </c>
    </row>
    <row r="922" spans="1:17" x14ac:dyDescent="0.25">
      <c r="A922" t="s">
        <v>19</v>
      </c>
      <c r="B922">
        <v>16.349999999999994</v>
      </c>
      <c r="C922">
        <v>81.75</v>
      </c>
      <c r="D922">
        <v>9.0000999999999998</v>
      </c>
      <c r="E922">
        <v>16.349999999999994</v>
      </c>
      <c r="F922">
        <v>83.1</v>
      </c>
      <c r="G922">
        <v>9.0000999999999998</v>
      </c>
      <c r="H922">
        <v>1.2</v>
      </c>
      <c r="I922">
        <v>0.9</v>
      </c>
      <c r="J922">
        <v>0.60616596121595478</v>
      </c>
      <c r="K922">
        <v>1500</v>
      </c>
      <c r="L922">
        <v>0</v>
      </c>
      <c r="N922">
        <v>29</v>
      </c>
      <c r="O922" s="60" t="s">
        <v>1521</v>
      </c>
      <c r="P922" t="s">
        <v>825</v>
      </c>
      <c r="Q922" t="s">
        <v>1024</v>
      </c>
    </row>
    <row r="923" spans="1:17" x14ac:dyDescent="0.25">
      <c r="A923" t="s">
        <v>19</v>
      </c>
      <c r="B923">
        <v>16.349999999999994</v>
      </c>
      <c r="C923">
        <v>83.1</v>
      </c>
      <c r="D923">
        <v>9.0000999999999998</v>
      </c>
      <c r="E923">
        <v>141.35</v>
      </c>
      <c r="F923">
        <v>83.1</v>
      </c>
      <c r="G923">
        <v>9.0000999999999998</v>
      </c>
      <c r="H923">
        <v>1.2</v>
      </c>
      <c r="I923">
        <v>0.9</v>
      </c>
      <c r="J923">
        <v>56.126477890366417</v>
      </c>
      <c r="K923">
        <v>1500</v>
      </c>
      <c r="L923">
        <v>0</v>
      </c>
      <c r="N923">
        <v>29</v>
      </c>
      <c r="O923" s="60" t="s">
        <v>1522</v>
      </c>
      <c r="P923" t="s">
        <v>755</v>
      </c>
      <c r="Q923" t="s">
        <v>2394</v>
      </c>
    </row>
    <row r="924" spans="1:17" x14ac:dyDescent="0.25">
      <c r="A924" t="s">
        <v>19</v>
      </c>
      <c r="B924">
        <v>141.35</v>
      </c>
      <c r="C924">
        <v>83.1</v>
      </c>
      <c r="D924">
        <v>9.0000999999999998</v>
      </c>
      <c r="E924">
        <v>141.35</v>
      </c>
      <c r="F924">
        <v>87.149999999999991</v>
      </c>
      <c r="G924">
        <v>9.0000999999999998</v>
      </c>
      <c r="H924">
        <v>1.2</v>
      </c>
      <c r="I924">
        <v>0.9</v>
      </c>
      <c r="J924">
        <v>1.8184978836478705</v>
      </c>
      <c r="K924">
        <v>1500</v>
      </c>
      <c r="L924">
        <v>0</v>
      </c>
      <c r="N924">
        <v>29</v>
      </c>
      <c r="O924" s="60" t="s">
        <v>1523</v>
      </c>
      <c r="P924" t="s">
        <v>756</v>
      </c>
      <c r="Q924" t="s">
        <v>1025</v>
      </c>
    </row>
    <row r="925" spans="1:17" x14ac:dyDescent="0.25">
      <c r="A925" t="s">
        <v>19</v>
      </c>
      <c r="B925">
        <v>141.35</v>
      </c>
      <c r="C925">
        <v>87.149999999999991</v>
      </c>
      <c r="D925">
        <v>9.0000999999999998</v>
      </c>
      <c r="E925">
        <v>16.349999999999994</v>
      </c>
      <c r="F925">
        <v>87.149999999999991</v>
      </c>
      <c r="G925">
        <v>9.0000999999999998</v>
      </c>
      <c r="H925">
        <v>1.2</v>
      </c>
      <c r="I925">
        <v>0.9</v>
      </c>
      <c r="J925">
        <v>56.126477890366417</v>
      </c>
      <c r="K925">
        <v>1500</v>
      </c>
      <c r="L925">
        <v>0</v>
      </c>
      <c r="N925">
        <v>29</v>
      </c>
      <c r="O925" s="60" t="s">
        <v>1524</v>
      </c>
      <c r="P925" t="s">
        <v>824</v>
      </c>
      <c r="Q925" t="s">
        <v>2395</v>
      </c>
    </row>
    <row r="926" spans="1:17" x14ac:dyDescent="0.25">
      <c r="A926" t="s">
        <v>19</v>
      </c>
      <c r="B926">
        <v>16.349999999999994</v>
      </c>
      <c r="C926">
        <v>87.149999999999991</v>
      </c>
      <c r="D926">
        <v>9.0000999999999998</v>
      </c>
      <c r="E926">
        <v>16.349999999999994</v>
      </c>
      <c r="F926">
        <v>88.499999999999986</v>
      </c>
      <c r="G926">
        <v>9.0000999999999998</v>
      </c>
      <c r="H926">
        <v>1.2</v>
      </c>
      <c r="I926">
        <v>0.9</v>
      </c>
      <c r="J926">
        <v>0.60616596121595478</v>
      </c>
      <c r="K926">
        <v>1500</v>
      </c>
      <c r="L926">
        <v>0</v>
      </c>
      <c r="N926">
        <v>29</v>
      </c>
      <c r="O926" s="60" t="s">
        <v>1525</v>
      </c>
      <c r="P926" t="s">
        <v>825</v>
      </c>
      <c r="Q926" t="s">
        <v>1026</v>
      </c>
    </row>
    <row r="927" spans="1:17" x14ac:dyDescent="0.25">
      <c r="A927" t="s">
        <v>19</v>
      </c>
      <c r="B927">
        <v>16.349999999999994</v>
      </c>
      <c r="C927">
        <v>88.499999999999986</v>
      </c>
      <c r="D927">
        <v>9.0000999999999998</v>
      </c>
      <c r="E927">
        <v>141.35</v>
      </c>
      <c r="F927">
        <v>88.499999999999986</v>
      </c>
      <c r="G927">
        <v>9.0000999999999998</v>
      </c>
      <c r="H927">
        <v>1.2</v>
      </c>
      <c r="I927">
        <v>0.9</v>
      </c>
      <c r="J927">
        <v>56.126477890366417</v>
      </c>
      <c r="K927">
        <v>1500</v>
      </c>
      <c r="L927">
        <v>0</v>
      </c>
      <c r="N927">
        <v>29</v>
      </c>
      <c r="O927" s="60" t="s">
        <v>1526</v>
      </c>
      <c r="P927" t="s">
        <v>755</v>
      </c>
      <c r="Q927" t="s">
        <v>2394</v>
      </c>
    </row>
    <row r="928" spans="1:17" x14ac:dyDescent="0.25">
      <c r="A928" t="s">
        <v>19</v>
      </c>
      <c r="B928">
        <v>141.35</v>
      </c>
      <c r="C928">
        <v>88.499999999999986</v>
      </c>
      <c r="D928">
        <v>9.0000999999999998</v>
      </c>
      <c r="E928">
        <v>141.35</v>
      </c>
      <c r="F928">
        <v>92.549999999999983</v>
      </c>
      <c r="G928">
        <v>9.0000999999999998</v>
      </c>
      <c r="H928">
        <v>1.2</v>
      </c>
      <c r="I928">
        <v>0.9</v>
      </c>
      <c r="J928">
        <v>1.8184978836478705</v>
      </c>
      <c r="K928">
        <v>1500</v>
      </c>
      <c r="L928">
        <v>0</v>
      </c>
      <c r="N928">
        <v>29</v>
      </c>
      <c r="O928" s="60" t="s">
        <v>1527</v>
      </c>
      <c r="P928" t="s">
        <v>756</v>
      </c>
      <c r="Q928" t="s">
        <v>1027</v>
      </c>
    </row>
    <row r="929" spans="1:17" x14ac:dyDescent="0.25">
      <c r="A929" t="s">
        <v>19</v>
      </c>
      <c r="B929">
        <v>141.35</v>
      </c>
      <c r="C929">
        <v>92.55</v>
      </c>
      <c r="D929">
        <v>9.0000999999999998</v>
      </c>
      <c r="E929">
        <v>16.349999999999994</v>
      </c>
      <c r="F929">
        <v>92.55</v>
      </c>
      <c r="G929">
        <v>9.0000999999999998</v>
      </c>
      <c r="H929">
        <v>1.2</v>
      </c>
      <c r="I929">
        <v>0.9</v>
      </c>
      <c r="J929">
        <v>56.126477890366417</v>
      </c>
      <c r="K929">
        <v>1500</v>
      </c>
      <c r="L929">
        <v>0</v>
      </c>
      <c r="N929">
        <v>29</v>
      </c>
      <c r="O929" s="60" t="s">
        <v>1528</v>
      </c>
      <c r="P929" t="s">
        <v>824</v>
      </c>
      <c r="Q929" t="s">
        <v>2395</v>
      </c>
    </row>
    <row r="930" spans="1:17" x14ac:dyDescent="0.25">
      <c r="A930" t="s">
        <v>19</v>
      </c>
      <c r="B930">
        <v>16.349999999999994</v>
      </c>
      <c r="C930">
        <v>92.55</v>
      </c>
      <c r="D930">
        <v>9.0000999999999998</v>
      </c>
      <c r="E930">
        <v>16.349999999999994</v>
      </c>
      <c r="F930">
        <v>93.899999999999991</v>
      </c>
      <c r="G930">
        <v>9.0000999999999998</v>
      </c>
      <c r="H930">
        <v>1.2</v>
      </c>
      <c r="I930">
        <v>0.9</v>
      </c>
      <c r="J930">
        <v>0.60616596121595478</v>
      </c>
      <c r="K930">
        <v>1500</v>
      </c>
      <c r="L930">
        <v>0</v>
      </c>
      <c r="N930">
        <v>29</v>
      </c>
      <c r="O930" s="60" t="s">
        <v>1529</v>
      </c>
      <c r="P930" t="s">
        <v>825</v>
      </c>
      <c r="Q930" t="s">
        <v>1028</v>
      </c>
    </row>
    <row r="931" spans="1:17" x14ac:dyDescent="0.25">
      <c r="A931" t="s">
        <v>19</v>
      </c>
      <c r="B931">
        <v>16.349999999999994</v>
      </c>
      <c r="C931">
        <v>93.899999999999991</v>
      </c>
      <c r="D931">
        <v>9.0000999999999998</v>
      </c>
      <c r="E931">
        <v>141.35</v>
      </c>
      <c r="F931">
        <v>93.899999999999991</v>
      </c>
      <c r="G931">
        <v>9.0000999999999998</v>
      </c>
      <c r="H931">
        <v>1.2</v>
      </c>
      <c r="I931">
        <v>0.9</v>
      </c>
      <c r="J931">
        <v>56.126477890366417</v>
      </c>
      <c r="K931">
        <v>1500</v>
      </c>
      <c r="L931">
        <v>0</v>
      </c>
      <c r="N931">
        <v>29</v>
      </c>
      <c r="O931" s="60" t="s">
        <v>1530</v>
      </c>
      <c r="P931" t="s">
        <v>755</v>
      </c>
      <c r="Q931" t="s">
        <v>2394</v>
      </c>
    </row>
    <row r="932" spans="1:17" x14ac:dyDescent="0.25">
      <c r="A932" t="s">
        <v>19</v>
      </c>
      <c r="B932">
        <v>141.35</v>
      </c>
      <c r="C932">
        <v>93.899999999999991</v>
      </c>
      <c r="D932">
        <v>9.0000999999999998</v>
      </c>
      <c r="E932">
        <v>141.35</v>
      </c>
      <c r="F932">
        <v>97.949999999999989</v>
      </c>
      <c r="G932">
        <v>9.0000999999999998</v>
      </c>
      <c r="H932">
        <v>1.2</v>
      </c>
      <c r="I932">
        <v>0.9</v>
      </c>
      <c r="J932">
        <v>1.8184978836478705</v>
      </c>
      <c r="K932">
        <v>1500</v>
      </c>
      <c r="L932">
        <v>0</v>
      </c>
      <c r="N932">
        <v>29</v>
      </c>
      <c r="O932" s="60" t="s">
        <v>1531</v>
      </c>
      <c r="P932" t="s">
        <v>756</v>
      </c>
      <c r="Q932" t="s">
        <v>1029</v>
      </c>
    </row>
    <row r="933" spans="1:17" x14ac:dyDescent="0.25">
      <c r="A933" t="s">
        <v>19</v>
      </c>
      <c r="B933">
        <v>141.35</v>
      </c>
      <c r="C933">
        <v>97.949999999999989</v>
      </c>
      <c r="D933">
        <v>9.0000999999999998</v>
      </c>
      <c r="E933">
        <v>16.349999999999994</v>
      </c>
      <c r="F933">
        <v>97.949999999999989</v>
      </c>
      <c r="G933">
        <v>9.0000999999999998</v>
      </c>
      <c r="H933">
        <v>1.2</v>
      </c>
      <c r="I933">
        <v>0.9</v>
      </c>
      <c r="J933">
        <v>56.126477890366417</v>
      </c>
      <c r="K933">
        <v>1500</v>
      </c>
      <c r="L933">
        <v>0</v>
      </c>
      <c r="N933">
        <v>29</v>
      </c>
      <c r="O933" s="60" t="s">
        <v>1532</v>
      </c>
      <c r="P933" t="s">
        <v>824</v>
      </c>
      <c r="Q933" t="s">
        <v>2395</v>
      </c>
    </row>
    <row r="934" spans="1:17" x14ac:dyDescent="0.25">
      <c r="A934" t="s">
        <v>19</v>
      </c>
      <c r="B934">
        <v>16.349999999999994</v>
      </c>
      <c r="C934">
        <v>97.949999999999989</v>
      </c>
      <c r="D934">
        <v>9.0000999999999998</v>
      </c>
      <c r="E934">
        <v>16.349999999999994</v>
      </c>
      <c r="F934">
        <v>99.299999999999983</v>
      </c>
      <c r="G934">
        <v>9.0000999999999998</v>
      </c>
      <c r="H934">
        <v>1.2</v>
      </c>
      <c r="I934">
        <v>0.9</v>
      </c>
      <c r="J934">
        <v>0.60616596121595478</v>
      </c>
      <c r="K934">
        <v>1500</v>
      </c>
      <c r="L934">
        <v>0</v>
      </c>
      <c r="N934">
        <v>29</v>
      </c>
      <c r="O934" s="60" t="s">
        <v>1533</v>
      </c>
      <c r="P934" t="s">
        <v>825</v>
      </c>
      <c r="Q934" t="s">
        <v>1030</v>
      </c>
    </row>
    <row r="935" spans="1:17" x14ac:dyDescent="0.25">
      <c r="A935" t="s">
        <v>19</v>
      </c>
      <c r="B935">
        <v>16.349999999999994</v>
      </c>
      <c r="C935">
        <v>99.299999999999983</v>
      </c>
      <c r="D935">
        <v>9.0000999999999998</v>
      </c>
      <c r="E935">
        <v>141.35</v>
      </c>
      <c r="F935">
        <v>99.299999999999983</v>
      </c>
      <c r="G935">
        <v>9.0000999999999998</v>
      </c>
      <c r="H935">
        <v>1.2</v>
      </c>
      <c r="I935">
        <v>0.9</v>
      </c>
      <c r="J935">
        <v>56.126477890366417</v>
      </c>
      <c r="K935">
        <v>1500</v>
      </c>
      <c r="L935">
        <v>0</v>
      </c>
      <c r="N935">
        <v>29</v>
      </c>
      <c r="O935" s="60" t="s">
        <v>1534</v>
      </c>
      <c r="P935" t="s">
        <v>755</v>
      </c>
      <c r="Q935" t="s">
        <v>2394</v>
      </c>
    </row>
    <row r="936" spans="1:17" x14ac:dyDescent="0.25">
      <c r="A936" t="s">
        <v>19</v>
      </c>
      <c r="B936">
        <v>141.35</v>
      </c>
      <c r="C936">
        <v>99.299999999999983</v>
      </c>
      <c r="D936">
        <v>9.0000999999999998</v>
      </c>
      <c r="E936">
        <v>141.35</v>
      </c>
      <c r="F936">
        <v>103.35</v>
      </c>
      <c r="G936">
        <v>9.0000999999999998</v>
      </c>
      <c r="H936">
        <v>1.2</v>
      </c>
      <c r="I936">
        <v>0.9</v>
      </c>
      <c r="J936">
        <v>1.8184978836478705</v>
      </c>
      <c r="K936">
        <v>1500</v>
      </c>
      <c r="L936">
        <v>0</v>
      </c>
      <c r="N936">
        <v>29</v>
      </c>
      <c r="O936" s="60" t="s">
        <v>1535</v>
      </c>
      <c r="P936" t="s">
        <v>756</v>
      </c>
      <c r="Q936" t="s">
        <v>1031</v>
      </c>
    </row>
    <row r="937" spans="1:17" x14ac:dyDescent="0.25">
      <c r="A937" t="s">
        <v>19</v>
      </c>
      <c r="B937">
        <v>141.35</v>
      </c>
      <c r="C937">
        <v>103.35</v>
      </c>
      <c r="D937">
        <v>9.0000999999999998</v>
      </c>
      <c r="E937">
        <v>16.349999999999994</v>
      </c>
      <c r="F937">
        <v>103.35</v>
      </c>
      <c r="G937">
        <v>9.0000999999999998</v>
      </c>
      <c r="H937">
        <v>1.2</v>
      </c>
      <c r="I937">
        <v>0.9</v>
      </c>
      <c r="J937">
        <v>56.126477890366417</v>
      </c>
      <c r="K937">
        <v>1500</v>
      </c>
      <c r="L937">
        <v>0</v>
      </c>
      <c r="N937">
        <v>29</v>
      </c>
      <c r="O937" s="60" t="s">
        <v>1536</v>
      </c>
      <c r="P937" t="s">
        <v>824</v>
      </c>
      <c r="Q937" t="s">
        <v>2395</v>
      </c>
    </row>
    <row r="938" spans="1:17" x14ac:dyDescent="0.25">
      <c r="A938" t="s">
        <v>19</v>
      </c>
      <c r="B938">
        <v>16.349999999999994</v>
      </c>
      <c r="C938">
        <v>103.35</v>
      </c>
      <c r="D938">
        <v>9.0000999999999998</v>
      </c>
      <c r="E938">
        <v>16.349999999999994</v>
      </c>
      <c r="F938">
        <v>104.69999999999999</v>
      </c>
      <c r="G938">
        <v>9.0000999999999998</v>
      </c>
      <c r="H938">
        <v>1.2</v>
      </c>
      <c r="I938">
        <v>0.9</v>
      </c>
      <c r="J938">
        <v>0.60616596121595478</v>
      </c>
      <c r="K938">
        <v>1500</v>
      </c>
      <c r="L938">
        <v>0</v>
      </c>
      <c r="N938">
        <v>29</v>
      </c>
      <c r="O938" s="60" t="s">
        <v>1537</v>
      </c>
      <c r="P938" t="s">
        <v>825</v>
      </c>
      <c r="Q938" t="s">
        <v>1032</v>
      </c>
    </row>
    <row r="939" spans="1:17" x14ac:dyDescent="0.25">
      <c r="A939" t="s">
        <v>19</v>
      </c>
      <c r="B939">
        <v>16.349999999999994</v>
      </c>
      <c r="C939">
        <v>104.69999999999999</v>
      </c>
      <c r="D939">
        <v>9.0000999999999998</v>
      </c>
      <c r="E939">
        <v>141.35</v>
      </c>
      <c r="F939">
        <v>104.69999999999999</v>
      </c>
      <c r="G939">
        <v>9.0000999999999998</v>
      </c>
      <c r="H939">
        <v>1.2</v>
      </c>
      <c r="I939">
        <v>0.9</v>
      </c>
      <c r="J939">
        <v>56.126477890366417</v>
      </c>
      <c r="K939">
        <v>1500</v>
      </c>
      <c r="L939">
        <v>0</v>
      </c>
      <c r="N939">
        <v>29</v>
      </c>
      <c r="O939" s="60" t="s">
        <v>1538</v>
      </c>
      <c r="P939" t="s">
        <v>755</v>
      </c>
      <c r="Q939" t="s">
        <v>2394</v>
      </c>
    </row>
    <row r="940" spans="1:17" x14ac:dyDescent="0.25">
      <c r="A940" t="s">
        <v>19</v>
      </c>
      <c r="B940">
        <v>141.35</v>
      </c>
      <c r="C940">
        <v>104.69999999999999</v>
      </c>
      <c r="D940">
        <v>9.0000999999999998</v>
      </c>
      <c r="E940">
        <v>141.35</v>
      </c>
      <c r="F940">
        <v>108.74999999999999</v>
      </c>
      <c r="G940">
        <v>9.0000999999999998</v>
      </c>
      <c r="H940">
        <v>1.2</v>
      </c>
      <c r="I940">
        <v>0.9</v>
      </c>
      <c r="J940">
        <v>1.8184978836478705</v>
      </c>
      <c r="K940">
        <v>1500</v>
      </c>
      <c r="L940">
        <v>0</v>
      </c>
      <c r="N940">
        <v>29</v>
      </c>
      <c r="O940" s="60" t="s">
        <v>1539</v>
      </c>
      <c r="P940" t="s">
        <v>756</v>
      </c>
      <c r="Q940" t="s">
        <v>1033</v>
      </c>
    </row>
    <row r="941" spans="1:17" x14ac:dyDescent="0.25">
      <c r="A941" t="s">
        <v>19</v>
      </c>
      <c r="B941">
        <v>141.35</v>
      </c>
      <c r="C941">
        <v>108.75</v>
      </c>
      <c r="D941">
        <v>9.0000999999999998</v>
      </c>
      <c r="E941">
        <v>16.349999999999994</v>
      </c>
      <c r="F941">
        <v>108.75</v>
      </c>
      <c r="G941">
        <v>9.0000999999999998</v>
      </c>
      <c r="H941">
        <v>1.2</v>
      </c>
      <c r="I941">
        <v>0.9</v>
      </c>
      <c r="J941">
        <v>56.126477890366417</v>
      </c>
      <c r="K941">
        <v>1500</v>
      </c>
      <c r="L941">
        <v>0</v>
      </c>
      <c r="N941">
        <v>29</v>
      </c>
      <c r="O941" s="60" t="s">
        <v>1540</v>
      </c>
      <c r="P941" t="s">
        <v>824</v>
      </c>
      <c r="Q941" t="s">
        <v>2395</v>
      </c>
    </row>
    <row r="942" spans="1:17" x14ac:dyDescent="0.25">
      <c r="A942" t="s">
        <v>19</v>
      </c>
      <c r="B942">
        <v>16.349999999999994</v>
      </c>
      <c r="C942">
        <v>108.75</v>
      </c>
      <c r="D942">
        <v>9.0000999999999998</v>
      </c>
      <c r="E942">
        <v>16.349999999999994</v>
      </c>
      <c r="F942">
        <v>110.1</v>
      </c>
      <c r="G942">
        <v>9.0000999999999998</v>
      </c>
      <c r="H942">
        <v>1.2</v>
      </c>
      <c r="I942">
        <v>0.9</v>
      </c>
      <c r="J942">
        <v>0.60616596121595478</v>
      </c>
      <c r="K942">
        <v>1500</v>
      </c>
      <c r="L942">
        <v>0</v>
      </c>
      <c r="N942">
        <v>29</v>
      </c>
      <c r="O942" s="60" t="s">
        <v>1541</v>
      </c>
      <c r="P942" t="s">
        <v>825</v>
      </c>
      <c r="Q942" t="s">
        <v>1034</v>
      </c>
    </row>
    <row r="943" spans="1:17" x14ac:dyDescent="0.25">
      <c r="A943" t="s">
        <v>19</v>
      </c>
      <c r="B943">
        <v>16.349999999999994</v>
      </c>
      <c r="C943">
        <v>110.1</v>
      </c>
      <c r="D943">
        <v>9.0000999999999998</v>
      </c>
      <c r="E943">
        <v>141.35</v>
      </c>
      <c r="F943">
        <v>110.1</v>
      </c>
      <c r="G943">
        <v>9.0000999999999998</v>
      </c>
      <c r="H943">
        <v>1.2</v>
      </c>
      <c r="I943">
        <v>0.9</v>
      </c>
      <c r="J943">
        <v>56.126477890366417</v>
      </c>
      <c r="K943">
        <v>1500</v>
      </c>
      <c r="L943">
        <v>0</v>
      </c>
      <c r="N943">
        <v>29</v>
      </c>
      <c r="O943" s="60" t="s">
        <v>1542</v>
      </c>
      <c r="P943" t="s">
        <v>755</v>
      </c>
      <c r="Q943" t="s">
        <v>2394</v>
      </c>
    </row>
    <row r="944" spans="1:17" x14ac:dyDescent="0.25">
      <c r="A944" t="s">
        <v>19</v>
      </c>
      <c r="B944">
        <v>141.35</v>
      </c>
      <c r="C944">
        <v>110.1</v>
      </c>
      <c r="D944">
        <v>9.0000999999999998</v>
      </c>
      <c r="E944">
        <v>141.35</v>
      </c>
      <c r="F944">
        <v>114.14999999999999</v>
      </c>
      <c r="G944">
        <v>9.0000999999999998</v>
      </c>
      <c r="H944">
        <v>1.2</v>
      </c>
      <c r="I944">
        <v>0.9</v>
      </c>
      <c r="J944">
        <v>1.8184978836478705</v>
      </c>
      <c r="K944">
        <v>1500</v>
      </c>
      <c r="L944">
        <v>0</v>
      </c>
      <c r="N944">
        <v>29</v>
      </c>
      <c r="O944" s="60" t="s">
        <v>1543</v>
      </c>
      <c r="P944" t="s">
        <v>756</v>
      </c>
      <c r="Q944" t="s">
        <v>1035</v>
      </c>
    </row>
    <row r="945" spans="1:17" x14ac:dyDescent="0.25">
      <c r="A945" t="s">
        <v>19</v>
      </c>
      <c r="B945">
        <v>141.35</v>
      </c>
      <c r="C945">
        <v>114.14999999999999</v>
      </c>
      <c r="D945">
        <v>9.0000999999999998</v>
      </c>
      <c r="E945">
        <v>16.349999999999994</v>
      </c>
      <c r="F945">
        <v>114.14999999999999</v>
      </c>
      <c r="G945">
        <v>9.0000999999999998</v>
      </c>
      <c r="H945">
        <v>1.2</v>
      </c>
      <c r="I945">
        <v>0.9</v>
      </c>
      <c r="J945">
        <v>56.126477890366417</v>
      </c>
      <c r="K945">
        <v>1500</v>
      </c>
      <c r="L945">
        <v>0</v>
      </c>
      <c r="N945">
        <v>29</v>
      </c>
      <c r="O945" s="60" t="s">
        <v>1544</v>
      </c>
      <c r="P945" t="s">
        <v>824</v>
      </c>
      <c r="Q945" t="s">
        <v>2395</v>
      </c>
    </row>
    <row r="946" spans="1:17" x14ac:dyDescent="0.25">
      <c r="A946" t="s">
        <v>19</v>
      </c>
      <c r="B946">
        <v>16.349999999999994</v>
      </c>
      <c r="C946">
        <v>114.14999999999999</v>
      </c>
      <c r="D946">
        <v>9.0000999999999998</v>
      </c>
      <c r="E946">
        <v>16.349999999999994</v>
      </c>
      <c r="F946">
        <v>115.49999999999999</v>
      </c>
      <c r="G946">
        <v>9.0000999999999998</v>
      </c>
      <c r="H946">
        <v>1.2</v>
      </c>
      <c r="I946">
        <v>0.9</v>
      </c>
      <c r="J946">
        <v>0.60616596121595478</v>
      </c>
      <c r="K946">
        <v>1500</v>
      </c>
      <c r="L946">
        <v>0</v>
      </c>
      <c r="N946">
        <v>29</v>
      </c>
      <c r="O946" s="60" t="s">
        <v>1545</v>
      </c>
      <c r="P946" t="s">
        <v>825</v>
      </c>
      <c r="Q946" t="s">
        <v>1036</v>
      </c>
    </row>
    <row r="947" spans="1:17" x14ac:dyDescent="0.25">
      <c r="A947" t="s">
        <v>19</v>
      </c>
      <c r="B947">
        <v>16.349999999999994</v>
      </c>
      <c r="C947">
        <v>115.49999999999999</v>
      </c>
      <c r="D947">
        <v>9.0000999999999998</v>
      </c>
      <c r="E947">
        <v>141.35</v>
      </c>
      <c r="F947">
        <v>115.49999999999999</v>
      </c>
      <c r="G947">
        <v>9.0000999999999998</v>
      </c>
      <c r="H947">
        <v>1.2</v>
      </c>
      <c r="I947">
        <v>0.9</v>
      </c>
      <c r="J947">
        <v>56.126477890366417</v>
      </c>
      <c r="K947">
        <v>1500</v>
      </c>
      <c r="L947">
        <v>0</v>
      </c>
      <c r="N947">
        <v>29</v>
      </c>
      <c r="O947" s="60" t="s">
        <v>1546</v>
      </c>
      <c r="P947" t="s">
        <v>755</v>
      </c>
      <c r="Q947" t="s">
        <v>2394</v>
      </c>
    </row>
    <row r="948" spans="1:17" x14ac:dyDescent="0.25">
      <c r="A948" t="s">
        <v>19</v>
      </c>
      <c r="B948">
        <v>141.35</v>
      </c>
      <c r="C948">
        <v>115.49999999999999</v>
      </c>
      <c r="D948">
        <v>9.0000999999999998</v>
      </c>
      <c r="E948">
        <v>141.35</v>
      </c>
      <c r="F948">
        <v>119.54999999999998</v>
      </c>
      <c r="G948">
        <v>9.0000999999999998</v>
      </c>
      <c r="H948">
        <v>1.2</v>
      </c>
      <c r="I948">
        <v>0.9</v>
      </c>
      <c r="J948">
        <v>1.8184978836478705</v>
      </c>
      <c r="K948">
        <v>1500</v>
      </c>
      <c r="L948">
        <v>0</v>
      </c>
      <c r="N948">
        <v>29</v>
      </c>
      <c r="O948" s="60" t="s">
        <v>1547</v>
      </c>
      <c r="P948" t="s">
        <v>756</v>
      </c>
      <c r="Q948" t="s">
        <v>1037</v>
      </c>
    </row>
    <row r="949" spans="1:17" x14ac:dyDescent="0.25">
      <c r="A949" t="s">
        <v>19</v>
      </c>
      <c r="B949">
        <v>141.35</v>
      </c>
      <c r="C949">
        <v>119.55</v>
      </c>
      <c r="D949">
        <v>9.0000999999999998</v>
      </c>
      <c r="E949">
        <v>16.349999999999994</v>
      </c>
      <c r="F949">
        <v>119.55</v>
      </c>
      <c r="G949">
        <v>9.0000999999999998</v>
      </c>
      <c r="H949">
        <v>1.2</v>
      </c>
      <c r="I949">
        <v>0.9</v>
      </c>
      <c r="J949">
        <v>56.126477890366417</v>
      </c>
      <c r="K949">
        <v>1500</v>
      </c>
      <c r="L949">
        <v>0</v>
      </c>
      <c r="N949">
        <v>29</v>
      </c>
      <c r="O949" s="60" t="s">
        <v>2203</v>
      </c>
      <c r="P949" t="s">
        <v>824</v>
      </c>
      <c r="Q949" t="s">
        <v>2395</v>
      </c>
    </row>
    <row r="950" spans="1:17" x14ac:dyDescent="0.25">
      <c r="A950" t="s">
        <v>19</v>
      </c>
      <c r="B950">
        <v>16.349999999999994</v>
      </c>
      <c r="C950">
        <v>119.55</v>
      </c>
      <c r="D950">
        <v>9.0000999999999998</v>
      </c>
      <c r="E950">
        <v>16.349999999999994</v>
      </c>
      <c r="F950">
        <v>120.89999999999999</v>
      </c>
      <c r="G950">
        <v>9.0000999999999998</v>
      </c>
      <c r="H950">
        <v>1.2</v>
      </c>
      <c r="I950">
        <v>0.9</v>
      </c>
      <c r="J950">
        <v>0.60616596121595478</v>
      </c>
      <c r="K950">
        <v>1500</v>
      </c>
      <c r="L950">
        <v>0</v>
      </c>
      <c r="N950">
        <v>29</v>
      </c>
      <c r="O950" s="60" t="s">
        <v>2204</v>
      </c>
      <c r="P950" t="s">
        <v>825</v>
      </c>
      <c r="Q950" t="s">
        <v>1935</v>
      </c>
    </row>
    <row r="951" spans="1:17" x14ac:dyDescent="0.25">
      <c r="A951" t="s">
        <v>19</v>
      </c>
      <c r="B951">
        <v>16.349999999999994</v>
      </c>
      <c r="C951">
        <v>120.89999999999999</v>
      </c>
      <c r="D951">
        <v>9.0000999999999998</v>
      </c>
      <c r="E951">
        <v>141.35</v>
      </c>
      <c r="F951">
        <v>120.89999999999999</v>
      </c>
      <c r="G951">
        <v>9.0000999999999998</v>
      </c>
      <c r="H951">
        <v>1.2</v>
      </c>
      <c r="I951">
        <v>0.9</v>
      </c>
      <c r="J951">
        <v>56.126477890366417</v>
      </c>
      <c r="K951">
        <v>1500</v>
      </c>
      <c r="L951">
        <v>0</v>
      </c>
      <c r="N951">
        <v>29</v>
      </c>
      <c r="O951" s="60" t="s">
        <v>2205</v>
      </c>
      <c r="P951" t="s">
        <v>755</v>
      </c>
      <c r="Q951" t="s">
        <v>2394</v>
      </c>
    </row>
    <row r="952" spans="1:17" x14ac:dyDescent="0.25">
      <c r="A952" t="s">
        <v>19</v>
      </c>
      <c r="B952">
        <v>141.35</v>
      </c>
      <c r="C952">
        <v>120.89999999999999</v>
      </c>
      <c r="D952">
        <v>9.0000999999999998</v>
      </c>
      <c r="E952">
        <v>141.35</v>
      </c>
      <c r="F952">
        <v>124.94999999999999</v>
      </c>
      <c r="G952">
        <v>9.0000999999999998</v>
      </c>
      <c r="H952">
        <v>1.2</v>
      </c>
      <c r="I952">
        <v>0.9</v>
      </c>
      <c r="J952">
        <v>1.8184978836478705</v>
      </c>
      <c r="K952">
        <v>1500</v>
      </c>
      <c r="L952">
        <v>0</v>
      </c>
      <c r="N952">
        <v>29</v>
      </c>
      <c r="O952" s="60" t="s">
        <v>2206</v>
      </c>
      <c r="P952" t="s">
        <v>756</v>
      </c>
      <c r="Q952" t="s">
        <v>1938</v>
      </c>
    </row>
    <row r="953" spans="1:17" x14ac:dyDescent="0.25">
      <c r="A953" t="s">
        <v>19</v>
      </c>
      <c r="B953">
        <v>141.35</v>
      </c>
      <c r="C953">
        <v>124.95</v>
      </c>
      <c r="D953">
        <v>9.0000999999999998</v>
      </c>
      <c r="E953">
        <v>16.349999999999994</v>
      </c>
      <c r="F953">
        <v>124.95</v>
      </c>
      <c r="G953">
        <v>9.0000999999999998</v>
      </c>
      <c r="H953">
        <v>1.2</v>
      </c>
      <c r="I953">
        <v>0.9</v>
      </c>
      <c r="J953">
        <v>56.126477890366417</v>
      </c>
      <c r="K953">
        <v>1500</v>
      </c>
      <c r="L953">
        <v>0</v>
      </c>
      <c r="N953">
        <v>29</v>
      </c>
      <c r="O953" s="60" t="s">
        <v>2207</v>
      </c>
      <c r="P953" t="s">
        <v>824</v>
      </c>
      <c r="Q953" t="s">
        <v>2395</v>
      </c>
    </row>
    <row r="954" spans="1:17" x14ac:dyDescent="0.25">
      <c r="A954" t="s">
        <v>19</v>
      </c>
      <c r="B954">
        <v>16.349999999999994</v>
      </c>
      <c r="C954">
        <v>124.95</v>
      </c>
      <c r="D954">
        <v>9.0000999999999998</v>
      </c>
      <c r="E954">
        <v>16.349999999999994</v>
      </c>
      <c r="F954">
        <v>126.3</v>
      </c>
      <c r="G954">
        <v>9.0000999999999998</v>
      </c>
      <c r="H954">
        <v>1.2</v>
      </c>
      <c r="I954">
        <v>0.9</v>
      </c>
      <c r="J954">
        <v>0.60616596121595478</v>
      </c>
      <c r="K954">
        <v>1500</v>
      </c>
      <c r="L954">
        <v>0</v>
      </c>
      <c r="N954">
        <v>29</v>
      </c>
      <c r="O954" s="60" t="s">
        <v>2208</v>
      </c>
      <c r="P954" t="s">
        <v>825</v>
      </c>
      <c r="Q954" t="s">
        <v>1941</v>
      </c>
    </row>
    <row r="955" spans="1:17" x14ac:dyDescent="0.25">
      <c r="A955" t="s">
        <v>19</v>
      </c>
      <c r="B955">
        <v>16.349999999999994</v>
      </c>
      <c r="C955">
        <v>126.3</v>
      </c>
      <c r="D955">
        <v>9.0000999999999998</v>
      </c>
      <c r="E955">
        <v>141.35</v>
      </c>
      <c r="F955">
        <v>126.3</v>
      </c>
      <c r="G955">
        <v>9.0000999999999998</v>
      </c>
      <c r="H955">
        <v>1.2</v>
      </c>
      <c r="I955">
        <v>0.9</v>
      </c>
      <c r="J955">
        <v>56.126477890366417</v>
      </c>
      <c r="K955">
        <v>1500</v>
      </c>
      <c r="L955">
        <v>0</v>
      </c>
      <c r="N955">
        <v>29</v>
      </c>
      <c r="O955" s="60" t="s">
        <v>2209</v>
      </c>
      <c r="P955" t="s">
        <v>755</v>
      </c>
      <c r="Q955" t="s">
        <v>2394</v>
      </c>
    </row>
    <row r="956" spans="1:17" x14ac:dyDescent="0.25">
      <c r="A956" t="s">
        <v>19</v>
      </c>
      <c r="B956">
        <v>141.35</v>
      </c>
      <c r="C956">
        <v>126.3</v>
      </c>
      <c r="D956">
        <v>9.0000999999999998</v>
      </c>
      <c r="E956">
        <v>141.35</v>
      </c>
      <c r="F956">
        <v>130.35</v>
      </c>
      <c r="G956">
        <v>9.0000999999999998</v>
      </c>
      <c r="H956">
        <v>1.2</v>
      </c>
      <c r="I956">
        <v>0.9</v>
      </c>
      <c r="J956">
        <v>1.8184978836478705</v>
      </c>
      <c r="K956">
        <v>1500</v>
      </c>
      <c r="L956">
        <v>0</v>
      </c>
      <c r="N956">
        <v>29</v>
      </c>
      <c r="O956" s="60" t="s">
        <v>2210</v>
      </c>
      <c r="P956" t="s">
        <v>756</v>
      </c>
      <c r="Q956" t="s">
        <v>1944</v>
      </c>
    </row>
    <row r="957" spans="1:17" x14ac:dyDescent="0.25">
      <c r="A957" t="s">
        <v>39</v>
      </c>
      <c r="B957">
        <v>-1.25</v>
      </c>
      <c r="C957">
        <v>2100</v>
      </c>
      <c r="N957">
        <v>29</v>
      </c>
      <c r="O957" s="60" t="s">
        <v>951</v>
      </c>
      <c r="P957" t="s">
        <v>753</v>
      </c>
      <c r="Q957" t="s">
        <v>845</v>
      </c>
    </row>
    <row r="958" spans="1:17" x14ac:dyDescent="0.25">
      <c r="A958" t="s">
        <v>660</v>
      </c>
      <c r="B958">
        <v>0.9</v>
      </c>
      <c r="C958">
        <v>10000</v>
      </c>
      <c r="N958">
        <v>29</v>
      </c>
      <c r="O958" s="60" t="s">
        <v>951</v>
      </c>
      <c r="P958" t="s">
        <v>753</v>
      </c>
      <c r="Q958" t="s">
        <v>837</v>
      </c>
    </row>
    <row r="959" spans="1:17" x14ac:dyDescent="0.25">
      <c r="A959" t="s">
        <v>23</v>
      </c>
      <c r="B959">
        <v>141.35</v>
      </c>
      <c r="C959">
        <v>130.35</v>
      </c>
      <c r="D959">
        <v>9.0000999999999998</v>
      </c>
      <c r="E959">
        <v>141.35</v>
      </c>
      <c r="F959">
        <v>76.349999999999994</v>
      </c>
      <c r="G959">
        <v>9.9001000000000001</v>
      </c>
      <c r="H959">
        <v>0</v>
      </c>
      <c r="I959">
        <v>0</v>
      </c>
      <c r="K959">
        <v>48000</v>
      </c>
      <c r="N959">
        <v>0</v>
      </c>
      <c r="O959" s="60">
        <v>0</v>
      </c>
      <c r="P959" t="s">
        <v>661</v>
      </c>
      <c r="Q959" t="s">
        <v>2211</v>
      </c>
    </row>
    <row r="960" spans="1:17" x14ac:dyDescent="0.25">
      <c r="A960" t="s">
        <v>19</v>
      </c>
      <c r="B960">
        <v>141.35</v>
      </c>
      <c r="C960">
        <v>76.349999999999994</v>
      </c>
      <c r="D960">
        <v>9.9001000000000001</v>
      </c>
      <c r="E960">
        <v>16.349999999999994</v>
      </c>
      <c r="F960">
        <v>76.349999999999994</v>
      </c>
      <c r="G960">
        <v>9.9001000000000001</v>
      </c>
      <c r="H960">
        <v>1.2</v>
      </c>
      <c r="I960">
        <v>0.9</v>
      </c>
      <c r="J960">
        <v>56.126477890366417</v>
      </c>
      <c r="K960">
        <v>1500</v>
      </c>
      <c r="L960">
        <v>0</v>
      </c>
      <c r="N960">
        <v>29</v>
      </c>
      <c r="O960" s="60" t="s">
        <v>2212</v>
      </c>
      <c r="P960" t="s">
        <v>2001</v>
      </c>
      <c r="Q960" t="s">
        <v>2393</v>
      </c>
    </row>
    <row r="961" spans="1:17" x14ac:dyDescent="0.25">
      <c r="A961" t="s">
        <v>19</v>
      </c>
      <c r="B961">
        <v>16.349999999999994</v>
      </c>
      <c r="C961">
        <v>76.349999999999994</v>
      </c>
      <c r="D961">
        <v>9.9001000000000001</v>
      </c>
      <c r="E961">
        <v>16.349999999999994</v>
      </c>
      <c r="F961">
        <v>77.699999999999989</v>
      </c>
      <c r="G961">
        <v>9.9001000000000001</v>
      </c>
      <c r="H961">
        <v>1.2</v>
      </c>
      <c r="I961">
        <v>0.9</v>
      </c>
      <c r="J961">
        <v>0.60616596121595478</v>
      </c>
      <c r="K961">
        <v>1500</v>
      </c>
      <c r="L961">
        <v>0</v>
      </c>
      <c r="N961">
        <v>29</v>
      </c>
      <c r="O961" s="60" t="s">
        <v>2213</v>
      </c>
      <c r="P961" t="s">
        <v>2003</v>
      </c>
      <c r="Q961" t="s">
        <v>876</v>
      </c>
    </row>
    <row r="962" spans="1:17" x14ac:dyDescent="0.25">
      <c r="A962" t="s">
        <v>19</v>
      </c>
      <c r="B962">
        <v>16.349999999999994</v>
      </c>
      <c r="C962">
        <v>77.699999999999989</v>
      </c>
      <c r="D962">
        <v>9.9001000000000001</v>
      </c>
      <c r="E962">
        <v>141.35</v>
      </c>
      <c r="F962">
        <v>77.699999999999989</v>
      </c>
      <c r="G962">
        <v>9.9001000000000001</v>
      </c>
      <c r="H962">
        <v>1.2</v>
      </c>
      <c r="I962">
        <v>0.9</v>
      </c>
      <c r="J962">
        <v>56.126477890366417</v>
      </c>
      <c r="K962">
        <v>1500</v>
      </c>
      <c r="L962">
        <v>0</v>
      </c>
      <c r="N962">
        <v>29</v>
      </c>
      <c r="O962" s="60" t="s">
        <v>2214</v>
      </c>
      <c r="P962" t="s">
        <v>2005</v>
      </c>
      <c r="Q962" t="s">
        <v>2394</v>
      </c>
    </row>
    <row r="963" spans="1:17" x14ac:dyDescent="0.25">
      <c r="A963" t="s">
        <v>19</v>
      </c>
      <c r="B963">
        <v>141.35</v>
      </c>
      <c r="C963">
        <v>77.699999999999989</v>
      </c>
      <c r="D963">
        <v>9.9001000000000001</v>
      </c>
      <c r="E963">
        <v>141.35</v>
      </c>
      <c r="F963">
        <v>81.749999999999986</v>
      </c>
      <c r="G963">
        <v>9.9001000000000001</v>
      </c>
      <c r="H963">
        <v>1.2</v>
      </c>
      <c r="I963">
        <v>0.9</v>
      </c>
      <c r="J963">
        <v>1.8184978836478705</v>
      </c>
      <c r="K963">
        <v>1500</v>
      </c>
      <c r="L963">
        <v>0</v>
      </c>
      <c r="N963">
        <v>29</v>
      </c>
      <c r="O963" s="60" t="s">
        <v>2215</v>
      </c>
      <c r="P963" t="s">
        <v>2007</v>
      </c>
      <c r="Q963" t="s">
        <v>877</v>
      </c>
    </row>
    <row r="964" spans="1:17" x14ac:dyDescent="0.25">
      <c r="A964" t="s">
        <v>19</v>
      </c>
      <c r="B964">
        <v>141.35</v>
      </c>
      <c r="C964">
        <v>81.75</v>
      </c>
      <c r="D964">
        <v>9.9001000000000001</v>
      </c>
      <c r="E964">
        <v>16.349999999999994</v>
      </c>
      <c r="F964">
        <v>81.75</v>
      </c>
      <c r="G964">
        <v>9.9001000000000001</v>
      </c>
      <c r="H964">
        <v>1.2</v>
      </c>
      <c r="I964">
        <v>0.9</v>
      </c>
      <c r="J964">
        <v>56.126477890366417</v>
      </c>
      <c r="K964">
        <v>1500</v>
      </c>
      <c r="L964">
        <v>0</v>
      </c>
      <c r="N964">
        <v>29</v>
      </c>
      <c r="O964" s="60" t="s">
        <v>1548</v>
      </c>
      <c r="P964" t="s">
        <v>805</v>
      </c>
      <c r="Q964" t="s">
        <v>2395</v>
      </c>
    </row>
    <row r="965" spans="1:17" x14ac:dyDescent="0.25">
      <c r="A965" t="s">
        <v>19</v>
      </c>
      <c r="B965">
        <v>16.349999999999994</v>
      </c>
      <c r="C965">
        <v>81.75</v>
      </c>
      <c r="D965">
        <v>9.9001000000000001</v>
      </c>
      <c r="E965">
        <v>16.349999999999994</v>
      </c>
      <c r="F965">
        <v>83.1</v>
      </c>
      <c r="G965">
        <v>9.9001000000000001</v>
      </c>
      <c r="H965">
        <v>1.2</v>
      </c>
      <c r="I965">
        <v>0.9</v>
      </c>
      <c r="J965">
        <v>0.60616596121595478</v>
      </c>
      <c r="K965">
        <v>1500</v>
      </c>
      <c r="L965">
        <v>0</v>
      </c>
      <c r="N965">
        <v>29</v>
      </c>
      <c r="O965" s="60" t="s">
        <v>1549</v>
      </c>
      <c r="P965" t="s">
        <v>806</v>
      </c>
      <c r="Q965" t="s">
        <v>1024</v>
      </c>
    </row>
    <row r="966" spans="1:17" x14ac:dyDescent="0.25">
      <c r="A966" t="s">
        <v>19</v>
      </c>
      <c r="B966">
        <v>16.349999999999994</v>
      </c>
      <c r="C966">
        <v>83.1</v>
      </c>
      <c r="D966">
        <v>9.9001000000000001</v>
      </c>
      <c r="E966">
        <v>141.35</v>
      </c>
      <c r="F966">
        <v>83.1</v>
      </c>
      <c r="G966">
        <v>9.9001000000000001</v>
      </c>
      <c r="H966">
        <v>1.2</v>
      </c>
      <c r="I966">
        <v>0.9</v>
      </c>
      <c r="J966">
        <v>56.126477890366417</v>
      </c>
      <c r="K966">
        <v>1500</v>
      </c>
      <c r="L966">
        <v>0</v>
      </c>
      <c r="N966">
        <v>29</v>
      </c>
      <c r="O966" s="60" t="s">
        <v>1550</v>
      </c>
      <c r="P966" t="s">
        <v>826</v>
      </c>
      <c r="Q966" t="s">
        <v>2394</v>
      </c>
    </row>
    <row r="967" spans="1:17" x14ac:dyDescent="0.25">
      <c r="A967" t="s">
        <v>19</v>
      </c>
      <c r="B967">
        <v>141.35</v>
      </c>
      <c r="C967">
        <v>83.1</v>
      </c>
      <c r="D967">
        <v>9.9001000000000001</v>
      </c>
      <c r="E967">
        <v>141.35</v>
      </c>
      <c r="F967">
        <v>87.149999999999991</v>
      </c>
      <c r="G967">
        <v>9.9001000000000001</v>
      </c>
      <c r="H967">
        <v>1.2</v>
      </c>
      <c r="I967">
        <v>0.9</v>
      </c>
      <c r="J967">
        <v>1.8184978836478705</v>
      </c>
      <c r="K967">
        <v>1500</v>
      </c>
      <c r="L967">
        <v>0</v>
      </c>
      <c r="N967">
        <v>29</v>
      </c>
      <c r="O967" s="60" t="s">
        <v>1551</v>
      </c>
      <c r="P967" t="s">
        <v>761</v>
      </c>
      <c r="Q967" t="s">
        <v>1025</v>
      </c>
    </row>
    <row r="968" spans="1:17" x14ac:dyDescent="0.25">
      <c r="A968" t="s">
        <v>19</v>
      </c>
      <c r="B968">
        <v>141.35</v>
      </c>
      <c r="C968">
        <v>87.149999999999991</v>
      </c>
      <c r="D968">
        <v>9.9001000000000001</v>
      </c>
      <c r="E968">
        <v>16.349999999999994</v>
      </c>
      <c r="F968">
        <v>87.149999999999991</v>
      </c>
      <c r="G968">
        <v>9.9001000000000001</v>
      </c>
      <c r="H968">
        <v>1.2</v>
      </c>
      <c r="I968">
        <v>0.9</v>
      </c>
      <c r="J968">
        <v>56.126477890366417</v>
      </c>
      <c r="K968">
        <v>1500</v>
      </c>
      <c r="L968">
        <v>0</v>
      </c>
      <c r="N968">
        <v>29</v>
      </c>
      <c r="O968" s="60" t="s">
        <v>1552</v>
      </c>
      <c r="P968" t="s">
        <v>805</v>
      </c>
      <c r="Q968" t="s">
        <v>2395</v>
      </c>
    </row>
    <row r="969" spans="1:17" x14ac:dyDescent="0.25">
      <c r="A969" t="s">
        <v>19</v>
      </c>
      <c r="B969">
        <v>16.349999999999994</v>
      </c>
      <c r="C969">
        <v>87.149999999999991</v>
      </c>
      <c r="D969">
        <v>9.9001000000000001</v>
      </c>
      <c r="E969">
        <v>16.349999999999994</v>
      </c>
      <c r="F969">
        <v>88.499999999999986</v>
      </c>
      <c r="G969">
        <v>9.9001000000000001</v>
      </c>
      <c r="H969">
        <v>1.2</v>
      </c>
      <c r="I969">
        <v>0.9</v>
      </c>
      <c r="J969">
        <v>0.60616596121595478</v>
      </c>
      <c r="K969">
        <v>1500</v>
      </c>
      <c r="L969">
        <v>0</v>
      </c>
      <c r="N969">
        <v>29</v>
      </c>
      <c r="O969" s="60" t="s">
        <v>1553</v>
      </c>
      <c r="P969" t="s">
        <v>806</v>
      </c>
      <c r="Q969" t="s">
        <v>1026</v>
      </c>
    </row>
    <row r="970" spans="1:17" x14ac:dyDescent="0.25">
      <c r="A970" t="s">
        <v>19</v>
      </c>
      <c r="B970">
        <v>16.349999999999994</v>
      </c>
      <c r="C970">
        <v>88.499999999999986</v>
      </c>
      <c r="D970">
        <v>9.9001000000000001</v>
      </c>
      <c r="E970">
        <v>141.35</v>
      </c>
      <c r="F970">
        <v>88.499999999999986</v>
      </c>
      <c r="G970">
        <v>9.9001000000000001</v>
      </c>
      <c r="H970">
        <v>1.2</v>
      </c>
      <c r="I970">
        <v>0.9</v>
      </c>
      <c r="J970">
        <v>56.126477890366417</v>
      </c>
      <c r="K970">
        <v>1500</v>
      </c>
      <c r="L970">
        <v>0</v>
      </c>
      <c r="N970">
        <v>29</v>
      </c>
      <c r="O970" s="60" t="s">
        <v>1554</v>
      </c>
      <c r="P970" t="s">
        <v>826</v>
      </c>
      <c r="Q970" t="s">
        <v>2394</v>
      </c>
    </row>
    <row r="971" spans="1:17" x14ac:dyDescent="0.25">
      <c r="A971" t="s">
        <v>19</v>
      </c>
      <c r="B971">
        <v>141.35</v>
      </c>
      <c r="C971">
        <v>88.499999999999986</v>
      </c>
      <c r="D971">
        <v>9.9001000000000001</v>
      </c>
      <c r="E971">
        <v>141.35</v>
      </c>
      <c r="F971">
        <v>92.549999999999983</v>
      </c>
      <c r="G971">
        <v>9.9001000000000001</v>
      </c>
      <c r="H971">
        <v>1.2</v>
      </c>
      <c r="I971">
        <v>0.9</v>
      </c>
      <c r="J971">
        <v>1.8184978836478705</v>
      </c>
      <c r="K971">
        <v>1500</v>
      </c>
      <c r="L971">
        <v>0</v>
      </c>
      <c r="N971">
        <v>29</v>
      </c>
      <c r="O971" s="60" t="s">
        <v>1555</v>
      </c>
      <c r="P971" t="s">
        <v>761</v>
      </c>
      <c r="Q971" t="s">
        <v>1027</v>
      </c>
    </row>
    <row r="972" spans="1:17" x14ac:dyDescent="0.25">
      <c r="A972" t="s">
        <v>19</v>
      </c>
      <c r="B972">
        <v>141.35</v>
      </c>
      <c r="C972">
        <v>92.55</v>
      </c>
      <c r="D972">
        <v>9.9001000000000001</v>
      </c>
      <c r="E972">
        <v>16.349999999999994</v>
      </c>
      <c r="F972">
        <v>92.55</v>
      </c>
      <c r="G972">
        <v>9.9001000000000001</v>
      </c>
      <c r="H972">
        <v>1.2</v>
      </c>
      <c r="I972">
        <v>0.9</v>
      </c>
      <c r="J972">
        <v>56.126477890366417</v>
      </c>
      <c r="K972">
        <v>1500</v>
      </c>
      <c r="L972">
        <v>0</v>
      </c>
      <c r="N972">
        <v>29</v>
      </c>
      <c r="O972" s="60" t="s">
        <v>1556</v>
      </c>
      <c r="P972" t="s">
        <v>805</v>
      </c>
      <c r="Q972" t="s">
        <v>2395</v>
      </c>
    </row>
    <row r="973" spans="1:17" x14ac:dyDescent="0.25">
      <c r="A973" t="s">
        <v>19</v>
      </c>
      <c r="B973">
        <v>16.349999999999994</v>
      </c>
      <c r="C973">
        <v>92.55</v>
      </c>
      <c r="D973">
        <v>9.9001000000000001</v>
      </c>
      <c r="E973">
        <v>16.349999999999994</v>
      </c>
      <c r="F973">
        <v>93.899999999999991</v>
      </c>
      <c r="G973">
        <v>9.9001000000000001</v>
      </c>
      <c r="H973">
        <v>1.2</v>
      </c>
      <c r="I973">
        <v>0.9</v>
      </c>
      <c r="J973">
        <v>0.60616596121595478</v>
      </c>
      <c r="K973">
        <v>1500</v>
      </c>
      <c r="L973">
        <v>0</v>
      </c>
      <c r="N973">
        <v>29</v>
      </c>
      <c r="O973" s="60" t="s">
        <v>1557</v>
      </c>
      <c r="P973" t="s">
        <v>806</v>
      </c>
      <c r="Q973" t="s">
        <v>1028</v>
      </c>
    </row>
    <row r="974" spans="1:17" x14ac:dyDescent="0.25">
      <c r="A974" t="s">
        <v>19</v>
      </c>
      <c r="B974">
        <v>16.349999999999994</v>
      </c>
      <c r="C974">
        <v>93.899999999999991</v>
      </c>
      <c r="D974">
        <v>9.9001000000000001</v>
      </c>
      <c r="E974">
        <v>141.35</v>
      </c>
      <c r="F974">
        <v>93.899999999999991</v>
      </c>
      <c r="G974">
        <v>9.9001000000000001</v>
      </c>
      <c r="H974">
        <v>1.2</v>
      </c>
      <c r="I974">
        <v>0.9</v>
      </c>
      <c r="J974">
        <v>56.126477890366417</v>
      </c>
      <c r="K974">
        <v>1500</v>
      </c>
      <c r="L974">
        <v>0</v>
      </c>
      <c r="N974">
        <v>29</v>
      </c>
      <c r="O974" s="60" t="s">
        <v>1558</v>
      </c>
      <c r="P974" t="s">
        <v>826</v>
      </c>
      <c r="Q974" t="s">
        <v>2394</v>
      </c>
    </row>
    <row r="975" spans="1:17" x14ac:dyDescent="0.25">
      <c r="A975" t="s">
        <v>19</v>
      </c>
      <c r="B975">
        <v>141.35</v>
      </c>
      <c r="C975">
        <v>93.899999999999991</v>
      </c>
      <c r="D975">
        <v>9.9001000000000001</v>
      </c>
      <c r="E975">
        <v>141.35</v>
      </c>
      <c r="F975">
        <v>97.949999999999989</v>
      </c>
      <c r="G975">
        <v>9.9001000000000001</v>
      </c>
      <c r="H975">
        <v>1.2</v>
      </c>
      <c r="I975">
        <v>0.9</v>
      </c>
      <c r="J975">
        <v>1.8184978836478705</v>
      </c>
      <c r="K975">
        <v>1500</v>
      </c>
      <c r="L975">
        <v>0</v>
      </c>
      <c r="N975">
        <v>29</v>
      </c>
      <c r="O975" s="60" t="s">
        <v>1559</v>
      </c>
      <c r="P975" t="s">
        <v>761</v>
      </c>
      <c r="Q975" t="s">
        <v>1029</v>
      </c>
    </row>
    <row r="976" spans="1:17" x14ac:dyDescent="0.25">
      <c r="A976" t="s">
        <v>19</v>
      </c>
      <c r="B976">
        <v>141.35</v>
      </c>
      <c r="C976">
        <v>97.949999999999989</v>
      </c>
      <c r="D976">
        <v>9.9001000000000001</v>
      </c>
      <c r="E976">
        <v>16.349999999999994</v>
      </c>
      <c r="F976">
        <v>97.949999999999989</v>
      </c>
      <c r="G976">
        <v>9.9001000000000001</v>
      </c>
      <c r="H976">
        <v>1.2</v>
      </c>
      <c r="I976">
        <v>0.9</v>
      </c>
      <c r="J976">
        <v>56.126477890366417</v>
      </c>
      <c r="K976">
        <v>1500</v>
      </c>
      <c r="L976">
        <v>0</v>
      </c>
      <c r="N976">
        <v>29</v>
      </c>
      <c r="O976" s="60" t="s">
        <v>1560</v>
      </c>
      <c r="P976" t="s">
        <v>805</v>
      </c>
      <c r="Q976" t="s">
        <v>2395</v>
      </c>
    </row>
    <row r="977" spans="1:17" x14ac:dyDescent="0.25">
      <c r="A977" t="s">
        <v>19</v>
      </c>
      <c r="B977">
        <v>16.349999999999994</v>
      </c>
      <c r="C977">
        <v>97.949999999999989</v>
      </c>
      <c r="D977">
        <v>9.9001000000000001</v>
      </c>
      <c r="E977">
        <v>16.349999999999994</v>
      </c>
      <c r="F977">
        <v>99.299999999999983</v>
      </c>
      <c r="G977">
        <v>9.9001000000000001</v>
      </c>
      <c r="H977">
        <v>1.2</v>
      </c>
      <c r="I977">
        <v>0.9</v>
      </c>
      <c r="J977">
        <v>0.60616596121595478</v>
      </c>
      <c r="K977">
        <v>1500</v>
      </c>
      <c r="L977">
        <v>0</v>
      </c>
      <c r="N977">
        <v>29</v>
      </c>
      <c r="O977" s="60" t="s">
        <v>1561</v>
      </c>
      <c r="P977" t="s">
        <v>806</v>
      </c>
      <c r="Q977" t="s">
        <v>1030</v>
      </c>
    </row>
    <row r="978" spans="1:17" x14ac:dyDescent="0.25">
      <c r="A978" t="s">
        <v>19</v>
      </c>
      <c r="B978">
        <v>16.349999999999994</v>
      </c>
      <c r="C978">
        <v>99.299999999999983</v>
      </c>
      <c r="D978">
        <v>9.9001000000000001</v>
      </c>
      <c r="E978">
        <v>141.35</v>
      </c>
      <c r="F978">
        <v>99.299999999999983</v>
      </c>
      <c r="G978">
        <v>9.9001000000000001</v>
      </c>
      <c r="H978">
        <v>1.2</v>
      </c>
      <c r="I978">
        <v>0.9</v>
      </c>
      <c r="J978">
        <v>56.126477890366417</v>
      </c>
      <c r="K978">
        <v>1500</v>
      </c>
      <c r="L978">
        <v>0</v>
      </c>
      <c r="N978">
        <v>29</v>
      </c>
      <c r="O978" s="60" t="s">
        <v>1562</v>
      </c>
      <c r="P978" t="s">
        <v>826</v>
      </c>
      <c r="Q978" t="s">
        <v>2394</v>
      </c>
    </row>
    <row r="979" spans="1:17" x14ac:dyDescent="0.25">
      <c r="A979" t="s">
        <v>19</v>
      </c>
      <c r="B979">
        <v>141.35</v>
      </c>
      <c r="C979">
        <v>99.299999999999983</v>
      </c>
      <c r="D979">
        <v>9.9001000000000001</v>
      </c>
      <c r="E979">
        <v>141.35</v>
      </c>
      <c r="F979">
        <v>103.35</v>
      </c>
      <c r="G979">
        <v>9.9001000000000001</v>
      </c>
      <c r="H979">
        <v>1.2</v>
      </c>
      <c r="I979">
        <v>0.9</v>
      </c>
      <c r="J979">
        <v>1.8184978836478705</v>
      </c>
      <c r="K979">
        <v>1500</v>
      </c>
      <c r="L979">
        <v>0</v>
      </c>
      <c r="N979">
        <v>29</v>
      </c>
      <c r="O979" s="60" t="s">
        <v>1563</v>
      </c>
      <c r="P979" t="s">
        <v>761</v>
      </c>
      <c r="Q979" t="s">
        <v>1031</v>
      </c>
    </row>
    <row r="980" spans="1:17" x14ac:dyDescent="0.25">
      <c r="A980" t="s">
        <v>19</v>
      </c>
      <c r="B980">
        <v>141.35</v>
      </c>
      <c r="C980">
        <v>103.35</v>
      </c>
      <c r="D980">
        <v>9.9001000000000001</v>
      </c>
      <c r="E980">
        <v>16.349999999999994</v>
      </c>
      <c r="F980">
        <v>103.35</v>
      </c>
      <c r="G980">
        <v>9.9001000000000001</v>
      </c>
      <c r="H980">
        <v>1.2</v>
      </c>
      <c r="I980">
        <v>0.9</v>
      </c>
      <c r="J980">
        <v>56.126477890366417</v>
      </c>
      <c r="K980">
        <v>1500</v>
      </c>
      <c r="L980">
        <v>0</v>
      </c>
      <c r="N980">
        <v>29</v>
      </c>
      <c r="O980" s="60" t="s">
        <v>1564</v>
      </c>
      <c r="P980" t="s">
        <v>805</v>
      </c>
      <c r="Q980" t="s">
        <v>2395</v>
      </c>
    </row>
    <row r="981" spans="1:17" x14ac:dyDescent="0.25">
      <c r="A981" t="s">
        <v>19</v>
      </c>
      <c r="B981">
        <v>16.349999999999994</v>
      </c>
      <c r="C981">
        <v>103.35</v>
      </c>
      <c r="D981">
        <v>9.9001000000000001</v>
      </c>
      <c r="E981">
        <v>16.349999999999994</v>
      </c>
      <c r="F981">
        <v>104.69999999999999</v>
      </c>
      <c r="G981">
        <v>9.9001000000000001</v>
      </c>
      <c r="H981">
        <v>1.2</v>
      </c>
      <c r="I981">
        <v>0.9</v>
      </c>
      <c r="J981">
        <v>0.60616596121595478</v>
      </c>
      <c r="K981">
        <v>1500</v>
      </c>
      <c r="L981">
        <v>0</v>
      </c>
      <c r="N981">
        <v>29</v>
      </c>
      <c r="O981" s="60" t="s">
        <v>1565</v>
      </c>
      <c r="P981" t="s">
        <v>806</v>
      </c>
      <c r="Q981" t="s">
        <v>1032</v>
      </c>
    </row>
    <row r="982" spans="1:17" x14ac:dyDescent="0.25">
      <c r="A982" t="s">
        <v>19</v>
      </c>
      <c r="B982">
        <v>16.349999999999994</v>
      </c>
      <c r="C982">
        <v>104.69999999999999</v>
      </c>
      <c r="D982">
        <v>9.9001000000000001</v>
      </c>
      <c r="E982">
        <v>141.35</v>
      </c>
      <c r="F982">
        <v>104.69999999999999</v>
      </c>
      <c r="G982">
        <v>9.9001000000000001</v>
      </c>
      <c r="H982">
        <v>1.2</v>
      </c>
      <c r="I982">
        <v>0.9</v>
      </c>
      <c r="J982">
        <v>56.126477890366417</v>
      </c>
      <c r="K982">
        <v>1500</v>
      </c>
      <c r="L982">
        <v>0</v>
      </c>
      <c r="N982">
        <v>29</v>
      </c>
      <c r="O982" s="60" t="s">
        <v>1566</v>
      </c>
      <c r="P982" t="s">
        <v>826</v>
      </c>
      <c r="Q982" t="s">
        <v>2394</v>
      </c>
    </row>
    <row r="983" spans="1:17" x14ac:dyDescent="0.25">
      <c r="A983" t="s">
        <v>19</v>
      </c>
      <c r="B983">
        <v>141.35</v>
      </c>
      <c r="C983">
        <v>104.69999999999999</v>
      </c>
      <c r="D983">
        <v>9.9001000000000001</v>
      </c>
      <c r="E983">
        <v>141.35</v>
      </c>
      <c r="F983">
        <v>108.74999999999999</v>
      </c>
      <c r="G983">
        <v>9.9001000000000001</v>
      </c>
      <c r="H983">
        <v>1.2</v>
      </c>
      <c r="I983">
        <v>0.9</v>
      </c>
      <c r="J983">
        <v>1.8184978836478705</v>
      </c>
      <c r="K983">
        <v>1500</v>
      </c>
      <c r="L983">
        <v>0</v>
      </c>
      <c r="N983">
        <v>29</v>
      </c>
      <c r="O983" s="60" t="s">
        <v>1567</v>
      </c>
      <c r="P983" t="s">
        <v>761</v>
      </c>
      <c r="Q983" t="s">
        <v>1033</v>
      </c>
    </row>
    <row r="984" spans="1:17" x14ac:dyDescent="0.25">
      <c r="A984" t="s">
        <v>19</v>
      </c>
      <c r="B984">
        <v>141.35</v>
      </c>
      <c r="C984">
        <v>108.75</v>
      </c>
      <c r="D984">
        <v>9.9001000000000001</v>
      </c>
      <c r="E984">
        <v>16.349999999999994</v>
      </c>
      <c r="F984">
        <v>108.75</v>
      </c>
      <c r="G984">
        <v>9.9001000000000001</v>
      </c>
      <c r="H984">
        <v>1.2</v>
      </c>
      <c r="I984">
        <v>0.9</v>
      </c>
      <c r="J984">
        <v>56.126477890366417</v>
      </c>
      <c r="K984">
        <v>1500</v>
      </c>
      <c r="L984">
        <v>0</v>
      </c>
      <c r="N984">
        <v>29</v>
      </c>
      <c r="O984" s="60" t="s">
        <v>1568</v>
      </c>
      <c r="P984" t="s">
        <v>805</v>
      </c>
      <c r="Q984" t="s">
        <v>2395</v>
      </c>
    </row>
    <row r="985" spans="1:17" x14ac:dyDescent="0.25">
      <c r="A985" t="s">
        <v>19</v>
      </c>
      <c r="B985">
        <v>16.349999999999994</v>
      </c>
      <c r="C985">
        <v>108.75</v>
      </c>
      <c r="D985">
        <v>9.9001000000000001</v>
      </c>
      <c r="E985">
        <v>16.349999999999994</v>
      </c>
      <c r="F985">
        <v>110.1</v>
      </c>
      <c r="G985">
        <v>9.9001000000000001</v>
      </c>
      <c r="H985">
        <v>1.2</v>
      </c>
      <c r="I985">
        <v>0.9</v>
      </c>
      <c r="J985">
        <v>0.60616596121595478</v>
      </c>
      <c r="K985">
        <v>1500</v>
      </c>
      <c r="L985">
        <v>0</v>
      </c>
      <c r="N985">
        <v>29</v>
      </c>
      <c r="O985" s="60" t="s">
        <v>1569</v>
      </c>
      <c r="P985" t="s">
        <v>806</v>
      </c>
      <c r="Q985" t="s">
        <v>1034</v>
      </c>
    </row>
    <row r="986" spans="1:17" x14ac:dyDescent="0.25">
      <c r="A986" t="s">
        <v>19</v>
      </c>
      <c r="B986">
        <v>16.349999999999994</v>
      </c>
      <c r="C986">
        <v>110.1</v>
      </c>
      <c r="D986">
        <v>9.9001000000000001</v>
      </c>
      <c r="E986">
        <v>141.35</v>
      </c>
      <c r="F986">
        <v>110.1</v>
      </c>
      <c r="G986">
        <v>9.9001000000000001</v>
      </c>
      <c r="H986">
        <v>1.2</v>
      </c>
      <c r="I986">
        <v>0.9</v>
      </c>
      <c r="J986">
        <v>56.126477890366417</v>
      </c>
      <c r="K986">
        <v>1500</v>
      </c>
      <c r="L986">
        <v>0</v>
      </c>
      <c r="N986">
        <v>29</v>
      </c>
      <c r="O986" s="60" t="s">
        <v>1570</v>
      </c>
      <c r="P986" t="s">
        <v>826</v>
      </c>
      <c r="Q986" t="s">
        <v>2394</v>
      </c>
    </row>
    <row r="987" spans="1:17" x14ac:dyDescent="0.25">
      <c r="A987" t="s">
        <v>19</v>
      </c>
      <c r="B987">
        <v>141.35</v>
      </c>
      <c r="C987">
        <v>110.1</v>
      </c>
      <c r="D987">
        <v>9.9001000000000001</v>
      </c>
      <c r="E987">
        <v>141.35</v>
      </c>
      <c r="F987">
        <v>114.14999999999999</v>
      </c>
      <c r="G987">
        <v>9.9001000000000001</v>
      </c>
      <c r="H987">
        <v>1.2</v>
      </c>
      <c r="I987">
        <v>0.9</v>
      </c>
      <c r="J987">
        <v>1.8184978836478705</v>
      </c>
      <c r="K987">
        <v>1500</v>
      </c>
      <c r="L987">
        <v>0</v>
      </c>
      <c r="N987">
        <v>29</v>
      </c>
      <c r="O987" s="60" t="s">
        <v>1571</v>
      </c>
      <c r="P987" t="s">
        <v>761</v>
      </c>
      <c r="Q987" t="s">
        <v>1035</v>
      </c>
    </row>
    <row r="988" spans="1:17" x14ac:dyDescent="0.25">
      <c r="A988" t="s">
        <v>19</v>
      </c>
      <c r="B988">
        <v>141.35</v>
      </c>
      <c r="C988">
        <v>114.14999999999999</v>
      </c>
      <c r="D988">
        <v>9.9001000000000001</v>
      </c>
      <c r="E988">
        <v>16.349999999999994</v>
      </c>
      <c r="F988">
        <v>114.14999999999999</v>
      </c>
      <c r="G988">
        <v>9.9001000000000001</v>
      </c>
      <c r="H988">
        <v>1.2</v>
      </c>
      <c r="I988">
        <v>0.9</v>
      </c>
      <c r="J988">
        <v>56.126477890366417</v>
      </c>
      <c r="K988">
        <v>1500</v>
      </c>
      <c r="L988">
        <v>0</v>
      </c>
      <c r="N988">
        <v>29</v>
      </c>
      <c r="O988" s="60" t="s">
        <v>1572</v>
      </c>
      <c r="P988" t="s">
        <v>805</v>
      </c>
      <c r="Q988" t="s">
        <v>2395</v>
      </c>
    </row>
    <row r="989" spans="1:17" x14ac:dyDescent="0.25">
      <c r="A989" t="s">
        <v>19</v>
      </c>
      <c r="B989">
        <v>16.349999999999994</v>
      </c>
      <c r="C989">
        <v>114.14999999999999</v>
      </c>
      <c r="D989">
        <v>9.9001000000000001</v>
      </c>
      <c r="E989">
        <v>16.349999999999994</v>
      </c>
      <c r="F989">
        <v>115.49999999999999</v>
      </c>
      <c r="G989">
        <v>9.9001000000000001</v>
      </c>
      <c r="H989">
        <v>1.2</v>
      </c>
      <c r="I989">
        <v>0.9</v>
      </c>
      <c r="J989">
        <v>0.60616596121595478</v>
      </c>
      <c r="K989">
        <v>1500</v>
      </c>
      <c r="L989">
        <v>0</v>
      </c>
      <c r="N989">
        <v>29</v>
      </c>
      <c r="O989" s="60" t="s">
        <v>1573</v>
      </c>
      <c r="P989" t="s">
        <v>806</v>
      </c>
      <c r="Q989" t="s">
        <v>1036</v>
      </c>
    </row>
    <row r="990" spans="1:17" x14ac:dyDescent="0.25">
      <c r="A990" t="s">
        <v>19</v>
      </c>
      <c r="B990">
        <v>16.349999999999994</v>
      </c>
      <c r="C990">
        <v>115.49999999999999</v>
      </c>
      <c r="D990">
        <v>9.9001000000000001</v>
      </c>
      <c r="E990">
        <v>141.35</v>
      </c>
      <c r="F990">
        <v>115.49999999999999</v>
      </c>
      <c r="G990">
        <v>9.9001000000000001</v>
      </c>
      <c r="H990">
        <v>1.2</v>
      </c>
      <c r="I990">
        <v>0.9</v>
      </c>
      <c r="J990">
        <v>56.126477890366417</v>
      </c>
      <c r="K990">
        <v>1500</v>
      </c>
      <c r="L990">
        <v>0</v>
      </c>
      <c r="N990">
        <v>29</v>
      </c>
      <c r="O990" s="60" t="s">
        <v>1574</v>
      </c>
      <c r="P990" t="s">
        <v>826</v>
      </c>
      <c r="Q990" t="s">
        <v>2394</v>
      </c>
    </row>
    <row r="991" spans="1:17" x14ac:dyDescent="0.25">
      <c r="A991" t="s">
        <v>19</v>
      </c>
      <c r="B991">
        <v>141.35</v>
      </c>
      <c r="C991">
        <v>115.49999999999999</v>
      </c>
      <c r="D991">
        <v>9.9001000000000001</v>
      </c>
      <c r="E991">
        <v>141.35</v>
      </c>
      <c r="F991">
        <v>119.54999999999998</v>
      </c>
      <c r="G991">
        <v>9.9001000000000001</v>
      </c>
      <c r="H991">
        <v>1.2</v>
      </c>
      <c r="I991">
        <v>0.9</v>
      </c>
      <c r="J991">
        <v>1.8184978836478705</v>
      </c>
      <c r="K991">
        <v>1500</v>
      </c>
      <c r="L991">
        <v>0</v>
      </c>
      <c r="N991">
        <v>29</v>
      </c>
      <c r="O991" s="60" t="s">
        <v>1575</v>
      </c>
      <c r="P991" t="s">
        <v>761</v>
      </c>
      <c r="Q991" t="s">
        <v>1037</v>
      </c>
    </row>
    <row r="992" spans="1:17" x14ac:dyDescent="0.25">
      <c r="A992" t="s">
        <v>19</v>
      </c>
      <c r="B992">
        <v>141.35</v>
      </c>
      <c r="C992">
        <v>119.55</v>
      </c>
      <c r="D992">
        <v>9.9001000000000001</v>
      </c>
      <c r="E992">
        <v>16.349999999999994</v>
      </c>
      <c r="F992">
        <v>119.55</v>
      </c>
      <c r="G992">
        <v>9.9001000000000001</v>
      </c>
      <c r="H992">
        <v>1.2</v>
      </c>
      <c r="I992">
        <v>0.9</v>
      </c>
      <c r="J992">
        <v>56.126477890366417</v>
      </c>
      <c r="K992">
        <v>1500</v>
      </c>
      <c r="L992">
        <v>0</v>
      </c>
      <c r="N992">
        <v>29</v>
      </c>
      <c r="O992" s="60" t="s">
        <v>2216</v>
      </c>
      <c r="P992" t="s">
        <v>805</v>
      </c>
      <c r="Q992" t="s">
        <v>2395</v>
      </c>
    </row>
    <row r="993" spans="1:17" x14ac:dyDescent="0.25">
      <c r="A993" t="s">
        <v>19</v>
      </c>
      <c r="B993">
        <v>16.349999999999994</v>
      </c>
      <c r="C993">
        <v>119.55</v>
      </c>
      <c r="D993">
        <v>9.9001000000000001</v>
      </c>
      <c r="E993">
        <v>16.349999999999994</v>
      </c>
      <c r="F993">
        <v>120.89999999999999</v>
      </c>
      <c r="G993">
        <v>9.9001000000000001</v>
      </c>
      <c r="H993">
        <v>1.2</v>
      </c>
      <c r="I993">
        <v>0.9</v>
      </c>
      <c r="J993">
        <v>0.60616596121595478</v>
      </c>
      <c r="K993">
        <v>1500</v>
      </c>
      <c r="L993">
        <v>0</v>
      </c>
      <c r="N993">
        <v>29</v>
      </c>
      <c r="O993" s="60" t="s">
        <v>2217</v>
      </c>
      <c r="P993" t="s">
        <v>806</v>
      </c>
      <c r="Q993" t="s">
        <v>1935</v>
      </c>
    </row>
    <row r="994" spans="1:17" x14ac:dyDescent="0.25">
      <c r="A994" t="s">
        <v>19</v>
      </c>
      <c r="B994">
        <v>16.349999999999994</v>
      </c>
      <c r="C994">
        <v>120.89999999999999</v>
      </c>
      <c r="D994">
        <v>9.9001000000000001</v>
      </c>
      <c r="E994">
        <v>141.35</v>
      </c>
      <c r="F994">
        <v>120.89999999999999</v>
      </c>
      <c r="G994">
        <v>9.9001000000000001</v>
      </c>
      <c r="H994">
        <v>1.2</v>
      </c>
      <c r="I994">
        <v>0.9</v>
      </c>
      <c r="J994">
        <v>56.126477890366417</v>
      </c>
      <c r="K994">
        <v>1500</v>
      </c>
      <c r="L994">
        <v>0</v>
      </c>
      <c r="N994">
        <v>29</v>
      </c>
      <c r="O994" s="60" t="s">
        <v>2218</v>
      </c>
      <c r="P994" t="s">
        <v>826</v>
      </c>
      <c r="Q994" t="s">
        <v>2394</v>
      </c>
    </row>
    <row r="995" spans="1:17" x14ac:dyDescent="0.25">
      <c r="A995" t="s">
        <v>19</v>
      </c>
      <c r="B995">
        <v>141.35</v>
      </c>
      <c r="C995">
        <v>120.89999999999999</v>
      </c>
      <c r="D995">
        <v>9.9001000000000001</v>
      </c>
      <c r="E995">
        <v>141.35</v>
      </c>
      <c r="F995">
        <v>124.94999999999999</v>
      </c>
      <c r="G995">
        <v>9.9001000000000001</v>
      </c>
      <c r="H995">
        <v>1.2</v>
      </c>
      <c r="I995">
        <v>0.9</v>
      </c>
      <c r="J995">
        <v>1.8184978836478705</v>
      </c>
      <c r="K995">
        <v>1500</v>
      </c>
      <c r="L995">
        <v>0</v>
      </c>
      <c r="N995">
        <v>29</v>
      </c>
      <c r="O995" s="60" t="s">
        <v>2219</v>
      </c>
      <c r="P995" t="s">
        <v>761</v>
      </c>
      <c r="Q995" t="s">
        <v>1938</v>
      </c>
    </row>
    <row r="996" spans="1:17" x14ac:dyDescent="0.25">
      <c r="A996" t="s">
        <v>19</v>
      </c>
      <c r="B996">
        <v>141.35</v>
      </c>
      <c r="C996">
        <v>124.95</v>
      </c>
      <c r="D996">
        <v>9.9001000000000001</v>
      </c>
      <c r="E996">
        <v>16.349999999999994</v>
      </c>
      <c r="F996">
        <v>124.95</v>
      </c>
      <c r="G996">
        <v>9.9001000000000001</v>
      </c>
      <c r="H996">
        <v>1.2</v>
      </c>
      <c r="I996">
        <v>0.9</v>
      </c>
      <c r="J996">
        <v>56.126477890366417</v>
      </c>
      <c r="K996">
        <v>1500</v>
      </c>
      <c r="L996">
        <v>0</v>
      </c>
      <c r="N996">
        <v>29</v>
      </c>
      <c r="O996" s="60" t="s">
        <v>2220</v>
      </c>
      <c r="P996" t="s">
        <v>805</v>
      </c>
      <c r="Q996" t="s">
        <v>2395</v>
      </c>
    </row>
    <row r="997" spans="1:17" x14ac:dyDescent="0.25">
      <c r="A997" t="s">
        <v>19</v>
      </c>
      <c r="B997">
        <v>16.349999999999994</v>
      </c>
      <c r="C997">
        <v>124.95</v>
      </c>
      <c r="D997">
        <v>9.9001000000000001</v>
      </c>
      <c r="E997">
        <v>16.349999999999994</v>
      </c>
      <c r="F997">
        <v>126.3</v>
      </c>
      <c r="G997">
        <v>9.9001000000000001</v>
      </c>
      <c r="H997">
        <v>1.2</v>
      </c>
      <c r="I997">
        <v>0.9</v>
      </c>
      <c r="J997">
        <v>0.60616596121595478</v>
      </c>
      <c r="K997">
        <v>1500</v>
      </c>
      <c r="L997">
        <v>0</v>
      </c>
      <c r="N997">
        <v>29</v>
      </c>
      <c r="O997" s="60" t="s">
        <v>2221</v>
      </c>
      <c r="P997" t="s">
        <v>806</v>
      </c>
      <c r="Q997" t="s">
        <v>1941</v>
      </c>
    </row>
    <row r="998" spans="1:17" x14ac:dyDescent="0.25">
      <c r="A998" t="s">
        <v>19</v>
      </c>
      <c r="B998">
        <v>16.349999999999994</v>
      </c>
      <c r="C998">
        <v>126.3</v>
      </c>
      <c r="D998">
        <v>9.9001000000000001</v>
      </c>
      <c r="E998">
        <v>141.35</v>
      </c>
      <c r="F998">
        <v>126.3</v>
      </c>
      <c r="G998">
        <v>9.9001000000000001</v>
      </c>
      <c r="H998">
        <v>1.2</v>
      </c>
      <c r="I998">
        <v>0.9</v>
      </c>
      <c r="J998">
        <v>56.126477890366417</v>
      </c>
      <c r="K998">
        <v>1500</v>
      </c>
      <c r="L998">
        <v>0</v>
      </c>
      <c r="N998">
        <v>29</v>
      </c>
      <c r="O998" s="60" t="s">
        <v>2222</v>
      </c>
      <c r="P998" t="s">
        <v>826</v>
      </c>
      <c r="Q998" t="s">
        <v>2394</v>
      </c>
    </row>
    <row r="999" spans="1:17" x14ac:dyDescent="0.25">
      <c r="A999" t="s">
        <v>19</v>
      </c>
      <c r="B999">
        <v>141.35</v>
      </c>
      <c r="C999">
        <v>126.3</v>
      </c>
      <c r="D999">
        <v>9.9001000000000001</v>
      </c>
      <c r="E999">
        <v>141.35</v>
      </c>
      <c r="F999">
        <v>130.35</v>
      </c>
      <c r="G999">
        <v>9.9001000000000001</v>
      </c>
      <c r="H999">
        <v>1.2</v>
      </c>
      <c r="I999">
        <v>0.9</v>
      </c>
      <c r="J999">
        <v>1.8184978836478705</v>
      </c>
      <c r="K999">
        <v>1500</v>
      </c>
      <c r="L999">
        <v>0</v>
      </c>
      <c r="N999">
        <v>29</v>
      </c>
      <c r="O999" s="60" t="s">
        <v>2223</v>
      </c>
      <c r="P999" t="s">
        <v>761</v>
      </c>
      <c r="Q999" t="s">
        <v>1944</v>
      </c>
    </row>
    <row r="1000" spans="1:17" x14ac:dyDescent="0.25">
      <c r="A1000" t="s">
        <v>49</v>
      </c>
      <c r="B1000" t="s">
        <v>811</v>
      </c>
      <c r="N1000">
        <v>29</v>
      </c>
      <c r="O1000" s="60" t="s">
        <v>952</v>
      </c>
      <c r="P1000" t="s">
        <v>759</v>
      </c>
      <c r="Q1000" t="s">
        <v>811</v>
      </c>
    </row>
    <row r="1001" spans="1:17" x14ac:dyDescent="0.25">
      <c r="A1001" t="s">
        <v>49</v>
      </c>
      <c r="B1001" t="s">
        <v>203</v>
      </c>
      <c r="C1001">
        <v>0</v>
      </c>
      <c r="N1001">
        <v>29</v>
      </c>
      <c r="O1001" s="60" t="s">
        <v>953</v>
      </c>
      <c r="P1001" t="s">
        <v>764</v>
      </c>
      <c r="Q1001" t="s">
        <v>467</v>
      </c>
    </row>
    <row r="1002" spans="1:17" x14ac:dyDescent="0.25">
      <c r="A1002" t="s">
        <v>49</v>
      </c>
      <c r="B1002" t="s">
        <v>634</v>
      </c>
      <c r="N1002">
        <v>29</v>
      </c>
      <c r="O1002" s="60" t="s">
        <v>954</v>
      </c>
      <c r="P1002" t="s">
        <v>813</v>
      </c>
      <c r="Q1002" t="s">
        <v>634</v>
      </c>
    </row>
    <row r="1003" spans="1:17" x14ac:dyDescent="0.25">
      <c r="A1003" t="s">
        <v>23</v>
      </c>
      <c r="B1003">
        <v>141.35</v>
      </c>
      <c r="C1003">
        <v>130.35</v>
      </c>
      <c r="D1003">
        <v>9.9001000000000001</v>
      </c>
      <c r="E1003">
        <v>15</v>
      </c>
      <c r="F1003">
        <v>75</v>
      </c>
      <c r="G1003">
        <v>9.9</v>
      </c>
      <c r="H1003">
        <v>0</v>
      </c>
      <c r="I1003">
        <v>0</v>
      </c>
      <c r="K1003">
        <v>48000</v>
      </c>
      <c r="N1003">
        <v>0</v>
      </c>
      <c r="O1003" s="60">
        <v>0</v>
      </c>
      <c r="P1003" t="s">
        <v>661</v>
      </c>
      <c r="Q1003" t="s">
        <v>2224</v>
      </c>
    </row>
    <row r="1004" spans="1:17" x14ac:dyDescent="0.25">
      <c r="A1004" t="s">
        <v>19</v>
      </c>
      <c r="B1004">
        <v>15</v>
      </c>
      <c r="C1004">
        <v>75</v>
      </c>
      <c r="D1004">
        <v>9.9</v>
      </c>
      <c r="E1004">
        <v>15</v>
      </c>
      <c r="F1004">
        <v>79.05</v>
      </c>
      <c r="G1004">
        <v>9.9</v>
      </c>
      <c r="H1004">
        <v>1.2</v>
      </c>
      <c r="I1004">
        <v>0.9</v>
      </c>
      <c r="J1004">
        <v>1.8184978836478705</v>
      </c>
      <c r="K1004">
        <v>1500</v>
      </c>
      <c r="L1004">
        <v>0</v>
      </c>
      <c r="N1004">
        <v>29</v>
      </c>
      <c r="O1004" s="60" t="s">
        <v>2225</v>
      </c>
      <c r="P1004" t="s">
        <v>2018</v>
      </c>
      <c r="Q1004" t="s">
        <v>879</v>
      </c>
    </row>
    <row r="1005" spans="1:17" x14ac:dyDescent="0.25">
      <c r="A1005" t="s">
        <v>19</v>
      </c>
      <c r="B1005">
        <v>15</v>
      </c>
      <c r="C1005">
        <v>79.05</v>
      </c>
      <c r="D1005">
        <v>9.9</v>
      </c>
      <c r="E1005">
        <v>140</v>
      </c>
      <c r="F1005">
        <v>79.05</v>
      </c>
      <c r="G1005">
        <v>9.9</v>
      </c>
      <c r="H1005">
        <v>1.2</v>
      </c>
      <c r="I1005">
        <v>0.9</v>
      </c>
      <c r="J1005">
        <v>56.126477890366417</v>
      </c>
      <c r="K1005">
        <v>1500</v>
      </c>
      <c r="L1005">
        <v>0</v>
      </c>
      <c r="N1005">
        <v>29</v>
      </c>
      <c r="O1005" s="60" t="s">
        <v>2226</v>
      </c>
      <c r="P1005" t="s">
        <v>2020</v>
      </c>
      <c r="Q1005" t="s">
        <v>2396</v>
      </c>
    </row>
    <row r="1006" spans="1:17" x14ac:dyDescent="0.25">
      <c r="A1006" t="s">
        <v>19</v>
      </c>
      <c r="B1006">
        <v>140</v>
      </c>
      <c r="C1006">
        <v>79.05</v>
      </c>
      <c r="D1006">
        <v>9.9</v>
      </c>
      <c r="E1006">
        <v>140</v>
      </c>
      <c r="F1006">
        <v>80.399999999999991</v>
      </c>
      <c r="G1006">
        <v>9.9</v>
      </c>
      <c r="H1006">
        <v>1.2</v>
      </c>
      <c r="I1006">
        <v>0.9</v>
      </c>
      <c r="J1006">
        <v>0.60616596121595478</v>
      </c>
      <c r="K1006">
        <v>1500</v>
      </c>
      <c r="L1006">
        <v>0</v>
      </c>
      <c r="N1006">
        <v>29</v>
      </c>
      <c r="O1006" s="60" t="s">
        <v>2227</v>
      </c>
      <c r="P1006" t="s">
        <v>2022</v>
      </c>
      <c r="Q1006" t="s">
        <v>880</v>
      </c>
    </row>
    <row r="1007" spans="1:17" x14ac:dyDescent="0.25">
      <c r="A1007" t="s">
        <v>19</v>
      </c>
      <c r="B1007">
        <v>140</v>
      </c>
      <c r="C1007">
        <v>80.399999999999991</v>
      </c>
      <c r="D1007">
        <v>9.9</v>
      </c>
      <c r="E1007">
        <v>15</v>
      </c>
      <c r="F1007">
        <v>80.399999999999991</v>
      </c>
      <c r="G1007">
        <v>9.9</v>
      </c>
      <c r="H1007">
        <v>1.2</v>
      </c>
      <c r="I1007">
        <v>0.9</v>
      </c>
      <c r="J1007">
        <v>56.126477890366417</v>
      </c>
      <c r="K1007">
        <v>1500</v>
      </c>
      <c r="L1007">
        <v>0</v>
      </c>
      <c r="N1007">
        <v>29</v>
      </c>
      <c r="O1007" s="60" t="s">
        <v>2228</v>
      </c>
      <c r="P1007" t="s">
        <v>2024</v>
      </c>
      <c r="Q1007" t="s">
        <v>2397</v>
      </c>
    </row>
    <row r="1008" spans="1:17" x14ac:dyDescent="0.25">
      <c r="A1008" t="s">
        <v>19</v>
      </c>
      <c r="B1008">
        <v>15</v>
      </c>
      <c r="C1008">
        <v>80.400000000000006</v>
      </c>
      <c r="D1008">
        <v>9.9</v>
      </c>
      <c r="E1008">
        <v>15</v>
      </c>
      <c r="F1008">
        <v>84.45</v>
      </c>
      <c r="G1008">
        <v>9.9</v>
      </c>
      <c r="H1008">
        <v>1.2</v>
      </c>
      <c r="I1008">
        <v>0.9</v>
      </c>
      <c r="J1008">
        <v>1.8184978836478705</v>
      </c>
      <c r="K1008">
        <v>1500</v>
      </c>
      <c r="L1008">
        <v>0</v>
      </c>
      <c r="N1008">
        <v>29</v>
      </c>
      <c r="O1008" s="60" t="s">
        <v>1576</v>
      </c>
      <c r="P1008" t="s">
        <v>827</v>
      </c>
      <c r="Q1008" t="s">
        <v>1065</v>
      </c>
    </row>
    <row r="1009" spans="1:17" x14ac:dyDescent="0.25">
      <c r="A1009" t="s">
        <v>19</v>
      </c>
      <c r="B1009">
        <v>15</v>
      </c>
      <c r="C1009">
        <v>84.45</v>
      </c>
      <c r="D1009">
        <v>9.9</v>
      </c>
      <c r="E1009">
        <v>140</v>
      </c>
      <c r="F1009">
        <v>84.45</v>
      </c>
      <c r="G1009">
        <v>9.9</v>
      </c>
      <c r="H1009">
        <v>1.2</v>
      </c>
      <c r="I1009">
        <v>0.9</v>
      </c>
      <c r="J1009">
        <v>56.126477890366417</v>
      </c>
      <c r="K1009">
        <v>1500</v>
      </c>
      <c r="L1009">
        <v>0</v>
      </c>
      <c r="N1009">
        <v>29</v>
      </c>
      <c r="O1009" s="60" t="s">
        <v>1577</v>
      </c>
      <c r="P1009" t="s">
        <v>828</v>
      </c>
      <c r="Q1009" t="s">
        <v>2396</v>
      </c>
    </row>
    <row r="1010" spans="1:17" x14ac:dyDescent="0.25">
      <c r="A1010" t="s">
        <v>19</v>
      </c>
      <c r="B1010">
        <v>140</v>
      </c>
      <c r="C1010">
        <v>84.45</v>
      </c>
      <c r="D1010">
        <v>9.9</v>
      </c>
      <c r="E1010">
        <v>140</v>
      </c>
      <c r="F1010">
        <v>85.8</v>
      </c>
      <c r="G1010">
        <v>9.9</v>
      </c>
      <c r="H1010">
        <v>1.2</v>
      </c>
      <c r="I1010">
        <v>0.9</v>
      </c>
      <c r="J1010">
        <v>0.60616596121595478</v>
      </c>
      <c r="K1010">
        <v>1500</v>
      </c>
      <c r="L1010">
        <v>0</v>
      </c>
      <c r="N1010">
        <v>29</v>
      </c>
      <c r="O1010" s="60" t="s">
        <v>1578</v>
      </c>
      <c r="P1010" t="s">
        <v>829</v>
      </c>
      <c r="Q1010" t="s">
        <v>1066</v>
      </c>
    </row>
    <row r="1011" spans="1:17" x14ac:dyDescent="0.25">
      <c r="A1011" t="s">
        <v>19</v>
      </c>
      <c r="B1011">
        <v>140</v>
      </c>
      <c r="C1011">
        <v>85.8</v>
      </c>
      <c r="D1011">
        <v>9.9</v>
      </c>
      <c r="E1011">
        <v>15</v>
      </c>
      <c r="F1011">
        <v>85.8</v>
      </c>
      <c r="G1011">
        <v>9.9</v>
      </c>
      <c r="H1011">
        <v>1.2</v>
      </c>
      <c r="I1011">
        <v>0.9</v>
      </c>
      <c r="J1011">
        <v>56.126477890366417</v>
      </c>
      <c r="K1011">
        <v>1500</v>
      </c>
      <c r="L1011">
        <v>0</v>
      </c>
      <c r="N1011">
        <v>29</v>
      </c>
      <c r="O1011" s="60" t="s">
        <v>1579</v>
      </c>
      <c r="P1011" t="s">
        <v>814</v>
      </c>
      <c r="Q1011" t="s">
        <v>2397</v>
      </c>
    </row>
    <row r="1012" spans="1:17" x14ac:dyDescent="0.25">
      <c r="A1012" t="s">
        <v>19</v>
      </c>
      <c r="B1012">
        <v>15</v>
      </c>
      <c r="C1012">
        <v>85.8</v>
      </c>
      <c r="D1012">
        <v>9.9</v>
      </c>
      <c r="E1012">
        <v>15</v>
      </c>
      <c r="F1012">
        <v>89.85</v>
      </c>
      <c r="G1012">
        <v>9.9</v>
      </c>
      <c r="H1012">
        <v>1.2</v>
      </c>
      <c r="I1012">
        <v>0.9</v>
      </c>
      <c r="J1012">
        <v>1.8184978836478705</v>
      </c>
      <c r="K1012">
        <v>1500</v>
      </c>
      <c r="L1012">
        <v>0</v>
      </c>
      <c r="N1012">
        <v>29</v>
      </c>
      <c r="O1012" s="60" t="s">
        <v>1580</v>
      </c>
      <c r="P1012" t="s">
        <v>827</v>
      </c>
      <c r="Q1012" t="s">
        <v>1067</v>
      </c>
    </row>
    <row r="1013" spans="1:17" x14ac:dyDescent="0.25">
      <c r="A1013" t="s">
        <v>19</v>
      </c>
      <c r="B1013">
        <v>15</v>
      </c>
      <c r="C1013">
        <v>89.85</v>
      </c>
      <c r="D1013">
        <v>9.9</v>
      </c>
      <c r="E1013">
        <v>140</v>
      </c>
      <c r="F1013">
        <v>89.85</v>
      </c>
      <c r="G1013">
        <v>9.9</v>
      </c>
      <c r="H1013">
        <v>1.2</v>
      </c>
      <c r="I1013">
        <v>0.9</v>
      </c>
      <c r="J1013">
        <v>56.126477890366417</v>
      </c>
      <c r="K1013">
        <v>1500</v>
      </c>
      <c r="L1013">
        <v>0</v>
      </c>
      <c r="N1013">
        <v>29</v>
      </c>
      <c r="O1013" s="60" t="s">
        <v>1581</v>
      </c>
      <c r="P1013" t="s">
        <v>828</v>
      </c>
      <c r="Q1013" t="s">
        <v>2396</v>
      </c>
    </row>
    <row r="1014" spans="1:17" x14ac:dyDescent="0.25">
      <c r="A1014" t="s">
        <v>19</v>
      </c>
      <c r="B1014">
        <v>140</v>
      </c>
      <c r="C1014">
        <v>89.85</v>
      </c>
      <c r="D1014">
        <v>9.9</v>
      </c>
      <c r="E1014">
        <v>140</v>
      </c>
      <c r="F1014">
        <v>91.199999999999989</v>
      </c>
      <c r="G1014">
        <v>9.9</v>
      </c>
      <c r="H1014">
        <v>1.2</v>
      </c>
      <c r="I1014">
        <v>0.9</v>
      </c>
      <c r="J1014">
        <v>0.60616596121595478</v>
      </c>
      <c r="K1014">
        <v>1500</v>
      </c>
      <c r="L1014">
        <v>0</v>
      </c>
      <c r="N1014">
        <v>29</v>
      </c>
      <c r="O1014" s="60" t="s">
        <v>1582</v>
      </c>
      <c r="P1014" t="s">
        <v>829</v>
      </c>
      <c r="Q1014" t="s">
        <v>1068</v>
      </c>
    </row>
    <row r="1015" spans="1:17" x14ac:dyDescent="0.25">
      <c r="A1015" t="s">
        <v>19</v>
      </c>
      <c r="B1015">
        <v>140</v>
      </c>
      <c r="C1015">
        <v>91.199999999999989</v>
      </c>
      <c r="D1015">
        <v>9.9</v>
      </c>
      <c r="E1015">
        <v>15</v>
      </c>
      <c r="F1015">
        <v>91.199999999999989</v>
      </c>
      <c r="G1015">
        <v>9.9</v>
      </c>
      <c r="H1015">
        <v>1.2</v>
      </c>
      <c r="I1015">
        <v>0.9</v>
      </c>
      <c r="J1015">
        <v>56.126477890366417</v>
      </c>
      <c r="K1015">
        <v>1500</v>
      </c>
      <c r="L1015">
        <v>0</v>
      </c>
      <c r="N1015">
        <v>29</v>
      </c>
      <c r="O1015" s="60" t="s">
        <v>1583</v>
      </c>
      <c r="P1015" t="s">
        <v>814</v>
      </c>
      <c r="Q1015" t="s">
        <v>2397</v>
      </c>
    </row>
    <row r="1016" spans="1:17" x14ac:dyDescent="0.25">
      <c r="A1016" t="s">
        <v>19</v>
      </c>
      <c r="B1016">
        <v>15</v>
      </c>
      <c r="C1016">
        <v>91.2</v>
      </c>
      <c r="D1016">
        <v>9.9</v>
      </c>
      <c r="E1016">
        <v>15</v>
      </c>
      <c r="F1016">
        <v>95.25</v>
      </c>
      <c r="G1016">
        <v>9.9</v>
      </c>
      <c r="H1016">
        <v>1.2</v>
      </c>
      <c r="I1016">
        <v>0.9</v>
      </c>
      <c r="J1016">
        <v>1.8184978836478705</v>
      </c>
      <c r="K1016">
        <v>1500</v>
      </c>
      <c r="L1016">
        <v>0</v>
      </c>
      <c r="N1016">
        <v>29</v>
      </c>
      <c r="O1016" s="60" t="s">
        <v>1584</v>
      </c>
      <c r="P1016" t="s">
        <v>827</v>
      </c>
      <c r="Q1016" t="s">
        <v>1069</v>
      </c>
    </row>
    <row r="1017" spans="1:17" x14ac:dyDescent="0.25">
      <c r="A1017" t="s">
        <v>19</v>
      </c>
      <c r="B1017">
        <v>15</v>
      </c>
      <c r="C1017">
        <v>95.25</v>
      </c>
      <c r="D1017">
        <v>9.9</v>
      </c>
      <c r="E1017">
        <v>140</v>
      </c>
      <c r="F1017">
        <v>95.25</v>
      </c>
      <c r="G1017">
        <v>9.9</v>
      </c>
      <c r="H1017">
        <v>1.2</v>
      </c>
      <c r="I1017">
        <v>0.9</v>
      </c>
      <c r="J1017">
        <v>56.126477890366417</v>
      </c>
      <c r="K1017">
        <v>1500</v>
      </c>
      <c r="L1017">
        <v>0</v>
      </c>
      <c r="N1017">
        <v>29</v>
      </c>
      <c r="O1017" s="60" t="s">
        <v>1585</v>
      </c>
      <c r="P1017" t="s">
        <v>828</v>
      </c>
      <c r="Q1017" t="s">
        <v>2396</v>
      </c>
    </row>
    <row r="1018" spans="1:17" x14ac:dyDescent="0.25">
      <c r="A1018" t="s">
        <v>19</v>
      </c>
      <c r="B1018">
        <v>140</v>
      </c>
      <c r="C1018">
        <v>95.25</v>
      </c>
      <c r="D1018">
        <v>9.9</v>
      </c>
      <c r="E1018">
        <v>140</v>
      </c>
      <c r="F1018">
        <v>96.6</v>
      </c>
      <c r="G1018">
        <v>9.9</v>
      </c>
      <c r="H1018">
        <v>1.2</v>
      </c>
      <c r="I1018">
        <v>0.9</v>
      </c>
      <c r="J1018">
        <v>0.60616596121595478</v>
      </c>
      <c r="K1018">
        <v>1500</v>
      </c>
      <c r="L1018">
        <v>0</v>
      </c>
      <c r="N1018">
        <v>29</v>
      </c>
      <c r="O1018" s="60" t="s">
        <v>1586</v>
      </c>
      <c r="P1018" t="s">
        <v>829</v>
      </c>
      <c r="Q1018" t="s">
        <v>1070</v>
      </c>
    </row>
    <row r="1019" spans="1:17" x14ac:dyDescent="0.25">
      <c r="A1019" t="s">
        <v>19</v>
      </c>
      <c r="B1019">
        <v>140</v>
      </c>
      <c r="C1019">
        <v>96.6</v>
      </c>
      <c r="D1019">
        <v>9.9</v>
      </c>
      <c r="E1019">
        <v>15</v>
      </c>
      <c r="F1019">
        <v>96.6</v>
      </c>
      <c r="G1019">
        <v>9.9</v>
      </c>
      <c r="H1019">
        <v>1.2</v>
      </c>
      <c r="I1019">
        <v>0.9</v>
      </c>
      <c r="J1019">
        <v>56.126477890366417</v>
      </c>
      <c r="K1019">
        <v>1500</v>
      </c>
      <c r="L1019">
        <v>0</v>
      </c>
      <c r="N1019">
        <v>29</v>
      </c>
      <c r="O1019" s="60" t="s">
        <v>1587</v>
      </c>
      <c r="P1019" t="s">
        <v>814</v>
      </c>
      <c r="Q1019" t="s">
        <v>2397</v>
      </c>
    </row>
    <row r="1020" spans="1:17" x14ac:dyDescent="0.25">
      <c r="A1020" t="s">
        <v>19</v>
      </c>
      <c r="B1020">
        <v>15</v>
      </c>
      <c r="C1020">
        <v>96.6</v>
      </c>
      <c r="D1020">
        <v>9.9</v>
      </c>
      <c r="E1020">
        <v>15</v>
      </c>
      <c r="F1020">
        <v>100.65</v>
      </c>
      <c r="G1020">
        <v>9.9</v>
      </c>
      <c r="H1020">
        <v>1.2</v>
      </c>
      <c r="I1020">
        <v>0.9</v>
      </c>
      <c r="J1020">
        <v>1.8184978836478705</v>
      </c>
      <c r="K1020">
        <v>1500</v>
      </c>
      <c r="L1020">
        <v>0</v>
      </c>
      <c r="N1020">
        <v>29</v>
      </c>
      <c r="O1020" s="60" t="s">
        <v>1588</v>
      </c>
      <c r="P1020" t="s">
        <v>827</v>
      </c>
      <c r="Q1020" t="s">
        <v>1071</v>
      </c>
    </row>
    <row r="1021" spans="1:17" x14ac:dyDescent="0.25">
      <c r="A1021" t="s">
        <v>19</v>
      </c>
      <c r="B1021">
        <v>15</v>
      </c>
      <c r="C1021">
        <v>100.65</v>
      </c>
      <c r="D1021">
        <v>9.9</v>
      </c>
      <c r="E1021">
        <v>140</v>
      </c>
      <c r="F1021">
        <v>100.65</v>
      </c>
      <c r="G1021">
        <v>9.9</v>
      </c>
      <c r="H1021">
        <v>1.2</v>
      </c>
      <c r="I1021">
        <v>0.9</v>
      </c>
      <c r="J1021">
        <v>56.126477890366417</v>
      </c>
      <c r="K1021">
        <v>1500</v>
      </c>
      <c r="L1021">
        <v>0</v>
      </c>
      <c r="N1021">
        <v>29</v>
      </c>
      <c r="O1021" s="60" t="s">
        <v>1589</v>
      </c>
      <c r="P1021" t="s">
        <v>828</v>
      </c>
      <c r="Q1021" t="s">
        <v>2396</v>
      </c>
    </row>
    <row r="1022" spans="1:17" x14ac:dyDescent="0.25">
      <c r="A1022" t="s">
        <v>19</v>
      </c>
      <c r="B1022">
        <v>140</v>
      </c>
      <c r="C1022">
        <v>100.65</v>
      </c>
      <c r="D1022">
        <v>9.9</v>
      </c>
      <c r="E1022">
        <v>140</v>
      </c>
      <c r="F1022">
        <v>102</v>
      </c>
      <c r="G1022">
        <v>9.9</v>
      </c>
      <c r="H1022">
        <v>1.2</v>
      </c>
      <c r="I1022">
        <v>0.9</v>
      </c>
      <c r="J1022">
        <v>0.60616596121595478</v>
      </c>
      <c r="K1022">
        <v>1500</v>
      </c>
      <c r="L1022">
        <v>0</v>
      </c>
      <c r="N1022">
        <v>29</v>
      </c>
      <c r="O1022" s="60" t="s">
        <v>1590</v>
      </c>
      <c r="P1022" t="s">
        <v>829</v>
      </c>
      <c r="Q1022" t="s">
        <v>1072</v>
      </c>
    </row>
    <row r="1023" spans="1:17" x14ac:dyDescent="0.25">
      <c r="A1023" t="s">
        <v>19</v>
      </c>
      <c r="B1023">
        <v>140</v>
      </c>
      <c r="C1023">
        <v>102</v>
      </c>
      <c r="D1023">
        <v>9.9</v>
      </c>
      <c r="E1023">
        <v>15</v>
      </c>
      <c r="F1023">
        <v>102</v>
      </c>
      <c r="G1023">
        <v>9.9</v>
      </c>
      <c r="H1023">
        <v>1.2</v>
      </c>
      <c r="I1023">
        <v>0.9</v>
      </c>
      <c r="J1023">
        <v>56.126477890366417</v>
      </c>
      <c r="K1023">
        <v>1500</v>
      </c>
      <c r="L1023">
        <v>0</v>
      </c>
      <c r="N1023">
        <v>29</v>
      </c>
      <c r="O1023" s="60" t="s">
        <v>1591</v>
      </c>
      <c r="P1023" t="s">
        <v>814</v>
      </c>
      <c r="Q1023" t="s">
        <v>2397</v>
      </c>
    </row>
    <row r="1024" spans="1:17" x14ac:dyDescent="0.25">
      <c r="A1024" t="s">
        <v>19</v>
      </c>
      <c r="B1024">
        <v>15</v>
      </c>
      <c r="C1024">
        <v>102</v>
      </c>
      <c r="D1024">
        <v>9.9</v>
      </c>
      <c r="E1024">
        <v>15</v>
      </c>
      <c r="F1024">
        <v>106.05</v>
      </c>
      <c r="G1024">
        <v>9.9</v>
      </c>
      <c r="H1024">
        <v>1.2</v>
      </c>
      <c r="I1024">
        <v>0.9</v>
      </c>
      <c r="J1024">
        <v>1.8184978836478705</v>
      </c>
      <c r="K1024">
        <v>1500</v>
      </c>
      <c r="L1024">
        <v>0</v>
      </c>
      <c r="N1024">
        <v>29</v>
      </c>
      <c r="O1024" s="60" t="s">
        <v>1592</v>
      </c>
      <c r="P1024" t="s">
        <v>827</v>
      </c>
      <c r="Q1024" t="s">
        <v>1073</v>
      </c>
    </row>
    <row r="1025" spans="1:17" x14ac:dyDescent="0.25">
      <c r="A1025" t="s">
        <v>19</v>
      </c>
      <c r="B1025">
        <v>15</v>
      </c>
      <c r="C1025">
        <v>106.05</v>
      </c>
      <c r="D1025">
        <v>9.9</v>
      </c>
      <c r="E1025">
        <v>140</v>
      </c>
      <c r="F1025">
        <v>106.05</v>
      </c>
      <c r="G1025">
        <v>9.9</v>
      </c>
      <c r="H1025">
        <v>1.2</v>
      </c>
      <c r="I1025">
        <v>0.9</v>
      </c>
      <c r="J1025">
        <v>56.126477890366417</v>
      </c>
      <c r="K1025">
        <v>1500</v>
      </c>
      <c r="L1025">
        <v>0</v>
      </c>
      <c r="N1025">
        <v>29</v>
      </c>
      <c r="O1025" s="60" t="s">
        <v>1593</v>
      </c>
      <c r="P1025" t="s">
        <v>828</v>
      </c>
      <c r="Q1025" t="s">
        <v>2396</v>
      </c>
    </row>
    <row r="1026" spans="1:17" x14ac:dyDescent="0.25">
      <c r="A1026" t="s">
        <v>19</v>
      </c>
      <c r="B1026">
        <v>140</v>
      </c>
      <c r="C1026">
        <v>106.05</v>
      </c>
      <c r="D1026">
        <v>9.9</v>
      </c>
      <c r="E1026">
        <v>140</v>
      </c>
      <c r="F1026">
        <v>107.39999999999999</v>
      </c>
      <c r="G1026">
        <v>9.9</v>
      </c>
      <c r="H1026">
        <v>1.2</v>
      </c>
      <c r="I1026">
        <v>0.9</v>
      </c>
      <c r="J1026">
        <v>0.60616596121595478</v>
      </c>
      <c r="K1026">
        <v>1500</v>
      </c>
      <c r="L1026">
        <v>0</v>
      </c>
      <c r="N1026">
        <v>29</v>
      </c>
      <c r="O1026" s="60" t="s">
        <v>1594</v>
      </c>
      <c r="P1026" t="s">
        <v>829</v>
      </c>
      <c r="Q1026" t="s">
        <v>1074</v>
      </c>
    </row>
    <row r="1027" spans="1:17" x14ac:dyDescent="0.25">
      <c r="A1027" t="s">
        <v>19</v>
      </c>
      <c r="B1027">
        <v>140</v>
      </c>
      <c r="C1027">
        <v>107.39999999999999</v>
      </c>
      <c r="D1027">
        <v>9.9</v>
      </c>
      <c r="E1027">
        <v>15</v>
      </c>
      <c r="F1027">
        <v>107.39999999999999</v>
      </c>
      <c r="G1027">
        <v>9.9</v>
      </c>
      <c r="H1027">
        <v>1.2</v>
      </c>
      <c r="I1027">
        <v>0.9</v>
      </c>
      <c r="J1027">
        <v>56.126477890366417</v>
      </c>
      <c r="K1027">
        <v>1500</v>
      </c>
      <c r="L1027">
        <v>0</v>
      </c>
      <c r="N1027">
        <v>29</v>
      </c>
      <c r="O1027" s="60" t="s">
        <v>1595</v>
      </c>
      <c r="P1027" t="s">
        <v>814</v>
      </c>
      <c r="Q1027" t="s">
        <v>2397</v>
      </c>
    </row>
    <row r="1028" spans="1:17" x14ac:dyDescent="0.25">
      <c r="A1028" t="s">
        <v>19</v>
      </c>
      <c r="B1028">
        <v>15</v>
      </c>
      <c r="C1028">
        <v>107.4</v>
      </c>
      <c r="D1028">
        <v>9.9</v>
      </c>
      <c r="E1028">
        <v>15</v>
      </c>
      <c r="F1028">
        <v>111.45</v>
      </c>
      <c r="G1028">
        <v>9.9</v>
      </c>
      <c r="H1028">
        <v>1.2</v>
      </c>
      <c r="I1028">
        <v>0.9</v>
      </c>
      <c r="J1028">
        <v>1.8184978836478705</v>
      </c>
      <c r="K1028">
        <v>1500</v>
      </c>
      <c r="L1028">
        <v>0</v>
      </c>
      <c r="N1028">
        <v>29</v>
      </c>
      <c r="O1028" s="60" t="s">
        <v>1596</v>
      </c>
      <c r="P1028" t="s">
        <v>827</v>
      </c>
      <c r="Q1028" t="s">
        <v>1075</v>
      </c>
    </row>
    <row r="1029" spans="1:17" x14ac:dyDescent="0.25">
      <c r="A1029" t="s">
        <v>19</v>
      </c>
      <c r="B1029">
        <v>15</v>
      </c>
      <c r="C1029">
        <v>111.45</v>
      </c>
      <c r="D1029">
        <v>9.9</v>
      </c>
      <c r="E1029">
        <v>140</v>
      </c>
      <c r="F1029">
        <v>111.45</v>
      </c>
      <c r="G1029">
        <v>9.9</v>
      </c>
      <c r="H1029">
        <v>1.2</v>
      </c>
      <c r="I1029">
        <v>0.9</v>
      </c>
      <c r="J1029">
        <v>56.126477890366417</v>
      </c>
      <c r="K1029">
        <v>1500</v>
      </c>
      <c r="L1029">
        <v>0</v>
      </c>
      <c r="N1029">
        <v>29</v>
      </c>
      <c r="O1029" s="60" t="s">
        <v>1597</v>
      </c>
      <c r="P1029" t="s">
        <v>828</v>
      </c>
      <c r="Q1029" t="s">
        <v>2396</v>
      </c>
    </row>
    <row r="1030" spans="1:17" x14ac:dyDescent="0.25">
      <c r="A1030" t="s">
        <v>19</v>
      </c>
      <c r="B1030">
        <v>140</v>
      </c>
      <c r="C1030">
        <v>111.45</v>
      </c>
      <c r="D1030">
        <v>9.9</v>
      </c>
      <c r="E1030">
        <v>140</v>
      </c>
      <c r="F1030">
        <v>112.8</v>
      </c>
      <c r="G1030">
        <v>9.9</v>
      </c>
      <c r="H1030">
        <v>1.2</v>
      </c>
      <c r="I1030">
        <v>0.9</v>
      </c>
      <c r="J1030">
        <v>0.60616596121595478</v>
      </c>
      <c r="K1030">
        <v>1500</v>
      </c>
      <c r="L1030">
        <v>0</v>
      </c>
      <c r="N1030">
        <v>29</v>
      </c>
      <c r="O1030" s="60" t="s">
        <v>1598</v>
      </c>
      <c r="P1030" t="s">
        <v>829</v>
      </c>
      <c r="Q1030" t="s">
        <v>1076</v>
      </c>
    </row>
    <row r="1031" spans="1:17" x14ac:dyDescent="0.25">
      <c r="A1031" t="s">
        <v>19</v>
      </c>
      <c r="B1031">
        <v>140</v>
      </c>
      <c r="C1031">
        <v>112.8</v>
      </c>
      <c r="D1031">
        <v>9.9</v>
      </c>
      <c r="E1031">
        <v>15</v>
      </c>
      <c r="F1031">
        <v>112.8</v>
      </c>
      <c r="G1031">
        <v>9.9</v>
      </c>
      <c r="H1031">
        <v>1.2</v>
      </c>
      <c r="I1031">
        <v>0.9</v>
      </c>
      <c r="J1031">
        <v>56.126477890366417</v>
      </c>
      <c r="K1031">
        <v>1500</v>
      </c>
      <c r="L1031">
        <v>0</v>
      </c>
      <c r="N1031">
        <v>29</v>
      </c>
      <c r="O1031" s="60" t="s">
        <v>1599</v>
      </c>
      <c r="P1031" t="s">
        <v>814</v>
      </c>
      <c r="Q1031" t="s">
        <v>2397</v>
      </c>
    </row>
    <row r="1032" spans="1:17" x14ac:dyDescent="0.25">
      <c r="A1032" t="s">
        <v>19</v>
      </c>
      <c r="B1032">
        <v>15</v>
      </c>
      <c r="C1032">
        <v>112.8</v>
      </c>
      <c r="D1032">
        <v>9.9</v>
      </c>
      <c r="E1032">
        <v>15</v>
      </c>
      <c r="F1032">
        <v>116.85</v>
      </c>
      <c r="G1032">
        <v>9.9</v>
      </c>
      <c r="H1032">
        <v>1.2</v>
      </c>
      <c r="I1032">
        <v>0.9</v>
      </c>
      <c r="J1032">
        <v>1.8184978836478705</v>
      </c>
      <c r="K1032">
        <v>1500</v>
      </c>
      <c r="L1032">
        <v>0</v>
      </c>
      <c r="N1032">
        <v>29</v>
      </c>
      <c r="O1032" s="60" t="s">
        <v>1600</v>
      </c>
      <c r="P1032" t="s">
        <v>827</v>
      </c>
      <c r="Q1032" t="s">
        <v>1077</v>
      </c>
    </row>
    <row r="1033" spans="1:17" x14ac:dyDescent="0.25">
      <c r="A1033" t="s">
        <v>19</v>
      </c>
      <c r="B1033">
        <v>15</v>
      </c>
      <c r="C1033">
        <v>116.85</v>
      </c>
      <c r="D1033">
        <v>9.9</v>
      </c>
      <c r="E1033">
        <v>140</v>
      </c>
      <c r="F1033">
        <v>116.85</v>
      </c>
      <c r="G1033">
        <v>9.9</v>
      </c>
      <c r="H1033">
        <v>1.2</v>
      </c>
      <c r="I1033">
        <v>0.9</v>
      </c>
      <c r="J1033">
        <v>56.126477890366417</v>
      </c>
      <c r="K1033">
        <v>1500</v>
      </c>
      <c r="L1033">
        <v>0</v>
      </c>
      <c r="N1033">
        <v>29</v>
      </c>
      <c r="O1033" s="60" t="s">
        <v>1601</v>
      </c>
      <c r="P1033" t="s">
        <v>828</v>
      </c>
      <c r="Q1033" t="s">
        <v>2396</v>
      </c>
    </row>
    <row r="1034" spans="1:17" x14ac:dyDescent="0.25">
      <c r="A1034" t="s">
        <v>19</v>
      </c>
      <c r="B1034">
        <v>140</v>
      </c>
      <c r="C1034">
        <v>116.85</v>
      </c>
      <c r="D1034">
        <v>9.9</v>
      </c>
      <c r="E1034">
        <v>140</v>
      </c>
      <c r="F1034">
        <v>118.19999999999999</v>
      </c>
      <c r="G1034">
        <v>9.9</v>
      </c>
      <c r="H1034">
        <v>1.2</v>
      </c>
      <c r="I1034">
        <v>0.9</v>
      </c>
      <c r="J1034">
        <v>0.60616596121595478</v>
      </c>
      <c r="K1034">
        <v>1500</v>
      </c>
      <c r="L1034">
        <v>0</v>
      </c>
      <c r="N1034">
        <v>29</v>
      </c>
      <c r="O1034" s="60" t="s">
        <v>1602</v>
      </c>
      <c r="P1034" t="s">
        <v>829</v>
      </c>
      <c r="Q1034" t="s">
        <v>1078</v>
      </c>
    </row>
    <row r="1035" spans="1:17" x14ac:dyDescent="0.25">
      <c r="A1035" t="s">
        <v>19</v>
      </c>
      <c r="B1035">
        <v>140</v>
      </c>
      <c r="C1035">
        <v>118.19999999999999</v>
      </c>
      <c r="D1035">
        <v>9.9</v>
      </c>
      <c r="E1035">
        <v>15</v>
      </c>
      <c r="F1035">
        <v>118.19999999999999</v>
      </c>
      <c r="G1035">
        <v>9.9</v>
      </c>
      <c r="H1035">
        <v>1.2</v>
      </c>
      <c r="I1035">
        <v>0.9</v>
      </c>
      <c r="J1035">
        <v>56.126477890366417</v>
      </c>
      <c r="K1035">
        <v>1500</v>
      </c>
      <c r="L1035">
        <v>0</v>
      </c>
      <c r="N1035">
        <v>29</v>
      </c>
      <c r="O1035" s="60" t="s">
        <v>1603</v>
      </c>
      <c r="P1035" t="s">
        <v>814</v>
      </c>
      <c r="Q1035" t="s">
        <v>2397</v>
      </c>
    </row>
    <row r="1036" spans="1:17" x14ac:dyDescent="0.25">
      <c r="A1036" t="s">
        <v>19</v>
      </c>
      <c r="B1036">
        <v>15</v>
      </c>
      <c r="C1036">
        <v>118.2</v>
      </c>
      <c r="D1036">
        <v>9.9</v>
      </c>
      <c r="E1036">
        <v>15</v>
      </c>
      <c r="F1036">
        <v>122.25</v>
      </c>
      <c r="G1036">
        <v>9.9</v>
      </c>
      <c r="H1036">
        <v>1.2</v>
      </c>
      <c r="I1036">
        <v>0.9</v>
      </c>
      <c r="J1036">
        <v>1.8184978836478705</v>
      </c>
      <c r="K1036">
        <v>1500</v>
      </c>
      <c r="L1036">
        <v>0</v>
      </c>
      <c r="N1036">
        <v>29</v>
      </c>
      <c r="O1036" s="60" t="s">
        <v>2229</v>
      </c>
      <c r="P1036" t="s">
        <v>827</v>
      </c>
      <c r="Q1036" t="s">
        <v>1955</v>
      </c>
    </row>
    <row r="1037" spans="1:17" x14ac:dyDescent="0.25">
      <c r="A1037" t="s">
        <v>19</v>
      </c>
      <c r="B1037">
        <v>15</v>
      </c>
      <c r="C1037">
        <v>122.25</v>
      </c>
      <c r="D1037">
        <v>9.9</v>
      </c>
      <c r="E1037">
        <v>140</v>
      </c>
      <c r="F1037">
        <v>122.25</v>
      </c>
      <c r="G1037">
        <v>9.9</v>
      </c>
      <c r="H1037">
        <v>1.2</v>
      </c>
      <c r="I1037">
        <v>0.9</v>
      </c>
      <c r="J1037">
        <v>56.126477890366417</v>
      </c>
      <c r="K1037">
        <v>1500</v>
      </c>
      <c r="L1037">
        <v>0</v>
      </c>
      <c r="N1037">
        <v>29</v>
      </c>
      <c r="O1037" s="60" t="s">
        <v>2230</v>
      </c>
      <c r="P1037" t="s">
        <v>828</v>
      </c>
      <c r="Q1037" t="s">
        <v>2396</v>
      </c>
    </row>
    <row r="1038" spans="1:17" x14ac:dyDescent="0.25">
      <c r="A1038" t="s">
        <v>19</v>
      </c>
      <c r="B1038">
        <v>140</v>
      </c>
      <c r="C1038">
        <v>122.25</v>
      </c>
      <c r="D1038">
        <v>9.9</v>
      </c>
      <c r="E1038">
        <v>140</v>
      </c>
      <c r="F1038">
        <v>123.6</v>
      </c>
      <c r="G1038">
        <v>9.9</v>
      </c>
      <c r="H1038">
        <v>1.2</v>
      </c>
      <c r="I1038">
        <v>0.9</v>
      </c>
      <c r="J1038">
        <v>0.60616596121595478</v>
      </c>
      <c r="K1038">
        <v>1500</v>
      </c>
      <c r="L1038">
        <v>0</v>
      </c>
      <c r="N1038">
        <v>29</v>
      </c>
      <c r="O1038" s="60" t="s">
        <v>2231</v>
      </c>
      <c r="P1038" t="s">
        <v>829</v>
      </c>
      <c r="Q1038" t="s">
        <v>1958</v>
      </c>
    </row>
    <row r="1039" spans="1:17" x14ac:dyDescent="0.25">
      <c r="A1039" t="s">
        <v>19</v>
      </c>
      <c r="B1039">
        <v>140</v>
      </c>
      <c r="C1039">
        <v>123.6</v>
      </c>
      <c r="D1039">
        <v>9.9</v>
      </c>
      <c r="E1039">
        <v>15</v>
      </c>
      <c r="F1039">
        <v>123.6</v>
      </c>
      <c r="G1039">
        <v>9.9</v>
      </c>
      <c r="H1039">
        <v>1.2</v>
      </c>
      <c r="I1039">
        <v>0.9</v>
      </c>
      <c r="J1039">
        <v>56.126477890366417</v>
      </c>
      <c r="K1039">
        <v>1500</v>
      </c>
      <c r="L1039">
        <v>0</v>
      </c>
      <c r="N1039">
        <v>29</v>
      </c>
      <c r="O1039" s="60" t="s">
        <v>2232</v>
      </c>
      <c r="P1039" t="s">
        <v>814</v>
      </c>
      <c r="Q1039" t="s">
        <v>2397</v>
      </c>
    </row>
    <row r="1040" spans="1:17" x14ac:dyDescent="0.25">
      <c r="A1040" t="s">
        <v>19</v>
      </c>
      <c r="B1040">
        <v>15</v>
      </c>
      <c r="C1040">
        <v>123.60000000000001</v>
      </c>
      <c r="D1040">
        <v>9.9</v>
      </c>
      <c r="E1040">
        <v>15</v>
      </c>
      <c r="F1040">
        <v>127.65</v>
      </c>
      <c r="G1040">
        <v>9.9</v>
      </c>
      <c r="H1040">
        <v>1.2</v>
      </c>
      <c r="I1040">
        <v>0.9</v>
      </c>
      <c r="J1040">
        <v>1.8184978836478705</v>
      </c>
      <c r="K1040">
        <v>1500</v>
      </c>
      <c r="L1040">
        <v>0</v>
      </c>
      <c r="N1040">
        <v>29</v>
      </c>
      <c r="O1040" s="60" t="s">
        <v>2233</v>
      </c>
      <c r="P1040" t="s">
        <v>827</v>
      </c>
      <c r="Q1040" t="s">
        <v>1961</v>
      </c>
    </row>
    <row r="1041" spans="1:17" x14ac:dyDescent="0.25">
      <c r="A1041" t="s">
        <v>19</v>
      </c>
      <c r="B1041">
        <v>15</v>
      </c>
      <c r="C1041">
        <v>127.65</v>
      </c>
      <c r="D1041">
        <v>9.9</v>
      </c>
      <c r="E1041">
        <v>140</v>
      </c>
      <c r="F1041">
        <v>127.65</v>
      </c>
      <c r="G1041">
        <v>9.9</v>
      </c>
      <c r="H1041">
        <v>1.2</v>
      </c>
      <c r="I1041">
        <v>0.9</v>
      </c>
      <c r="J1041">
        <v>56.126477890366417</v>
      </c>
      <c r="K1041">
        <v>1500</v>
      </c>
      <c r="L1041">
        <v>0</v>
      </c>
      <c r="N1041">
        <v>29</v>
      </c>
      <c r="O1041" s="60" t="s">
        <v>2234</v>
      </c>
      <c r="P1041" t="s">
        <v>828</v>
      </c>
      <c r="Q1041" t="s">
        <v>2396</v>
      </c>
    </row>
    <row r="1042" spans="1:17" x14ac:dyDescent="0.25">
      <c r="A1042" t="s">
        <v>19</v>
      </c>
      <c r="B1042">
        <v>140</v>
      </c>
      <c r="C1042">
        <v>127.65</v>
      </c>
      <c r="D1042">
        <v>9.9</v>
      </c>
      <c r="E1042">
        <v>140</v>
      </c>
      <c r="F1042">
        <v>129</v>
      </c>
      <c r="G1042">
        <v>9.9</v>
      </c>
      <c r="H1042">
        <v>1.2</v>
      </c>
      <c r="I1042">
        <v>0.9</v>
      </c>
      <c r="J1042">
        <v>0.60616596121595478</v>
      </c>
      <c r="K1042">
        <v>1500</v>
      </c>
      <c r="L1042">
        <v>0</v>
      </c>
      <c r="N1042">
        <v>29</v>
      </c>
      <c r="O1042" s="60" t="s">
        <v>2235</v>
      </c>
      <c r="P1042" t="s">
        <v>829</v>
      </c>
      <c r="Q1042" t="s">
        <v>1964</v>
      </c>
    </row>
    <row r="1043" spans="1:17" x14ac:dyDescent="0.25">
      <c r="A1043" t="s">
        <v>19</v>
      </c>
      <c r="B1043">
        <v>140</v>
      </c>
      <c r="C1043">
        <v>129</v>
      </c>
      <c r="D1043">
        <v>9.9</v>
      </c>
      <c r="E1043">
        <v>15</v>
      </c>
      <c r="F1043">
        <v>129</v>
      </c>
      <c r="G1043">
        <v>9.9</v>
      </c>
      <c r="H1043">
        <v>1.2</v>
      </c>
      <c r="I1043">
        <v>0.9</v>
      </c>
      <c r="J1043">
        <v>56.126477890366417</v>
      </c>
      <c r="K1043">
        <v>1500</v>
      </c>
      <c r="L1043">
        <v>0</v>
      </c>
      <c r="N1043">
        <v>29</v>
      </c>
      <c r="O1043" s="60" t="s">
        <v>2236</v>
      </c>
      <c r="P1043" t="s">
        <v>814</v>
      </c>
      <c r="Q1043" t="s">
        <v>2397</v>
      </c>
    </row>
    <row r="1044" spans="1:17" x14ac:dyDescent="0.25">
      <c r="A1044" t="s">
        <v>39</v>
      </c>
      <c r="B1044">
        <v>-1.25</v>
      </c>
      <c r="C1044">
        <v>2100</v>
      </c>
      <c r="N1044">
        <v>29</v>
      </c>
      <c r="O1044" s="60" t="s">
        <v>955</v>
      </c>
      <c r="P1044" t="s">
        <v>757</v>
      </c>
      <c r="Q1044" t="s">
        <v>845</v>
      </c>
    </row>
    <row r="1045" spans="1:17" x14ac:dyDescent="0.25">
      <c r="A1045" t="s">
        <v>660</v>
      </c>
      <c r="B1045">
        <v>0.9</v>
      </c>
      <c r="C1045">
        <v>10000</v>
      </c>
      <c r="N1045">
        <v>29</v>
      </c>
      <c r="O1045" s="60" t="s">
        <v>955</v>
      </c>
      <c r="P1045" t="s">
        <v>757</v>
      </c>
      <c r="Q1045" t="s">
        <v>838</v>
      </c>
    </row>
    <row r="1046" spans="1:17" x14ac:dyDescent="0.25">
      <c r="A1046" t="s">
        <v>23</v>
      </c>
      <c r="B1046">
        <v>15</v>
      </c>
      <c r="C1046">
        <v>129</v>
      </c>
      <c r="D1046">
        <v>9.9</v>
      </c>
      <c r="E1046">
        <v>15</v>
      </c>
      <c r="F1046">
        <v>75</v>
      </c>
      <c r="G1046">
        <v>10.8</v>
      </c>
      <c r="H1046">
        <v>0</v>
      </c>
      <c r="I1046">
        <v>0</v>
      </c>
      <c r="K1046">
        <v>48000</v>
      </c>
      <c r="N1046">
        <v>0</v>
      </c>
      <c r="O1046" s="60">
        <v>0</v>
      </c>
      <c r="P1046" t="s">
        <v>661</v>
      </c>
      <c r="Q1046" t="s">
        <v>2237</v>
      </c>
    </row>
    <row r="1047" spans="1:17" x14ac:dyDescent="0.25">
      <c r="A1047" t="s">
        <v>19</v>
      </c>
      <c r="B1047">
        <v>15</v>
      </c>
      <c r="C1047">
        <v>75</v>
      </c>
      <c r="D1047">
        <v>10.8</v>
      </c>
      <c r="E1047">
        <v>15</v>
      </c>
      <c r="F1047">
        <v>79.05</v>
      </c>
      <c r="G1047">
        <v>10.8</v>
      </c>
      <c r="H1047">
        <v>1.2</v>
      </c>
      <c r="I1047">
        <v>0.9</v>
      </c>
      <c r="J1047">
        <v>1.8184978836478705</v>
      </c>
      <c r="K1047">
        <v>1500</v>
      </c>
      <c r="L1047">
        <v>0</v>
      </c>
      <c r="N1047">
        <v>29</v>
      </c>
      <c r="O1047" s="60" t="s">
        <v>2238</v>
      </c>
      <c r="P1047" t="s">
        <v>1968</v>
      </c>
      <c r="Q1047" t="s">
        <v>879</v>
      </c>
    </row>
    <row r="1048" spans="1:17" x14ac:dyDescent="0.25">
      <c r="A1048" t="s">
        <v>19</v>
      </c>
      <c r="B1048">
        <v>15</v>
      </c>
      <c r="C1048">
        <v>79.05</v>
      </c>
      <c r="D1048">
        <v>10.8</v>
      </c>
      <c r="E1048">
        <v>140</v>
      </c>
      <c r="F1048">
        <v>79.05</v>
      </c>
      <c r="G1048">
        <v>10.8</v>
      </c>
      <c r="H1048">
        <v>1.2</v>
      </c>
      <c r="I1048">
        <v>0.9</v>
      </c>
      <c r="J1048">
        <v>56.126477890366417</v>
      </c>
      <c r="K1048">
        <v>1500</v>
      </c>
      <c r="L1048">
        <v>0</v>
      </c>
      <c r="N1048">
        <v>29</v>
      </c>
      <c r="O1048" s="60" t="s">
        <v>2239</v>
      </c>
      <c r="P1048" t="s">
        <v>1970</v>
      </c>
      <c r="Q1048" t="s">
        <v>2396</v>
      </c>
    </row>
    <row r="1049" spans="1:17" x14ac:dyDescent="0.25">
      <c r="A1049" t="s">
        <v>19</v>
      </c>
      <c r="B1049">
        <v>140</v>
      </c>
      <c r="C1049">
        <v>79.05</v>
      </c>
      <c r="D1049">
        <v>10.8</v>
      </c>
      <c r="E1049">
        <v>140</v>
      </c>
      <c r="F1049">
        <v>80.399999999999991</v>
      </c>
      <c r="G1049">
        <v>10.8</v>
      </c>
      <c r="H1049">
        <v>1.2</v>
      </c>
      <c r="I1049">
        <v>0.9</v>
      </c>
      <c r="J1049">
        <v>0.60616596121595478</v>
      </c>
      <c r="K1049">
        <v>1500</v>
      </c>
      <c r="L1049">
        <v>0</v>
      </c>
      <c r="N1049">
        <v>29</v>
      </c>
      <c r="O1049" s="60" t="s">
        <v>2240</v>
      </c>
      <c r="P1049" t="s">
        <v>1972</v>
      </c>
      <c r="Q1049" t="s">
        <v>880</v>
      </c>
    </row>
    <row r="1050" spans="1:17" x14ac:dyDescent="0.25">
      <c r="A1050" t="s">
        <v>19</v>
      </c>
      <c r="B1050">
        <v>140</v>
      </c>
      <c r="C1050">
        <v>80.399999999999991</v>
      </c>
      <c r="D1050">
        <v>10.8</v>
      </c>
      <c r="E1050">
        <v>15</v>
      </c>
      <c r="F1050">
        <v>80.399999999999991</v>
      </c>
      <c r="G1050">
        <v>10.8</v>
      </c>
      <c r="H1050">
        <v>1.2</v>
      </c>
      <c r="I1050">
        <v>0.9</v>
      </c>
      <c r="J1050">
        <v>56.126477890366417</v>
      </c>
      <c r="K1050">
        <v>1500</v>
      </c>
      <c r="L1050">
        <v>0</v>
      </c>
      <c r="N1050">
        <v>29</v>
      </c>
      <c r="O1050" s="60" t="s">
        <v>2241</v>
      </c>
      <c r="P1050" t="s">
        <v>1974</v>
      </c>
      <c r="Q1050" t="s">
        <v>2397</v>
      </c>
    </row>
    <row r="1051" spans="1:17" x14ac:dyDescent="0.25">
      <c r="A1051" t="s">
        <v>19</v>
      </c>
      <c r="B1051">
        <v>15</v>
      </c>
      <c r="C1051">
        <v>80.400000000000006</v>
      </c>
      <c r="D1051">
        <v>10.8</v>
      </c>
      <c r="E1051">
        <v>15</v>
      </c>
      <c r="F1051">
        <v>84.45</v>
      </c>
      <c r="G1051">
        <v>10.8</v>
      </c>
      <c r="H1051">
        <v>1.2</v>
      </c>
      <c r="I1051">
        <v>0.9</v>
      </c>
      <c r="J1051">
        <v>1.8184978836478705</v>
      </c>
      <c r="K1051">
        <v>1500</v>
      </c>
      <c r="L1051">
        <v>0</v>
      </c>
      <c r="N1051">
        <v>29</v>
      </c>
      <c r="O1051" s="60" t="s">
        <v>1604</v>
      </c>
      <c r="P1051" t="s">
        <v>823</v>
      </c>
      <c r="Q1051" t="s">
        <v>1065</v>
      </c>
    </row>
    <row r="1052" spans="1:17" x14ac:dyDescent="0.25">
      <c r="A1052" t="s">
        <v>19</v>
      </c>
      <c r="B1052">
        <v>15</v>
      </c>
      <c r="C1052">
        <v>84.45</v>
      </c>
      <c r="D1052">
        <v>10.8</v>
      </c>
      <c r="E1052">
        <v>140</v>
      </c>
      <c r="F1052">
        <v>84.45</v>
      </c>
      <c r="G1052">
        <v>10.8</v>
      </c>
      <c r="H1052">
        <v>1.2</v>
      </c>
      <c r="I1052">
        <v>0.9</v>
      </c>
      <c r="J1052">
        <v>56.126477890366417</v>
      </c>
      <c r="K1052">
        <v>1500</v>
      </c>
      <c r="L1052">
        <v>0</v>
      </c>
      <c r="N1052">
        <v>29</v>
      </c>
      <c r="O1052" s="60" t="s">
        <v>1605</v>
      </c>
      <c r="P1052" t="s">
        <v>750</v>
      </c>
      <c r="Q1052" t="s">
        <v>2396</v>
      </c>
    </row>
    <row r="1053" spans="1:17" x14ac:dyDescent="0.25">
      <c r="A1053" t="s">
        <v>19</v>
      </c>
      <c r="B1053">
        <v>140</v>
      </c>
      <c r="C1053">
        <v>84.45</v>
      </c>
      <c r="D1053">
        <v>10.8</v>
      </c>
      <c r="E1053">
        <v>140</v>
      </c>
      <c r="F1053">
        <v>85.8</v>
      </c>
      <c r="G1053">
        <v>10.8</v>
      </c>
      <c r="H1053">
        <v>1.2</v>
      </c>
      <c r="I1053">
        <v>0.9</v>
      </c>
      <c r="J1053">
        <v>0.60616596121595478</v>
      </c>
      <c r="K1053">
        <v>1500</v>
      </c>
      <c r="L1053">
        <v>0</v>
      </c>
      <c r="N1053">
        <v>29</v>
      </c>
      <c r="O1053" s="60" t="s">
        <v>1606</v>
      </c>
      <c r="P1053" t="s">
        <v>751</v>
      </c>
      <c r="Q1053" t="s">
        <v>1066</v>
      </c>
    </row>
    <row r="1054" spans="1:17" x14ac:dyDescent="0.25">
      <c r="A1054" t="s">
        <v>19</v>
      </c>
      <c r="B1054">
        <v>140</v>
      </c>
      <c r="C1054">
        <v>85.8</v>
      </c>
      <c r="D1054">
        <v>10.8</v>
      </c>
      <c r="E1054">
        <v>15</v>
      </c>
      <c r="F1054">
        <v>85.8</v>
      </c>
      <c r="G1054">
        <v>10.8</v>
      </c>
      <c r="H1054">
        <v>1.2</v>
      </c>
      <c r="I1054">
        <v>0.9</v>
      </c>
      <c r="J1054">
        <v>56.126477890366417</v>
      </c>
      <c r="K1054">
        <v>1500</v>
      </c>
      <c r="L1054">
        <v>0</v>
      </c>
      <c r="N1054">
        <v>29</v>
      </c>
      <c r="O1054" s="60" t="s">
        <v>956</v>
      </c>
      <c r="P1054" t="s">
        <v>752</v>
      </c>
      <c r="Q1054" t="s">
        <v>2397</v>
      </c>
    </row>
    <row r="1055" spans="1:17" x14ac:dyDescent="0.25">
      <c r="A1055" t="s">
        <v>19</v>
      </c>
      <c r="B1055">
        <v>15</v>
      </c>
      <c r="C1055">
        <v>85.8</v>
      </c>
      <c r="D1055">
        <v>10.8</v>
      </c>
      <c r="E1055">
        <v>15</v>
      </c>
      <c r="F1055">
        <v>89.85</v>
      </c>
      <c r="G1055">
        <v>10.8</v>
      </c>
      <c r="H1055">
        <v>1.2</v>
      </c>
      <c r="I1055">
        <v>0.9</v>
      </c>
      <c r="J1055">
        <v>1.8184978836478705</v>
      </c>
      <c r="K1055">
        <v>1500</v>
      </c>
      <c r="L1055">
        <v>0</v>
      </c>
      <c r="N1055">
        <v>29</v>
      </c>
      <c r="O1055" s="60" t="s">
        <v>1607</v>
      </c>
      <c r="P1055" t="s">
        <v>823</v>
      </c>
      <c r="Q1055" t="s">
        <v>1067</v>
      </c>
    </row>
    <row r="1056" spans="1:17" x14ac:dyDescent="0.25">
      <c r="A1056" t="s">
        <v>19</v>
      </c>
      <c r="B1056">
        <v>15</v>
      </c>
      <c r="C1056">
        <v>89.85</v>
      </c>
      <c r="D1056">
        <v>10.8</v>
      </c>
      <c r="E1056">
        <v>140</v>
      </c>
      <c r="F1056">
        <v>89.85</v>
      </c>
      <c r="G1056">
        <v>10.8</v>
      </c>
      <c r="H1056">
        <v>1.2</v>
      </c>
      <c r="I1056">
        <v>0.9</v>
      </c>
      <c r="J1056">
        <v>56.126477890366417</v>
      </c>
      <c r="K1056">
        <v>1500</v>
      </c>
      <c r="L1056">
        <v>0</v>
      </c>
      <c r="N1056">
        <v>29</v>
      </c>
      <c r="O1056" s="60" t="s">
        <v>1608</v>
      </c>
      <c r="P1056" t="s">
        <v>750</v>
      </c>
      <c r="Q1056" t="s">
        <v>2396</v>
      </c>
    </row>
    <row r="1057" spans="1:17" x14ac:dyDescent="0.25">
      <c r="A1057" t="s">
        <v>19</v>
      </c>
      <c r="B1057">
        <v>140</v>
      </c>
      <c r="C1057">
        <v>89.85</v>
      </c>
      <c r="D1057">
        <v>10.8</v>
      </c>
      <c r="E1057">
        <v>140</v>
      </c>
      <c r="F1057">
        <v>91.199999999999989</v>
      </c>
      <c r="G1057">
        <v>10.8</v>
      </c>
      <c r="H1057">
        <v>1.2</v>
      </c>
      <c r="I1057">
        <v>0.9</v>
      </c>
      <c r="J1057">
        <v>0.60616596121595478</v>
      </c>
      <c r="K1057">
        <v>1500</v>
      </c>
      <c r="L1057">
        <v>0</v>
      </c>
      <c r="N1057">
        <v>29</v>
      </c>
      <c r="O1057" s="60" t="s">
        <v>1609</v>
      </c>
      <c r="P1057" t="s">
        <v>751</v>
      </c>
      <c r="Q1057" t="s">
        <v>1068</v>
      </c>
    </row>
    <row r="1058" spans="1:17" x14ac:dyDescent="0.25">
      <c r="A1058" t="s">
        <v>19</v>
      </c>
      <c r="B1058">
        <v>140</v>
      </c>
      <c r="C1058">
        <v>91.199999999999989</v>
      </c>
      <c r="D1058">
        <v>10.8</v>
      </c>
      <c r="E1058">
        <v>15</v>
      </c>
      <c r="F1058">
        <v>91.199999999999989</v>
      </c>
      <c r="G1058">
        <v>10.8</v>
      </c>
      <c r="H1058">
        <v>1.2</v>
      </c>
      <c r="I1058">
        <v>0.9</v>
      </c>
      <c r="J1058">
        <v>56.126477890366417</v>
      </c>
      <c r="K1058">
        <v>1500</v>
      </c>
      <c r="L1058">
        <v>0</v>
      </c>
      <c r="N1058">
        <v>29</v>
      </c>
      <c r="O1058" s="60" t="s">
        <v>957</v>
      </c>
      <c r="P1058" t="s">
        <v>752</v>
      </c>
      <c r="Q1058" t="s">
        <v>2397</v>
      </c>
    </row>
    <row r="1059" spans="1:17" x14ac:dyDescent="0.25">
      <c r="A1059" t="s">
        <v>19</v>
      </c>
      <c r="B1059">
        <v>15</v>
      </c>
      <c r="C1059">
        <v>91.2</v>
      </c>
      <c r="D1059">
        <v>10.8</v>
      </c>
      <c r="E1059">
        <v>15</v>
      </c>
      <c r="F1059">
        <v>95.25</v>
      </c>
      <c r="G1059">
        <v>10.8</v>
      </c>
      <c r="H1059">
        <v>1.2</v>
      </c>
      <c r="I1059">
        <v>0.9</v>
      </c>
      <c r="J1059">
        <v>1.8184978836478705</v>
      </c>
      <c r="K1059">
        <v>1500</v>
      </c>
      <c r="L1059">
        <v>0</v>
      </c>
      <c r="N1059">
        <v>29</v>
      </c>
      <c r="O1059" s="60" t="s">
        <v>1610</v>
      </c>
      <c r="P1059" t="s">
        <v>823</v>
      </c>
      <c r="Q1059" t="s">
        <v>1069</v>
      </c>
    </row>
    <row r="1060" spans="1:17" x14ac:dyDescent="0.25">
      <c r="A1060" t="s">
        <v>19</v>
      </c>
      <c r="B1060">
        <v>15</v>
      </c>
      <c r="C1060">
        <v>95.25</v>
      </c>
      <c r="D1060">
        <v>10.8</v>
      </c>
      <c r="E1060">
        <v>140</v>
      </c>
      <c r="F1060">
        <v>95.25</v>
      </c>
      <c r="G1060">
        <v>10.8</v>
      </c>
      <c r="H1060">
        <v>1.2</v>
      </c>
      <c r="I1060">
        <v>0.9</v>
      </c>
      <c r="J1060">
        <v>56.126477890366417</v>
      </c>
      <c r="K1060">
        <v>1500</v>
      </c>
      <c r="L1060">
        <v>0</v>
      </c>
      <c r="N1060">
        <v>29</v>
      </c>
      <c r="O1060" s="60" t="s">
        <v>1611</v>
      </c>
      <c r="P1060" t="s">
        <v>750</v>
      </c>
      <c r="Q1060" t="s">
        <v>2396</v>
      </c>
    </row>
    <row r="1061" spans="1:17" x14ac:dyDescent="0.25">
      <c r="A1061" t="s">
        <v>19</v>
      </c>
      <c r="B1061">
        <v>140</v>
      </c>
      <c r="C1061">
        <v>95.25</v>
      </c>
      <c r="D1061">
        <v>10.8</v>
      </c>
      <c r="E1061">
        <v>140</v>
      </c>
      <c r="F1061">
        <v>96.6</v>
      </c>
      <c r="G1061">
        <v>10.8</v>
      </c>
      <c r="H1061">
        <v>1.2</v>
      </c>
      <c r="I1061">
        <v>0.9</v>
      </c>
      <c r="J1061">
        <v>0.60616596121595478</v>
      </c>
      <c r="K1061">
        <v>1500</v>
      </c>
      <c r="L1061">
        <v>0</v>
      </c>
      <c r="N1061">
        <v>29</v>
      </c>
      <c r="O1061" s="60" t="s">
        <v>1612</v>
      </c>
      <c r="P1061" t="s">
        <v>751</v>
      </c>
      <c r="Q1061" t="s">
        <v>1070</v>
      </c>
    </row>
    <row r="1062" spans="1:17" x14ac:dyDescent="0.25">
      <c r="A1062" t="s">
        <v>19</v>
      </c>
      <c r="B1062">
        <v>140</v>
      </c>
      <c r="C1062">
        <v>96.6</v>
      </c>
      <c r="D1062">
        <v>10.8</v>
      </c>
      <c r="E1062">
        <v>15</v>
      </c>
      <c r="F1062">
        <v>96.6</v>
      </c>
      <c r="G1062">
        <v>10.8</v>
      </c>
      <c r="H1062">
        <v>1.2</v>
      </c>
      <c r="I1062">
        <v>0.9</v>
      </c>
      <c r="J1062">
        <v>56.126477890366417</v>
      </c>
      <c r="K1062">
        <v>1500</v>
      </c>
      <c r="L1062">
        <v>0</v>
      </c>
      <c r="N1062">
        <v>29</v>
      </c>
      <c r="O1062" s="60" t="s">
        <v>958</v>
      </c>
      <c r="P1062" t="s">
        <v>752</v>
      </c>
      <c r="Q1062" t="s">
        <v>2397</v>
      </c>
    </row>
    <row r="1063" spans="1:17" x14ac:dyDescent="0.25">
      <c r="A1063" t="s">
        <v>19</v>
      </c>
      <c r="B1063">
        <v>15</v>
      </c>
      <c r="C1063">
        <v>96.6</v>
      </c>
      <c r="D1063">
        <v>10.8</v>
      </c>
      <c r="E1063">
        <v>15</v>
      </c>
      <c r="F1063">
        <v>100.65</v>
      </c>
      <c r="G1063">
        <v>10.8</v>
      </c>
      <c r="H1063">
        <v>1.2</v>
      </c>
      <c r="I1063">
        <v>0.9</v>
      </c>
      <c r="J1063">
        <v>1.8184978836478705</v>
      </c>
      <c r="K1063">
        <v>1500</v>
      </c>
      <c r="L1063">
        <v>0</v>
      </c>
      <c r="N1063">
        <v>29</v>
      </c>
      <c r="O1063" s="60" t="s">
        <v>1613</v>
      </c>
      <c r="P1063" t="s">
        <v>823</v>
      </c>
      <c r="Q1063" t="s">
        <v>1071</v>
      </c>
    </row>
    <row r="1064" spans="1:17" x14ac:dyDescent="0.25">
      <c r="A1064" t="s">
        <v>19</v>
      </c>
      <c r="B1064">
        <v>15</v>
      </c>
      <c r="C1064">
        <v>100.65</v>
      </c>
      <c r="D1064">
        <v>10.8</v>
      </c>
      <c r="E1064">
        <v>140</v>
      </c>
      <c r="F1064">
        <v>100.65</v>
      </c>
      <c r="G1064">
        <v>10.8</v>
      </c>
      <c r="H1064">
        <v>1.2</v>
      </c>
      <c r="I1064">
        <v>0.9</v>
      </c>
      <c r="J1064">
        <v>56.126477890366417</v>
      </c>
      <c r="K1064">
        <v>1500</v>
      </c>
      <c r="L1064">
        <v>0</v>
      </c>
      <c r="N1064">
        <v>29</v>
      </c>
      <c r="O1064" s="60" t="s">
        <v>1614</v>
      </c>
      <c r="P1064" t="s">
        <v>750</v>
      </c>
      <c r="Q1064" t="s">
        <v>2396</v>
      </c>
    </row>
    <row r="1065" spans="1:17" x14ac:dyDescent="0.25">
      <c r="A1065" t="s">
        <v>19</v>
      </c>
      <c r="B1065">
        <v>140</v>
      </c>
      <c r="C1065">
        <v>100.65</v>
      </c>
      <c r="D1065">
        <v>10.8</v>
      </c>
      <c r="E1065">
        <v>140</v>
      </c>
      <c r="F1065">
        <v>102</v>
      </c>
      <c r="G1065">
        <v>10.8</v>
      </c>
      <c r="H1065">
        <v>1.2</v>
      </c>
      <c r="I1065">
        <v>0.9</v>
      </c>
      <c r="J1065">
        <v>0.60616596121595478</v>
      </c>
      <c r="K1065">
        <v>1500</v>
      </c>
      <c r="L1065">
        <v>0</v>
      </c>
      <c r="N1065">
        <v>29</v>
      </c>
      <c r="O1065" s="60" t="s">
        <v>1615</v>
      </c>
      <c r="P1065" t="s">
        <v>751</v>
      </c>
      <c r="Q1065" t="s">
        <v>1072</v>
      </c>
    </row>
    <row r="1066" spans="1:17" x14ac:dyDescent="0.25">
      <c r="A1066" t="s">
        <v>19</v>
      </c>
      <c r="B1066">
        <v>140</v>
      </c>
      <c r="C1066">
        <v>102</v>
      </c>
      <c r="D1066">
        <v>10.8</v>
      </c>
      <c r="E1066">
        <v>15</v>
      </c>
      <c r="F1066">
        <v>102</v>
      </c>
      <c r="G1066">
        <v>10.8</v>
      </c>
      <c r="H1066">
        <v>1.2</v>
      </c>
      <c r="I1066">
        <v>0.9</v>
      </c>
      <c r="J1066">
        <v>56.126477890366417</v>
      </c>
      <c r="K1066">
        <v>1500</v>
      </c>
      <c r="L1066">
        <v>0</v>
      </c>
      <c r="N1066">
        <v>29</v>
      </c>
      <c r="O1066" s="60" t="s">
        <v>959</v>
      </c>
      <c r="P1066" t="s">
        <v>752</v>
      </c>
      <c r="Q1066" t="s">
        <v>2397</v>
      </c>
    </row>
    <row r="1067" spans="1:17" x14ac:dyDescent="0.25">
      <c r="A1067" t="s">
        <v>19</v>
      </c>
      <c r="B1067">
        <v>15</v>
      </c>
      <c r="C1067">
        <v>102</v>
      </c>
      <c r="D1067">
        <v>10.8</v>
      </c>
      <c r="E1067">
        <v>15</v>
      </c>
      <c r="F1067">
        <v>106.05</v>
      </c>
      <c r="G1067">
        <v>10.8</v>
      </c>
      <c r="H1067">
        <v>1.2</v>
      </c>
      <c r="I1067">
        <v>0.9</v>
      </c>
      <c r="J1067">
        <v>1.8184978836478705</v>
      </c>
      <c r="K1067">
        <v>1500</v>
      </c>
      <c r="L1067">
        <v>0</v>
      </c>
      <c r="N1067">
        <v>29</v>
      </c>
      <c r="O1067" s="60" t="s">
        <v>1616</v>
      </c>
      <c r="P1067" t="s">
        <v>823</v>
      </c>
      <c r="Q1067" t="s">
        <v>1073</v>
      </c>
    </row>
    <row r="1068" spans="1:17" x14ac:dyDescent="0.25">
      <c r="A1068" t="s">
        <v>19</v>
      </c>
      <c r="B1068">
        <v>15</v>
      </c>
      <c r="C1068">
        <v>106.05</v>
      </c>
      <c r="D1068">
        <v>10.8</v>
      </c>
      <c r="E1068">
        <v>140</v>
      </c>
      <c r="F1068">
        <v>106.05</v>
      </c>
      <c r="G1068">
        <v>10.8</v>
      </c>
      <c r="H1068">
        <v>1.2</v>
      </c>
      <c r="I1068">
        <v>0.9</v>
      </c>
      <c r="J1068">
        <v>56.126477890366417</v>
      </c>
      <c r="K1068">
        <v>1500</v>
      </c>
      <c r="L1068">
        <v>0</v>
      </c>
      <c r="N1068">
        <v>29</v>
      </c>
      <c r="O1068" s="60" t="s">
        <v>1617</v>
      </c>
      <c r="P1068" t="s">
        <v>750</v>
      </c>
      <c r="Q1068" t="s">
        <v>2396</v>
      </c>
    </row>
    <row r="1069" spans="1:17" x14ac:dyDescent="0.25">
      <c r="A1069" t="s">
        <v>19</v>
      </c>
      <c r="B1069">
        <v>140</v>
      </c>
      <c r="C1069">
        <v>106.05</v>
      </c>
      <c r="D1069">
        <v>10.8</v>
      </c>
      <c r="E1069">
        <v>140</v>
      </c>
      <c r="F1069">
        <v>107.39999999999999</v>
      </c>
      <c r="G1069">
        <v>10.8</v>
      </c>
      <c r="H1069">
        <v>1.2</v>
      </c>
      <c r="I1069">
        <v>0.9</v>
      </c>
      <c r="J1069">
        <v>0.60616596121595478</v>
      </c>
      <c r="K1069">
        <v>1500</v>
      </c>
      <c r="L1069">
        <v>0</v>
      </c>
      <c r="N1069">
        <v>29</v>
      </c>
      <c r="O1069" s="60" t="s">
        <v>1618</v>
      </c>
      <c r="P1069" t="s">
        <v>751</v>
      </c>
      <c r="Q1069" t="s">
        <v>1074</v>
      </c>
    </row>
    <row r="1070" spans="1:17" x14ac:dyDescent="0.25">
      <c r="A1070" t="s">
        <v>19</v>
      </c>
      <c r="B1070">
        <v>140</v>
      </c>
      <c r="C1070">
        <v>107.39999999999999</v>
      </c>
      <c r="D1070">
        <v>10.8</v>
      </c>
      <c r="E1070">
        <v>15</v>
      </c>
      <c r="F1070">
        <v>107.39999999999999</v>
      </c>
      <c r="G1070">
        <v>10.8</v>
      </c>
      <c r="H1070">
        <v>1.2</v>
      </c>
      <c r="I1070">
        <v>0.9</v>
      </c>
      <c r="J1070">
        <v>56.126477890366417</v>
      </c>
      <c r="K1070">
        <v>1500</v>
      </c>
      <c r="L1070">
        <v>0</v>
      </c>
      <c r="N1070">
        <v>29</v>
      </c>
      <c r="O1070" s="60" t="s">
        <v>960</v>
      </c>
      <c r="P1070" t="s">
        <v>752</v>
      </c>
      <c r="Q1070" t="s">
        <v>2397</v>
      </c>
    </row>
    <row r="1071" spans="1:17" x14ac:dyDescent="0.25">
      <c r="A1071" t="s">
        <v>19</v>
      </c>
      <c r="B1071">
        <v>15</v>
      </c>
      <c r="C1071">
        <v>107.4</v>
      </c>
      <c r="D1071">
        <v>10.8</v>
      </c>
      <c r="E1071">
        <v>15</v>
      </c>
      <c r="F1071">
        <v>111.45</v>
      </c>
      <c r="G1071">
        <v>10.8</v>
      </c>
      <c r="H1071">
        <v>1.2</v>
      </c>
      <c r="I1071">
        <v>0.9</v>
      </c>
      <c r="J1071">
        <v>1.8184978836478705</v>
      </c>
      <c r="K1071">
        <v>1500</v>
      </c>
      <c r="L1071">
        <v>0</v>
      </c>
      <c r="N1071">
        <v>29</v>
      </c>
      <c r="O1071" s="60" t="s">
        <v>1619</v>
      </c>
      <c r="P1071" t="s">
        <v>823</v>
      </c>
      <c r="Q1071" t="s">
        <v>1075</v>
      </c>
    </row>
    <row r="1072" spans="1:17" x14ac:dyDescent="0.25">
      <c r="A1072" t="s">
        <v>19</v>
      </c>
      <c r="B1072">
        <v>15</v>
      </c>
      <c r="C1072">
        <v>111.45</v>
      </c>
      <c r="D1072">
        <v>10.8</v>
      </c>
      <c r="E1072">
        <v>140</v>
      </c>
      <c r="F1072">
        <v>111.45</v>
      </c>
      <c r="G1072">
        <v>10.8</v>
      </c>
      <c r="H1072">
        <v>1.2</v>
      </c>
      <c r="I1072">
        <v>0.9</v>
      </c>
      <c r="J1072">
        <v>56.126477890366417</v>
      </c>
      <c r="K1072">
        <v>1500</v>
      </c>
      <c r="L1072">
        <v>0</v>
      </c>
      <c r="N1072">
        <v>29</v>
      </c>
      <c r="O1072" s="60" t="s">
        <v>1620</v>
      </c>
      <c r="P1072" t="s">
        <v>750</v>
      </c>
      <c r="Q1072" t="s">
        <v>2396</v>
      </c>
    </row>
    <row r="1073" spans="1:17" x14ac:dyDescent="0.25">
      <c r="A1073" t="s">
        <v>19</v>
      </c>
      <c r="B1073">
        <v>140</v>
      </c>
      <c r="C1073">
        <v>111.45</v>
      </c>
      <c r="D1073">
        <v>10.8</v>
      </c>
      <c r="E1073">
        <v>140</v>
      </c>
      <c r="F1073">
        <v>112.8</v>
      </c>
      <c r="G1073">
        <v>10.8</v>
      </c>
      <c r="H1073">
        <v>1.2</v>
      </c>
      <c r="I1073">
        <v>0.9</v>
      </c>
      <c r="J1073">
        <v>0.60616596121595478</v>
      </c>
      <c r="K1073">
        <v>1500</v>
      </c>
      <c r="L1073">
        <v>0</v>
      </c>
      <c r="N1073">
        <v>29</v>
      </c>
      <c r="O1073" s="60" t="s">
        <v>1621</v>
      </c>
      <c r="P1073" t="s">
        <v>751</v>
      </c>
      <c r="Q1073" t="s">
        <v>1076</v>
      </c>
    </row>
    <row r="1074" spans="1:17" x14ac:dyDescent="0.25">
      <c r="A1074" t="s">
        <v>19</v>
      </c>
      <c r="B1074">
        <v>140</v>
      </c>
      <c r="C1074">
        <v>112.8</v>
      </c>
      <c r="D1074">
        <v>10.8</v>
      </c>
      <c r="E1074">
        <v>15</v>
      </c>
      <c r="F1074">
        <v>112.8</v>
      </c>
      <c r="G1074">
        <v>10.8</v>
      </c>
      <c r="H1074">
        <v>1.2</v>
      </c>
      <c r="I1074">
        <v>0.9</v>
      </c>
      <c r="J1074">
        <v>56.126477890366417</v>
      </c>
      <c r="K1074">
        <v>1500</v>
      </c>
      <c r="L1074">
        <v>0</v>
      </c>
      <c r="N1074">
        <v>29</v>
      </c>
      <c r="O1074" s="60" t="s">
        <v>961</v>
      </c>
      <c r="P1074" t="s">
        <v>752</v>
      </c>
      <c r="Q1074" t="s">
        <v>2397</v>
      </c>
    </row>
    <row r="1075" spans="1:17" x14ac:dyDescent="0.25">
      <c r="A1075" t="s">
        <v>19</v>
      </c>
      <c r="B1075">
        <v>15</v>
      </c>
      <c r="C1075">
        <v>112.8</v>
      </c>
      <c r="D1075">
        <v>10.8</v>
      </c>
      <c r="E1075">
        <v>15</v>
      </c>
      <c r="F1075">
        <v>116.85</v>
      </c>
      <c r="G1075">
        <v>10.8</v>
      </c>
      <c r="H1075">
        <v>1.2</v>
      </c>
      <c r="I1075">
        <v>0.9</v>
      </c>
      <c r="J1075">
        <v>1.8184978836478705</v>
      </c>
      <c r="K1075">
        <v>1500</v>
      </c>
      <c r="L1075">
        <v>0</v>
      </c>
      <c r="N1075">
        <v>29</v>
      </c>
      <c r="O1075" s="60" t="s">
        <v>1622</v>
      </c>
      <c r="P1075" t="s">
        <v>823</v>
      </c>
      <c r="Q1075" t="s">
        <v>1077</v>
      </c>
    </row>
    <row r="1076" spans="1:17" x14ac:dyDescent="0.25">
      <c r="A1076" t="s">
        <v>19</v>
      </c>
      <c r="B1076">
        <v>15</v>
      </c>
      <c r="C1076">
        <v>116.85</v>
      </c>
      <c r="D1076">
        <v>10.8</v>
      </c>
      <c r="E1076">
        <v>140</v>
      </c>
      <c r="F1076">
        <v>116.85</v>
      </c>
      <c r="G1076">
        <v>10.8</v>
      </c>
      <c r="H1076">
        <v>1.2</v>
      </c>
      <c r="I1076">
        <v>0.9</v>
      </c>
      <c r="J1076">
        <v>56.126477890366417</v>
      </c>
      <c r="K1076">
        <v>1500</v>
      </c>
      <c r="L1076">
        <v>0</v>
      </c>
      <c r="N1076">
        <v>29</v>
      </c>
      <c r="O1076" s="60" t="s">
        <v>1623</v>
      </c>
      <c r="P1076" t="s">
        <v>750</v>
      </c>
      <c r="Q1076" t="s">
        <v>2396</v>
      </c>
    </row>
    <row r="1077" spans="1:17" x14ac:dyDescent="0.25">
      <c r="A1077" t="s">
        <v>19</v>
      </c>
      <c r="B1077">
        <v>140</v>
      </c>
      <c r="C1077">
        <v>116.85</v>
      </c>
      <c r="D1077">
        <v>10.8</v>
      </c>
      <c r="E1077">
        <v>140</v>
      </c>
      <c r="F1077">
        <v>118.19999999999999</v>
      </c>
      <c r="G1077">
        <v>10.8</v>
      </c>
      <c r="H1077">
        <v>1.2</v>
      </c>
      <c r="I1077">
        <v>0.9</v>
      </c>
      <c r="J1077">
        <v>0.60616596121595478</v>
      </c>
      <c r="K1077">
        <v>1500</v>
      </c>
      <c r="L1077">
        <v>0</v>
      </c>
      <c r="N1077">
        <v>29</v>
      </c>
      <c r="O1077" s="60" t="s">
        <v>1624</v>
      </c>
      <c r="P1077" t="s">
        <v>751</v>
      </c>
      <c r="Q1077" t="s">
        <v>1078</v>
      </c>
    </row>
    <row r="1078" spans="1:17" x14ac:dyDescent="0.25">
      <c r="A1078" t="s">
        <v>19</v>
      </c>
      <c r="B1078">
        <v>140</v>
      </c>
      <c r="C1078">
        <v>118.19999999999999</v>
      </c>
      <c r="D1078">
        <v>10.8</v>
      </c>
      <c r="E1078">
        <v>15</v>
      </c>
      <c r="F1078">
        <v>118.19999999999999</v>
      </c>
      <c r="G1078">
        <v>10.8</v>
      </c>
      <c r="H1078">
        <v>1.2</v>
      </c>
      <c r="I1078">
        <v>0.9</v>
      </c>
      <c r="J1078">
        <v>56.126477890366417</v>
      </c>
      <c r="K1078">
        <v>1500</v>
      </c>
      <c r="L1078">
        <v>0</v>
      </c>
      <c r="N1078">
        <v>29</v>
      </c>
      <c r="O1078" s="60" t="s">
        <v>962</v>
      </c>
      <c r="P1078" t="s">
        <v>752</v>
      </c>
      <c r="Q1078" t="s">
        <v>2397</v>
      </c>
    </row>
    <row r="1079" spans="1:17" x14ac:dyDescent="0.25">
      <c r="A1079" t="s">
        <v>19</v>
      </c>
      <c r="B1079">
        <v>15</v>
      </c>
      <c r="C1079">
        <v>118.2</v>
      </c>
      <c r="D1079">
        <v>10.8</v>
      </c>
      <c r="E1079">
        <v>15</v>
      </c>
      <c r="F1079">
        <v>122.25</v>
      </c>
      <c r="G1079">
        <v>10.8</v>
      </c>
      <c r="H1079">
        <v>1.2</v>
      </c>
      <c r="I1079">
        <v>0.9</v>
      </c>
      <c r="J1079">
        <v>1.8184978836478705</v>
      </c>
      <c r="K1079">
        <v>1500</v>
      </c>
      <c r="L1079">
        <v>0</v>
      </c>
      <c r="N1079">
        <v>29</v>
      </c>
      <c r="O1079" s="60" t="s">
        <v>2242</v>
      </c>
      <c r="P1079" t="s">
        <v>823</v>
      </c>
      <c r="Q1079" t="s">
        <v>1955</v>
      </c>
    </row>
    <row r="1080" spans="1:17" x14ac:dyDescent="0.25">
      <c r="A1080" t="s">
        <v>19</v>
      </c>
      <c r="B1080">
        <v>15</v>
      </c>
      <c r="C1080">
        <v>122.25</v>
      </c>
      <c r="D1080">
        <v>10.8</v>
      </c>
      <c r="E1080">
        <v>140</v>
      </c>
      <c r="F1080">
        <v>122.25</v>
      </c>
      <c r="G1080">
        <v>10.8</v>
      </c>
      <c r="H1080">
        <v>1.2</v>
      </c>
      <c r="I1080">
        <v>0.9</v>
      </c>
      <c r="J1080">
        <v>56.126477890366417</v>
      </c>
      <c r="K1080">
        <v>1500</v>
      </c>
      <c r="L1080">
        <v>0</v>
      </c>
      <c r="N1080">
        <v>29</v>
      </c>
      <c r="O1080" s="60" t="s">
        <v>2243</v>
      </c>
      <c r="P1080" t="s">
        <v>750</v>
      </c>
      <c r="Q1080" t="s">
        <v>2396</v>
      </c>
    </row>
    <row r="1081" spans="1:17" x14ac:dyDescent="0.25">
      <c r="A1081" t="s">
        <v>19</v>
      </c>
      <c r="B1081">
        <v>140</v>
      </c>
      <c r="C1081">
        <v>122.25</v>
      </c>
      <c r="D1081">
        <v>10.8</v>
      </c>
      <c r="E1081">
        <v>140</v>
      </c>
      <c r="F1081">
        <v>123.6</v>
      </c>
      <c r="G1081">
        <v>10.8</v>
      </c>
      <c r="H1081">
        <v>1.2</v>
      </c>
      <c r="I1081">
        <v>0.9</v>
      </c>
      <c r="J1081">
        <v>0.60616596121595478</v>
      </c>
      <c r="K1081">
        <v>1500</v>
      </c>
      <c r="L1081">
        <v>0</v>
      </c>
      <c r="N1081">
        <v>29</v>
      </c>
      <c r="O1081" s="60" t="s">
        <v>2244</v>
      </c>
      <c r="P1081" t="s">
        <v>751</v>
      </c>
      <c r="Q1081" t="s">
        <v>1958</v>
      </c>
    </row>
    <row r="1082" spans="1:17" x14ac:dyDescent="0.25">
      <c r="A1082" t="s">
        <v>19</v>
      </c>
      <c r="B1082">
        <v>140</v>
      </c>
      <c r="C1082">
        <v>123.6</v>
      </c>
      <c r="D1082">
        <v>10.8</v>
      </c>
      <c r="E1082">
        <v>15</v>
      </c>
      <c r="F1082">
        <v>123.6</v>
      </c>
      <c r="G1082">
        <v>10.8</v>
      </c>
      <c r="H1082">
        <v>1.2</v>
      </c>
      <c r="I1082">
        <v>0.9</v>
      </c>
      <c r="J1082">
        <v>56.126477890366417</v>
      </c>
      <c r="K1082">
        <v>1500</v>
      </c>
      <c r="L1082">
        <v>0</v>
      </c>
      <c r="N1082">
        <v>29</v>
      </c>
      <c r="O1082" s="60" t="s">
        <v>2245</v>
      </c>
      <c r="P1082" t="s">
        <v>752</v>
      </c>
      <c r="Q1082" t="s">
        <v>2397</v>
      </c>
    </row>
    <row r="1083" spans="1:17" x14ac:dyDescent="0.25">
      <c r="A1083" t="s">
        <v>19</v>
      </c>
      <c r="B1083">
        <v>15</v>
      </c>
      <c r="C1083">
        <v>123.60000000000001</v>
      </c>
      <c r="D1083">
        <v>10.8</v>
      </c>
      <c r="E1083">
        <v>15</v>
      </c>
      <c r="F1083">
        <v>127.65</v>
      </c>
      <c r="G1083">
        <v>10.8</v>
      </c>
      <c r="H1083">
        <v>1.2</v>
      </c>
      <c r="I1083">
        <v>0.9</v>
      </c>
      <c r="J1083">
        <v>1.8184978836478705</v>
      </c>
      <c r="K1083">
        <v>1500</v>
      </c>
      <c r="L1083">
        <v>0</v>
      </c>
      <c r="N1083">
        <v>29</v>
      </c>
      <c r="O1083" s="60" t="s">
        <v>2246</v>
      </c>
      <c r="P1083" t="s">
        <v>823</v>
      </c>
      <c r="Q1083" t="s">
        <v>1961</v>
      </c>
    </row>
    <row r="1084" spans="1:17" x14ac:dyDescent="0.25">
      <c r="A1084" t="s">
        <v>19</v>
      </c>
      <c r="B1084">
        <v>15</v>
      </c>
      <c r="C1084">
        <v>127.65</v>
      </c>
      <c r="D1084">
        <v>10.8</v>
      </c>
      <c r="E1084">
        <v>140</v>
      </c>
      <c r="F1084">
        <v>127.65</v>
      </c>
      <c r="G1084">
        <v>10.8</v>
      </c>
      <c r="H1084">
        <v>1.2</v>
      </c>
      <c r="I1084">
        <v>0.9</v>
      </c>
      <c r="J1084">
        <v>56.126477890366417</v>
      </c>
      <c r="K1084">
        <v>1500</v>
      </c>
      <c r="L1084">
        <v>0</v>
      </c>
      <c r="N1084">
        <v>29</v>
      </c>
      <c r="O1084" s="60" t="s">
        <v>2247</v>
      </c>
      <c r="P1084" t="s">
        <v>750</v>
      </c>
      <c r="Q1084" t="s">
        <v>2396</v>
      </c>
    </row>
    <row r="1085" spans="1:17" x14ac:dyDescent="0.25">
      <c r="A1085" t="s">
        <v>19</v>
      </c>
      <c r="B1085">
        <v>140</v>
      </c>
      <c r="C1085">
        <v>127.65</v>
      </c>
      <c r="D1085">
        <v>10.8</v>
      </c>
      <c r="E1085">
        <v>140</v>
      </c>
      <c r="F1085">
        <v>129</v>
      </c>
      <c r="G1085">
        <v>10.8</v>
      </c>
      <c r="H1085">
        <v>1.2</v>
      </c>
      <c r="I1085">
        <v>0.9</v>
      </c>
      <c r="J1085">
        <v>0.60616596121595478</v>
      </c>
      <c r="K1085">
        <v>1500</v>
      </c>
      <c r="L1085">
        <v>0</v>
      </c>
      <c r="N1085">
        <v>29</v>
      </c>
      <c r="O1085" s="60" t="s">
        <v>2248</v>
      </c>
      <c r="P1085" t="s">
        <v>751</v>
      </c>
      <c r="Q1085" t="s">
        <v>1964</v>
      </c>
    </row>
    <row r="1086" spans="1:17" x14ac:dyDescent="0.25">
      <c r="A1086" t="s">
        <v>19</v>
      </c>
      <c r="B1086">
        <v>140</v>
      </c>
      <c r="C1086">
        <v>129</v>
      </c>
      <c r="D1086">
        <v>10.8</v>
      </c>
      <c r="E1086">
        <v>15</v>
      </c>
      <c r="F1086">
        <v>129</v>
      </c>
      <c r="G1086">
        <v>10.8</v>
      </c>
      <c r="H1086">
        <v>1.2</v>
      </c>
      <c r="I1086">
        <v>0.9</v>
      </c>
      <c r="J1086">
        <v>56.126477890366417</v>
      </c>
      <c r="K1086">
        <v>1500</v>
      </c>
      <c r="L1086">
        <v>0</v>
      </c>
      <c r="N1086">
        <v>29</v>
      </c>
      <c r="O1086" s="60" t="s">
        <v>2249</v>
      </c>
      <c r="P1086" t="s">
        <v>752</v>
      </c>
      <c r="Q1086" t="s">
        <v>2397</v>
      </c>
    </row>
    <row r="1087" spans="1:17" x14ac:dyDescent="0.25">
      <c r="A1087" t="s">
        <v>49</v>
      </c>
      <c r="B1087" t="s">
        <v>811</v>
      </c>
      <c r="N1087">
        <v>29</v>
      </c>
      <c r="O1087" s="60" t="s">
        <v>963</v>
      </c>
      <c r="P1087" t="s">
        <v>749</v>
      </c>
      <c r="Q1087" t="s">
        <v>811</v>
      </c>
    </row>
    <row r="1088" spans="1:17" x14ac:dyDescent="0.25">
      <c r="A1088" t="s">
        <v>49</v>
      </c>
      <c r="B1088" t="s">
        <v>203</v>
      </c>
      <c r="C1088">
        <v>1</v>
      </c>
      <c r="N1088">
        <v>29</v>
      </c>
      <c r="O1088" s="60" t="s">
        <v>964</v>
      </c>
      <c r="P1088" t="s">
        <v>754</v>
      </c>
      <c r="Q1088" t="s">
        <v>468</v>
      </c>
    </row>
    <row r="1089" spans="1:17" x14ac:dyDescent="0.25">
      <c r="A1089" t="s">
        <v>49</v>
      </c>
      <c r="B1089" t="s">
        <v>634</v>
      </c>
      <c r="N1089">
        <v>29</v>
      </c>
      <c r="O1089" s="60" t="s">
        <v>965</v>
      </c>
      <c r="P1089" t="s">
        <v>758</v>
      </c>
      <c r="Q1089" t="s">
        <v>634</v>
      </c>
    </row>
    <row r="1090" spans="1:17" x14ac:dyDescent="0.25">
      <c r="A1090" t="s">
        <v>23</v>
      </c>
      <c r="B1090">
        <v>15</v>
      </c>
      <c r="C1090">
        <v>129</v>
      </c>
      <c r="D1090">
        <v>10.8</v>
      </c>
      <c r="E1090">
        <v>141.35</v>
      </c>
      <c r="F1090">
        <v>76.349999999999994</v>
      </c>
      <c r="G1090">
        <v>10.8001</v>
      </c>
      <c r="H1090">
        <v>0</v>
      </c>
      <c r="I1090">
        <v>0</v>
      </c>
      <c r="K1090">
        <v>48000</v>
      </c>
      <c r="N1090">
        <v>0</v>
      </c>
      <c r="O1090" s="60">
        <v>0</v>
      </c>
      <c r="P1090" t="s">
        <v>661</v>
      </c>
      <c r="Q1090" t="s">
        <v>2403</v>
      </c>
    </row>
    <row r="1091" spans="1:17" x14ac:dyDescent="0.25">
      <c r="A1091" t="s">
        <v>19</v>
      </c>
      <c r="B1091">
        <v>141.35</v>
      </c>
      <c r="C1091">
        <v>76.349999999999994</v>
      </c>
      <c r="D1091">
        <v>10.8001</v>
      </c>
      <c r="E1091">
        <v>16.349999999999994</v>
      </c>
      <c r="F1091">
        <v>76.349999999999994</v>
      </c>
      <c r="G1091">
        <v>10.8001</v>
      </c>
      <c r="H1091">
        <v>1.2</v>
      </c>
      <c r="I1091">
        <v>0.9</v>
      </c>
      <c r="J1091">
        <v>56.126477890366417</v>
      </c>
      <c r="K1091">
        <v>1500</v>
      </c>
      <c r="L1091">
        <v>0</v>
      </c>
      <c r="N1091">
        <v>29</v>
      </c>
      <c r="O1091" s="60" t="s">
        <v>2250</v>
      </c>
      <c r="P1091" t="s">
        <v>1984</v>
      </c>
      <c r="Q1091" t="s">
        <v>2393</v>
      </c>
    </row>
    <row r="1092" spans="1:17" x14ac:dyDescent="0.25">
      <c r="A1092" t="s">
        <v>19</v>
      </c>
      <c r="B1092">
        <v>16.349999999999994</v>
      </c>
      <c r="C1092">
        <v>76.349999999999994</v>
      </c>
      <c r="D1092">
        <v>10.8001</v>
      </c>
      <c r="E1092">
        <v>16.349999999999994</v>
      </c>
      <c r="F1092">
        <v>77.699999999999989</v>
      </c>
      <c r="G1092">
        <v>10.8001</v>
      </c>
      <c r="H1092">
        <v>1.2</v>
      </c>
      <c r="I1092">
        <v>0.9</v>
      </c>
      <c r="J1092">
        <v>0.60616596121595478</v>
      </c>
      <c r="K1092">
        <v>1500</v>
      </c>
      <c r="L1092">
        <v>0</v>
      </c>
      <c r="N1092">
        <v>29</v>
      </c>
      <c r="O1092" s="60" t="s">
        <v>2251</v>
      </c>
      <c r="P1092" t="s">
        <v>1986</v>
      </c>
      <c r="Q1092" t="s">
        <v>876</v>
      </c>
    </row>
    <row r="1093" spans="1:17" x14ac:dyDescent="0.25">
      <c r="A1093" t="s">
        <v>19</v>
      </c>
      <c r="B1093">
        <v>16.349999999999994</v>
      </c>
      <c r="C1093">
        <v>77.699999999999989</v>
      </c>
      <c r="D1093">
        <v>10.8001</v>
      </c>
      <c r="E1093">
        <v>141.35</v>
      </c>
      <c r="F1093">
        <v>77.699999999999989</v>
      </c>
      <c r="G1093">
        <v>10.8001</v>
      </c>
      <c r="H1093">
        <v>1.2</v>
      </c>
      <c r="I1093">
        <v>0.9</v>
      </c>
      <c r="J1093">
        <v>56.126477890366417</v>
      </c>
      <c r="K1093">
        <v>1500</v>
      </c>
      <c r="L1093">
        <v>0</v>
      </c>
      <c r="N1093">
        <v>29</v>
      </c>
      <c r="O1093" s="60" t="s">
        <v>2252</v>
      </c>
      <c r="P1093" t="s">
        <v>1988</v>
      </c>
      <c r="Q1093" t="s">
        <v>2394</v>
      </c>
    </row>
    <row r="1094" spans="1:17" x14ac:dyDescent="0.25">
      <c r="A1094" t="s">
        <v>19</v>
      </c>
      <c r="B1094">
        <v>141.35</v>
      </c>
      <c r="C1094">
        <v>77.699999999999989</v>
      </c>
      <c r="D1094">
        <v>10.8001</v>
      </c>
      <c r="E1094">
        <v>141.35</v>
      </c>
      <c r="F1094">
        <v>81.749999999999986</v>
      </c>
      <c r="G1094">
        <v>10.8001</v>
      </c>
      <c r="H1094">
        <v>1.2</v>
      </c>
      <c r="I1094">
        <v>0.9</v>
      </c>
      <c r="J1094">
        <v>1.8184978836478705</v>
      </c>
      <c r="K1094">
        <v>1500</v>
      </c>
      <c r="L1094">
        <v>0</v>
      </c>
      <c r="N1094">
        <v>29</v>
      </c>
      <c r="O1094" s="60" t="s">
        <v>2253</v>
      </c>
      <c r="P1094" t="s">
        <v>1990</v>
      </c>
      <c r="Q1094" t="s">
        <v>877</v>
      </c>
    </row>
    <row r="1095" spans="1:17" x14ac:dyDescent="0.25">
      <c r="A1095" t="s">
        <v>19</v>
      </c>
      <c r="B1095">
        <v>141.35</v>
      </c>
      <c r="C1095">
        <v>81.75</v>
      </c>
      <c r="D1095">
        <v>10.8001</v>
      </c>
      <c r="E1095">
        <v>16.349999999999994</v>
      </c>
      <c r="F1095">
        <v>81.75</v>
      </c>
      <c r="G1095">
        <v>10.8001</v>
      </c>
      <c r="H1095">
        <v>1.2</v>
      </c>
      <c r="I1095">
        <v>0.9</v>
      </c>
      <c r="J1095">
        <v>56.126477890366417</v>
      </c>
      <c r="K1095">
        <v>1500</v>
      </c>
      <c r="L1095">
        <v>0</v>
      </c>
      <c r="N1095">
        <v>29</v>
      </c>
      <c r="O1095" s="60" t="s">
        <v>1625</v>
      </c>
      <c r="P1095" t="s">
        <v>824</v>
      </c>
      <c r="Q1095" t="s">
        <v>2395</v>
      </c>
    </row>
    <row r="1096" spans="1:17" x14ac:dyDescent="0.25">
      <c r="A1096" t="s">
        <v>19</v>
      </c>
      <c r="B1096">
        <v>16.349999999999994</v>
      </c>
      <c r="C1096">
        <v>81.75</v>
      </c>
      <c r="D1096">
        <v>10.8001</v>
      </c>
      <c r="E1096">
        <v>16.349999999999994</v>
      </c>
      <c r="F1096">
        <v>83.1</v>
      </c>
      <c r="G1096">
        <v>10.8001</v>
      </c>
      <c r="H1096">
        <v>1.2</v>
      </c>
      <c r="I1096">
        <v>0.9</v>
      </c>
      <c r="J1096">
        <v>0.60616596121595478</v>
      </c>
      <c r="K1096">
        <v>1500</v>
      </c>
      <c r="L1096">
        <v>0</v>
      </c>
      <c r="N1096">
        <v>29</v>
      </c>
      <c r="O1096" s="60" t="s">
        <v>1626</v>
      </c>
      <c r="P1096" t="s">
        <v>825</v>
      </c>
      <c r="Q1096" t="s">
        <v>1024</v>
      </c>
    </row>
    <row r="1097" spans="1:17" x14ac:dyDescent="0.25">
      <c r="A1097" t="s">
        <v>19</v>
      </c>
      <c r="B1097">
        <v>16.349999999999994</v>
      </c>
      <c r="C1097">
        <v>83.1</v>
      </c>
      <c r="D1097">
        <v>10.8001</v>
      </c>
      <c r="E1097">
        <v>141.35</v>
      </c>
      <c r="F1097">
        <v>83.1</v>
      </c>
      <c r="G1097">
        <v>10.8001</v>
      </c>
      <c r="H1097">
        <v>1.2</v>
      </c>
      <c r="I1097">
        <v>0.9</v>
      </c>
      <c r="J1097">
        <v>56.126477890366417</v>
      </c>
      <c r="K1097">
        <v>1500</v>
      </c>
      <c r="L1097">
        <v>0</v>
      </c>
      <c r="N1097">
        <v>29</v>
      </c>
      <c r="O1097" s="60" t="s">
        <v>1627</v>
      </c>
      <c r="P1097" t="s">
        <v>755</v>
      </c>
      <c r="Q1097" t="s">
        <v>2394</v>
      </c>
    </row>
    <row r="1098" spans="1:17" x14ac:dyDescent="0.25">
      <c r="A1098" t="s">
        <v>19</v>
      </c>
      <c r="B1098">
        <v>141.35</v>
      </c>
      <c r="C1098">
        <v>83.1</v>
      </c>
      <c r="D1098">
        <v>10.8001</v>
      </c>
      <c r="E1098">
        <v>141.35</v>
      </c>
      <c r="F1098">
        <v>87.149999999999991</v>
      </c>
      <c r="G1098">
        <v>10.8001</v>
      </c>
      <c r="H1098">
        <v>1.2</v>
      </c>
      <c r="I1098">
        <v>0.9</v>
      </c>
      <c r="J1098">
        <v>1.8184978836478705</v>
      </c>
      <c r="K1098">
        <v>1500</v>
      </c>
      <c r="L1098">
        <v>0</v>
      </c>
      <c r="N1098">
        <v>29</v>
      </c>
      <c r="O1098" s="60" t="s">
        <v>1628</v>
      </c>
      <c r="P1098" t="s">
        <v>756</v>
      </c>
      <c r="Q1098" t="s">
        <v>1025</v>
      </c>
    </row>
    <row r="1099" spans="1:17" x14ac:dyDescent="0.25">
      <c r="A1099" t="s">
        <v>19</v>
      </c>
      <c r="B1099">
        <v>141.35</v>
      </c>
      <c r="C1099">
        <v>87.149999999999991</v>
      </c>
      <c r="D1099">
        <v>10.8001</v>
      </c>
      <c r="E1099">
        <v>16.349999999999994</v>
      </c>
      <c r="F1099">
        <v>87.149999999999991</v>
      </c>
      <c r="G1099">
        <v>10.8001</v>
      </c>
      <c r="H1099">
        <v>1.2</v>
      </c>
      <c r="I1099">
        <v>0.9</v>
      </c>
      <c r="J1099">
        <v>56.126477890366417</v>
      </c>
      <c r="K1099">
        <v>1500</v>
      </c>
      <c r="L1099">
        <v>0</v>
      </c>
      <c r="N1099">
        <v>29</v>
      </c>
      <c r="O1099" s="60" t="s">
        <v>1629</v>
      </c>
      <c r="P1099" t="s">
        <v>824</v>
      </c>
      <c r="Q1099" t="s">
        <v>2395</v>
      </c>
    </row>
    <row r="1100" spans="1:17" x14ac:dyDescent="0.25">
      <c r="A1100" t="s">
        <v>19</v>
      </c>
      <c r="B1100">
        <v>16.349999999999994</v>
      </c>
      <c r="C1100">
        <v>87.149999999999991</v>
      </c>
      <c r="D1100">
        <v>10.8001</v>
      </c>
      <c r="E1100">
        <v>16.349999999999994</v>
      </c>
      <c r="F1100">
        <v>88.499999999999986</v>
      </c>
      <c r="G1100">
        <v>10.8001</v>
      </c>
      <c r="H1100">
        <v>1.2</v>
      </c>
      <c r="I1100">
        <v>0.9</v>
      </c>
      <c r="J1100">
        <v>0.60616596121595478</v>
      </c>
      <c r="K1100">
        <v>1500</v>
      </c>
      <c r="L1100">
        <v>0</v>
      </c>
      <c r="N1100">
        <v>29</v>
      </c>
      <c r="O1100" s="60" t="s">
        <v>1630</v>
      </c>
      <c r="P1100" t="s">
        <v>825</v>
      </c>
      <c r="Q1100" t="s">
        <v>1026</v>
      </c>
    </row>
    <row r="1101" spans="1:17" x14ac:dyDescent="0.25">
      <c r="A1101" t="s">
        <v>19</v>
      </c>
      <c r="B1101">
        <v>16.349999999999994</v>
      </c>
      <c r="C1101">
        <v>88.499999999999986</v>
      </c>
      <c r="D1101">
        <v>10.8001</v>
      </c>
      <c r="E1101">
        <v>141.35</v>
      </c>
      <c r="F1101">
        <v>88.499999999999986</v>
      </c>
      <c r="G1101">
        <v>10.8001</v>
      </c>
      <c r="H1101">
        <v>1.2</v>
      </c>
      <c r="I1101">
        <v>0.9</v>
      </c>
      <c r="J1101">
        <v>56.126477890366417</v>
      </c>
      <c r="K1101">
        <v>1500</v>
      </c>
      <c r="L1101">
        <v>0</v>
      </c>
      <c r="N1101">
        <v>29</v>
      </c>
      <c r="O1101" s="60" t="s">
        <v>1631</v>
      </c>
      <c r="P1101" t="s">
        <v>755</v>
      </c>
      <c r="Q1101" t="s">
        <v>2394</v>
      </c>
    </row>
    <row r="1102" spans="1:17" x14ac:dyDescent="0.25">
      <c r="A1102" t="s">
        <v>19</v>
      </c>
      <c r="B1102">
        <v>141.35</v>
      </c>
      <c r="C1102">
        <v>88.499999999999986</v>
      </c>
      <c r="D1102">
        <v>10.8001</v>
      </c>
      <c r="E1102">
        <v>141.35</v>
      </c>
      <c r="F1102">
        <v>92.549999999999983</v>
      </c>
      <c r="G1102">
        <v>10.8001</v>
      </c>
      <c r="H1102">
        <v>1.2</v>
      </c>
      <c r="I1102">
        <v>0.9</v>
      </c>
      <c r="J1102">
        <v>1.8184978836478705</v>
      </c>
      <c r="K1102">
        <v>1500</v>
      </c>
      <c r="L1102">
        <v>0</v>
      </c>
      <c r="N1102">
        <v>29</v>
      </c>
      <c r="O1102" s="60" t="s">
        <v>1632</v>
      </c>
      <c r="P1102" t="s">
        <v>756</v>
      </c>
      <c r="Q1102" t="s">
        <v>1027</v>
      </c>
    </row>
    <row r="1103" spans="1:17" x14ac:dyDescent="0.25">
      <c r="A1103" t="s">
        <v>19</v>
      </c>
      <c r="B1103">
        <v>141.35</v>
      </c>
      <c r="C1103">
        <v>92.55</v>
      </c>
      <c r="D1103">
        <v>10.8001</v>
      </c>
      <c r="E1103">
        <v>16.349999999999994</v>
      </c>
      <c r="F1103">
        <v>92.55</v>
      </c>
      <c r="G1103">
        <v>10.8001</v>
      </c>
      <c r="H1103">
        <v>1.2</v>
      </c>
      <c r="I1103">
        <v>0.9</v>
      </c>
      <c r="J1103">
        <v>56.126477890366417</v>
      </c>
      <c r="K1103">
        <v>1500</v>
      </c>
      <c r="L1103">
        <v>0</v>
      </c>
      <c r="N1103">
        <v>29</v>
      </c>
      <c r="O1103" s="60" t="s">
        <v>1633</v>
      </c>
      <c r="P1103" t="s">
        <v>824</v>
      </c>
      <c r="Q1103" t="s">
        <v>2395</v>
      </c>
    </row>
    <row r="1104" spans="1:17" x14ac:dyDescent="0.25">
      <c r="A1104" t="s">
        <v>19</v>
      </c>
      <c r="B1104">
        <v>16.349999999999994</v>
      </c>
      <c r="C1104">
        <v>92.55</v>
      </c>
      <c r="D1104">
        <v>10.8001</v>
      </c>
      <c r="E1104">
        <v>16.349999999999994</v>
      </c>
      <c r="F1104">
        <v>93.899999999999991</v>
      </c>
      <c r="G1104">
        <v>10.8001</v>
      </c>
      <c r="H1104">
        <v>1.2</v>
      </c>
      <c r="I1104">
        <v>0.9</v>
      </c>
      <c r="J1104">
        <v>0.60616596121595478</v>
      </c>
      <c r="K1104">
        <v>1500</v>
      </c>
      <c r="L1104">
        <v>0</v>
      </c>
      <c r="N1104">
        <v>29</v>
      </c>
      <c r="O1104" s="60" t="s">
        <v>1634</v>
      </c>
      <c r="P1104" t="s">
        <v>825</v>
      </c>
      <c r="Q1104" t="s">
        <v>1028</v>
      </c>
    </row>
    <row r="1105" spans="1:17" x14ac:dyDescent="0.25">
      <c r="A1105" t="s">
        <v>19</v>
      </c>
      <c r="B1105">
        <v>16.349999999999994</v>
      </c>
      <c r="C1105">
        <v>93.899999999999991</v>
      </c>
      <c r="D1105">
        <v>10.8001</v>
      </c>
      <c r="E1105">
        <v>141.35</v>
      </c>
      <c r="F1105">
        <v>93.899999999999991</v>
      </c>
      <c r="G1105">
        <v>10.8001</v>
      </c>
      <c r="H1105">
        <v>1.2</v>
      </c>
      <c r="I1105">
        <v>0.9</v>
      </c>
      <c r="J1105">
        <v>56.126477890366417</v>
      </c>
      <c r="K1105">
        <v>1500</v>
      </c>
      <c r="L1105">
        <v>0</v>
      </c>
      <c r="N1105">
        <v>29</v>
      </c>
      <c r="O1105" s="60" t="s">
        <v>1635</v>
      </c>
      <c r="P1105" t="s">
        <v>755</v>
      </c>
      <c r="Q1105" t="s">
        <v>2394</v>
      </c>
    </row>
    <row r="1106" spans="1:17" x14ac:dyDescent="0.25">
      <c r="A1106" t="s">
        <v>19</v>
      </c>
      <c r="B1106">
        <v>141.35</v>
      </c>
      <c r="C1106">
        <v>93.899999999999991</v>
      </c>
      <c r="D1106">
        <v>10.8001</v>
      </c>
      <c r="E1106">
        <v>141.35</v>
      </c>
      <c r="F1106">
        <v>97.949999999999989</v>
      </c>
      <c r="G1106">
        <v>10.8001</v>
      </c>
      <c r="H1106">
        <v>1.2</v>
      </c>
      <c r="I1106">
        <v>0.9</v>
      </c>
      <c r="J1106">
        <v>1.8184978836478705</v>
      </c>
      <c r="K1106">
        <v>1500</v>
      </c>
      <c r="L1106">
        <v>0</v>
      </c>
      <c r="N1106">
        <v>29</v>
      </c>
      <c r="O1106" s="60" t="s">
        <v>1636</v>
      </c>
      <c r="P1106" t="s">
        <v>756</v>
      </c>
      <c r="Q1106" t="s">
        <v>1029</v>
      </c>
    </row>
    <row r="1107" spans="1:17" x14ac:dyDescent="0.25">
      <c r="A1107" t="s">
        <v>19</v>
      </c>
      <c r="B1107">
        <v>141.35</v>
      </c>
      <c r="C1107">
        <v>97.949999999999989</v>
      </c>
      <c r="D1107">
        <v>10.8001</v>
      </c>
      <c r="E1107">
        <v>16.349999999999994</v>
      </c>
      <c r="F1107">
        <v>97.949999999999989</v>
      </c>
      <c r="G1107">
        <v>10.8001</v>
      </c>
      <c r="H1107">
        <v>1.2</v>
      </c>
      <c r="I1107">
        <v>0.9</v>
      </c>
      <c r="J1107">
        <v>56.126477890366417</v>
      </c>
      <c r="K1107">
        <v>1500</v>
      </c>
      <c r="L1107">
        <v>0</v>
      </c>
      <c r="N1107">
        <v>29</v>
      </c>
      <c r="O1107" s="60" t="s">
        <v>1637</v>
      </c>
      <c r="P1107" t="s">
        <v>824</v>
      </c>
      <c r="Q1107" t="s">
        <v>2395</v>
      </c>
    </row>
    <row r="1108" spans="1:17" x14ac:dyDescent="0.25">
      <c r="A1108" t="s">
        <v>19</v>
      </c>
      <c r="B1108">
        <v>16.349999999999994</v>
      </c>
      <c r="C1108">
        <v>97.949999999999989</v>
      </c>
      <c r="D1108">
        <v>10.8001</v>
      </c>
      <c r="E1108">
        <v>16.349999999999994</v>
      </c>
      <c r="F1108">
        <v>99.299999999999983</v>
      </c>
      <c r="G1108">
        <v>10.8001</v>
      </c>
      <c r="H1108">
        <v>1.2</v>
      </c>
      <c r="I1108">
        <v>0.9</v>
      </c>
      <c r="J1108">
        <v>0.60616596121595478</v>
      </c>
      <c r="K1108">
        <v>1500</v>
      </c>
      <c r="L1108">
        <v>0</v>
      </c>
      <c r="N1108">
        <v>29</v>
      </c>
      <c r="O1108" s="60" t="s">
        <v>1638</v>
      </c>
      <c r="P1108" t="s">
        <v>825</v>
      </c>
      <c r="Q1108" t="s">
        <v>1030</v>
      </c>
    </row>
    <row r="1109" spans="1:17" x14ac:dyDescent="0.25">
      <c r="A1109" t="s">
        <v>19</v>
      </c>
      <c r="B1109">
        <v>16.349999999999994</v>
      </c>
      <c r="C1109">
        <v>99.299999999999983</v>
      </c>
      <c r="D1109">
        <v>10.8001</v>
      </c>
      <c r="E1109">
        <v>141.35</v>
      </c>
      <c r="F1109">
        <v>99.299999999999983</v>
      </c>
      <c r="G1109">
        <v>10.8001</v>
      </c>
      <c r="H1109">
        <v>1.2</v>
      </c>
      <c r="I1109">
        <v>0.9</v>
      </c>
      <c r="J1109">
        <v>56.126477890366417</v>
      </c>
      <c r="K1109">
        <v>1500</v>
      </c>
      <c r="L1109">
        <v>0</v>
      </c>
      <c r="N1109">
        <v>29</v>
      </c>
      <c r="O1109" s="60" t="s">
        <v>1639</v>
      </c>
      <c r="P1109" t="s">
        <v>755</v>
      </c>
      <c r="Q1109" t="s">
        <v>2394</v>
      </c>
    </row>
    <row r="1110" spans="1:17" x14ac:dyDescent="0.25">
      <c r="A1110" t="s">
        <v>19</v>
      </c>
      <c r="B1110">
        <v>141.35</v>
      </c>
      <c r="C1110">
        <v>99.299999999999983</v>
      </c>
      <c r="D1110">
        <v>10.8001</v>
      </c>
      <c r="E1110">
        <v>141.35</v>
      </c>
      <c r="F1110">
        <v>103.35</v>
      </c>
      <c r="G1110">
        <v>10.8001</v>
      </c>
      <c r="H1110">
        <v>1.2</v>
      </c>
      <c r="I1110">
        <v>0.9</v>
      </c>
      <c r="J1110">
        <v>1.8184978836478705</v>
      </c>
      <c r="K1110">
        <v>1500</v>
      </c>
      <c r="L1110">
        <v>0</v>
      </c>
      <c r="N1110">
        <v>29</v>
      </c>
      <c r="O1110" s="60" t="s">
        <v>1640</v>
      </c>
      <c r="P1110" t="s">
        <v>756</v>
      </c>
      <c r="Q1110" t="s">
        <v>1031</v>
      </c>
    </row>
    <row r="1111" spans="1:17" x14ac:dyDescent="0.25">
      <c r="A1111" t="s">
        <v>19</v>
      </c>
      <c r="B1111">
        <v>141.35</v>
      </c>
      <c r="C1111">
        <v>103.35</v>
      </c>
      <c r="D1111">
        <v>10.8001</v>
      </c>
      <c r="E1111">
        <v>16.349999999999994</v>
      </c>
      <c r="F1111">
        <v>103.35</v>
      </c>
      <c r="G1111">
        <v>10.8001</v>
      </c>
      <c r="H1111">
        <v>1.2</v>
      </c>
      <c r="I1111">
        <v>0.9</v>
      </c>
      <c r="J1111">
        <v>56.126477890366417</v>
      </c>
      <c r="K1111">
        <v>1500</v>
      </c>
      <c r="L1111">
        <v>0</v>
      </c>
      <c r="N1111">
        <v>29</v>
      </c>
      <c r="O1111" s="60" t="s">
        <v>1641</v>
      </c>
      <c r="P1111" t="s">
        <v>824</v>
      </c>
      <c r="Q1111" t="s">
        <v>2395</v>
      </c>
    </row>
    <row r="1112" spans="1:17" x14ac:dyDescent="0.25">
      <c r="A1112" t="s">
        <v>19</v>
      </c>
      <c r="B1112">
        <v>16.349999999999994</v>
      </c>
      <c r="C1112">
        <v>103.35</v>
      </c>
      <c r="D1112">
        <v>10.8001</v>
      </c>
      <c r="E1112">
        <v>16.349999999999994</v>
      </c>
      <c r="F1112">
        <v>104.69999999999999</v>
      </c>
      <c r="G1112">
        <v>10.8001</v>
      </c>
      <c r="H1112">
        <v>1.2</v>
      </c>
      <c r="I1112">
        <v>0.9</v>
      </c>
      <c r="J1112">
        <v>0.60616596121595478</v>
      </c>
      <c r="K1112">
        <v>1500</v>
      </c>
      <c r="L1112">
        <v>0</v>
      </c>
      <c r="N1112">
        <v>29</v>
      </c>
      <c r="O1112" s="60" t="s">
        <v>1642</v>
      </c>
      <c r="P1112" t="s">
        <v>825</v>
      </c>
      <c r="Q1112" t="s">
        <v>1032</v>
      </c>
    </row>
    <row r="1113" spans="1:17" x14ac:dyDescent="0.25">
      <c r="A1113" t="s">
        <v>19</v>
      </c>
      <c r="B1113">
        <v>16.349999999999994</v>
      </c>
      <c r="C1113">
        <v>104.69999999999999</v>
      </c>
      <c r="D1113">
        <v>10.8001</v>
      </c>
      <c r="E1113">
        <v>141.35</v>
      </c>
      <c r="F1113">
        <v>104.69999999999999</v>
      </c>
      <c r="G1113">
        <v>10.8001</v>
      </c>
      <c r="H1113">
        <v>1.2</v>
      </c>
      <c r="I1113">
        <v>0.9</v>
      </c>
      <c r="J1113">
        <v>56.126477890366417</v>
      </c>
      <c r="K1113">
        <v>1500</v>
      </c>
      <c r="L1113">
        <v>0</v>
      </c>
      <c r="N1113">
        <v>29</v>
      </c>
      <c r="O1113" s="60" t="s">
        <v>1643</v>
      </c>
      <c r="P1113" t="s">
        <v>755</v>
      </c>
      <c r="Q1113" t="s">
        <v>2394</v>
      </c>
    </row>
    <row r="1114" spans="1:17" x14ac:dyDescent="0.25">
      <c r="A1114" t="s">
        <v>19</v>
      </c>
      <c r="B1114">
        <v>141.35</v>
      </c>
      <c r="C1114">
        <v>104.69999999999999</v>
      </c>
      <c r="D1114">
        <v>10.8001</v>
      </c>
      <c r="E1114">
        <v>141.35</v>
      </c>
      <c r="F1114">
        <v>108.74999999999999</v>
      </c>
      <c r="G1114">
        <v>10.8001</v>
      </c>
      <c r="H1114">
        <v>1.2</v>
      </c>
      <c r="I1114">
        <v>0.9</v>
      </c>
      <c r="J1114">
        <v>1.8184978836478705</v>
      </c>
      <c r="K1114">
        <v>1500</v>
      </c>
      <c r="L1114">
        <v>0</v>
      </c>
      <c r="N1114">
        <v>29</v>
      </c>
      <c r="O1114" s="60" t="s">
        <v>1644</v>
      </c>
      <c r="P1114" t="s">
        <v>756</v>
      </c>
      <c r="Q1114" t="s">
        <v>1033</v>
      </c>
    </row>
    <row r="1115" spans="1:17" x14ac:dyDescent="0.25">
      <c r="A1115" t="s">
        <v>19</v>
      </c>
      <c r="B1115">
        <v>141.35</v>
      </c>
      <c r="C1115">
        <v>108.75</v>
      </c>
      <c r="D1115">
        <v>10.8001</v>
      </c>
      <c r="E1115">
        <v>16.349999999999994</v>
      </c>
      <c r="F1115">
        <v>108.75</v>
      </c>
      <c r="G1115">
        <v>10.8001</v>
      </c>
      <c r="H1115">
        <v>1.2</v>
      </c>
      <c r="I1115">
        <v>0.9</v>
      </c>
      <c r="J1115">
        <v>56.126477890366417</v>
      </c>
      <c r="K1115">
        <v>1500</v>
      </c>
      <c r="L1115">
        <v>0</v>
      </c>
      <c r="N1115">
        <v>29</v>
      </c>
      <c r="O1115" s="60" t="s">
        <v>1645</v>
      </c>
      <c r="P1115" t="s">
        <v>824</v>
      </c>
      <c r="Q1115" t="s">
        <v>2395</v>
      </c>
    </row>
    <row r="1116" spans="1:17" x14ac:dyDescent="0.25">
      <c r="A1116" t="s">
        <v>19</v>
      </c>
      <c r="B1116">
        <v>16.349999999999994</v>
      </c>
      <c r="C1116">
        <v>108.75</v>
      </c>
      <c r="D1116">
        <v>10.8001</v>
      </c>
      <c r="E1116">
        <v>16.349999999999994</v>
      </c>
      <c r="F1116">
        <v>110.1</v>
      </c>
      <c r="G1116">
        <v>10.8001</v>
      </c>
      <c r="H1116">
        <v>1.2</v>
      </c>
      <c r="I1116">
        <v>0.9</v>
      </c>
      <c r="J1116">
        <v>0.60616596121595478</v>
      </c>
      <c r="K1116">
        <v>1500</v>
      </c>
      <c r="L1116">
        <v>0</v>
      </c>
      <c r="N1116">
        <v>29</v>
      </c>
      <c r="O1116" s="60" t="s">
        <v>1646</v>
      </c>
      <c r="P1116" t="s">
        <v>825</v>
      </c>
      <c r="Q1116" t="s">
        <v>1034</v>
      </c>
    </row>
    <row r="1117" spans="1:17" x14ac:dyDescent="0.25">
      <c r="A1117" t="s">
        <v>19</v>
      </c>
      <c r="B1117">
        <v>16.349999999999994</v>
      </c>
      <c r="C1117">
        <v>110.1</v>
      </c>
      <c r="D1117">
        <v>10.8001</v>
      </c>
      <c r="E1117">
        <v>141.35</v>
      </c>
      <c r="F1117">
        <v>110.1</v>
      </c>
      <c r="G1117">
        <v>10.8001</v>
      </c>
      <c r="H1117">
        <v>1.2</v>
      </c>
      <c r="I1117">
        <v>0.9</v>
      </c>
      <c r="J1117">
        <v>56.126477890366417</v>
      </c>
      <c r="K1117">
        <v>1500</v>
      </c>
      <c r="L1117">
        <v>0</v>
      </c>
      <c r="N1117">
        <v>29</v>
      </c>
      <c r="O1117" s="60" t="s">
        <v>1647</v>
      </c>
      <c r="P1117" t="s">
        <v>755</v>
      </c>
      <c r="Q1117" t="s">
        <v>2394</v>
      </c>
    </row>
    <row r="1118" spans="1:17" x14ac:dyDescent="0.25">
      <c r="A1118" t="s">
        <v>19</v>
      </c>
      <c r="B1118">
        <v>141.35</v>
      </c>
      <c r="C1118">
        <v>110.1</v>
      </c>
      <c r="D1118">
        <v>10.8001</v>
      </c>
      <c r="E1118">
        <v>141.35</v>
      </c>
      <c r="F1118">
        <v>114.14999999999999</v>
      </c>
      <c r="G1118">
        <v>10.8001</v>
      </c>
      <c r="H1118">
        <v>1.2</v>
      </c>
      <c r="I1118">
        <v>0.9</v>
      </c>
      <c r="J1118">
        <v>1.8184978836478705</v>
      </c>
      <c r="K1118">
        <v>1500</v>
      </c>
      <c r="L1118">
        <v>0</v>
      </c>
      <c r="N1118">
        <v>29</v>
      </c>
      <c r="O1118" s="60" t="s">
        <v>1648</v>
      </c>
      <c r="P1118" t="s">
        <v>756</v>
      </c>
      <c r="Q1118" t="s">
        <v>1035</v>
      </c>
    </row>
    <row r="1119" spans="1:17" x14ac:dyDescent="0.25">
      <c r="A1119" t="s">
        <v>19</v>
      </c>
      <c r="B1119">
        <v>141.35</v>
      </c>
      <c r="C1119">
        <v>114.14999999999999</v>
      </c>
      <c r="D1119">
        <v>10.8001</v>
      </c>
      <c r="E1119">
        <v>16.349999999999994</v>
      </c>
      <c r="F1119">
        <v>114.14999999999999</v>
      </c>
      <c r="G1119">
        <v>10.8001</v>
      </c>
      <c r="H1119">
        <v>1.2</v>
      </c>
      <c r="I1119">
        <v>0.9</v>
      </c>
      <c r="J1119">
        <v>56.126477890366417</v>
      </c>
      <c r="K1119">
        <v>1500</v>
      </c>
      <c r="L1119">
        <v>0</v>
      </c>
      <c r="N1119">
        <v>29</v>
      </c>
      <c r="O1119" s="60" t="s">
        <v>1649</v>
      </c>
      <c r="P1119" t="s">
        <v>824</v>
      </c>
      <c r="Q1119" t="s">
        <v>2395</v>
      </c>
    </row>
    <row r="1120" spans="1:17" x14ac:dyDescent="0.25">
      <c r="A1120" t="s">
        <v>19</v>
      </c>
      <c r="B1120">
        <v>16.349999999999994</v>
      </c>
      <c r="C1120">
        <v>114.14999999999999</v>
      </c>
      <c r="D1120">
        <v>10.8001</v>
      </c>
      <c r="E1120">
        <v>16.349999999999994</v>
      </c>
      <c r="F1120">
        <v>115.49999999999999</v>
      </c>
      <c r="G1120">
        <v>10.8001</v>
      </c>
      <c r="H1120">
        <v>1.2</v>
      </c>
      <c r="I1120">
        <v>0.9</v>
      </c>
      <c r="J1120">
        <v>0.60616596121595478</v>
      </c>
      <c r="K1120">
        <v>1500</v>
      </c>
      <c r="L1120">
        <v>0</v>
      </c>
      <c r="N1120">
        <v>29</v>
      </c>
      <c r="O1120" s="60" t="s">
        <v>1650</v>
      </c>
      <c r="P1120" t="s">
        <v>825</v>
      </c>
      <c r="Q1120" t="s">
        <v>1036</v>
      </c>
    </row>
    <row r="1121" spans="1:17" x14ac:dyDescent="0.25">
      <c r="A1121" t="s">
        <v>19</v>
      </c>
      <c r="B1121">
        <v>16.349999999999994</v>
      </c>
      <c r="C1121">
        <v>115.49999999999999</v>
      </c>
      <c r="D1121">
        <v>10.8001</v>
      </c>
      <c r="E1121">
        <v>141.35</v>
      </c>
      <c r="F1121">
        <v>115.49999999999999</v>
      </c>
      <c r="G1121">
        <v>10.8001</v>
      </c>
      <c r="H1121">
        <v>1.2</v>
      </c>
      <c r="I1121">
        <v>0.9</v>
      </c>
      <c r="J1121">
        <v>56.126477890366417</v>
      </c>
      <c r="K1121">
        <v>1500</v>
      </c>
      <c r="L1121">
        <v>0</v>
      </c>
      <c r="N1121">
        <v>29</v>
      </c>
      <c r="O1121" s="60" t="s">
        <v>1651</v>
      </c>
      <c r="P1121" t="s">
        <v>755</v>
      </c>
      <c r="Q1121" t="s">
        <v>2394</v>
      </c>
    </row>
    <row r="1122" spans="1:17" x14ac:dyDescent="0.25">
      <c r="A1122" t="s">
        <v>19</v>
      </c>
      <c r="B1122">
        <v>141.35</v>
      </c>
      <c r="C1122">
        <v>115.49999999999999</v>
      </c>
      <c r="D1122">
        <v>10.8001</v>
      </c>
      <c r="E1122">
        <v>141.35</v>
      </c>
      <c r="F1122">
        <v>119.54999999999998</v>
      </c>
      <c r="G1122">
        <v>10.8001</v>
      </c>
      <c r="H1122">
        <v>1.2</v>
      </c>
      <c r="I1122">
        <v>0.9</v>
      </c>
      <c r="J1122">
        <v>1.8184978836478705</v>
      </c>
      <c r="K1122">
        <v>1500</v>
      </c>
      <c r="L1122">
        <v>0</v>
      </c>
      <c r="N1122">
        <v>29</v>
      </c>
      <c r="O1122" s="60" t="s">
        <v>1652</v>
      </c>
      <c r="P1122" t="s">
        <v>756</v>
      </c>
      <c r="Q1122" t="s">
        <v>1037</v>
      </c>
    </row>
    <row r="1123" spans="1:17" x14ac:dyDescent="0.25">
      <c r="A1123" t="s">
        <v>19</v>
      </c>
      <c r="B1123">
        <v>141.35</v>
      </c>
      <c r="C1123">
        <v>119.55</v>
      </c>
      <c r="D1123">
        <v>10.8001</v>
      </c>
      <c r="E1123">
        <v>16.349999999999994</v>
      </c>
      <c r="F1123">
        <v>119.55</v>
      </c>
      <c r="G1123">
        <v>10.8001</v>
      </c>
      <c r="H1123">
        <v>1.2</v>
      </c>
      <c r="I1123">
        <v>0.9</v>
      </c>
      <c r="J1123">
        <v>56.126477890366417</v>
      </c>
      <c r="K1123">
        <v>1500</v>
      </c>
      <c r="L1123">
        <v>0</v>
      </c>
      <c r="N1123">
        <v>29</v>
      </c>
      <c r="O1123" s="60" t="s">
        <v>2254</v>
      </c>
      <c r="P1123" t="s">
        <v>824</v>
      </c>
      <c r="Q1123" t="s">
        <v>2395</v>
      </c>
    </row>
    <row r="1124" spans="1:17" x14ac:dyDescent="0.25">
      <c r="A1124" t="s">
        <v>19</v>
      </c>
      <c r="B1124">
        <v>16.349999999999994</v>
      </c>
      <c r="C1124">
        <v>119.55</v>
      </c>
      <c r="D1124">
        <v>10.8001</v>
      </c>
      <c r="E1124">
        <v>16.349999999999994</v>
      </c>
      <c r="F1124">
        <v>120.89999999999999</v>
      </c>
      <c r="G1124">
        <v>10.8001</v>
      </c>
      <c r="H1124">
        <v>1.2</v>
      </c>
      <c r="I1124">
        <v>0.9</v>
      </c>
      <c r="J1124">
        <v>0.60616596121595478</v>
      </c>
      <c r="K1124">
        <v>1500</v>
      </c>
      <c r="L1124">
        <v>0</v>
      </c>
      <c r="N1124">
        <v>29</v>
      </c>
      <c r="O1124" s="60" t="s">
        <v>2255</v>
      </c>
      <c r="P1124" t="s">
        <v>825</v>
      </c>
      <c r="Q1124" t="s">
        <v>1935</v>
      </c>
    </row>
    <row r="1125" spans="1:17" x14ac:dyDescent="0.25">
      <c r="A1125" t="s">
        <v>19</v>
      </c>
      <c r="B1125">
        <v>16.349999999999994</v>
      </c>
      <c r="C1125">
        <v>120.89999999999999</v>
      </c>
      <c r="D1125">
        <v>10.8001</v>
      </c>
      <c r="E1125">
        <v>141.35</v>
      </c>
      <c r="F1125">
        <v>120.89999999999999</v>
      </c>
      <c r="G1125">
        <v>10.8001</v>
      </c>
      <c r="H1125">
        <v>1.2</v>
      </c>
      <c r="I1125">
        <v>0.9</v>
      </c>
      <c r="J1125">
        <v>56.126477890366417</v>
      </c>
      <c r="K1125">
        <v>1500</v>
      </c>
      <c r="L1125">
        <v>0</v>
      </c>
      <c r="N1125">
        <v>29</v>
      </c>
      <c r="O1125" s="60" t="s">
        <v>2256</v>
      </c>
      <c r="P1125" t="s">
        <v>755</v>
      </c>
      <c r="Q1125" t="s">
        <v>2394</v>
      </c>
    </row>
    <row r="1126" spans="1:17" x14ac:dyDescent="0.25">
      <c r="A1126" t="s">
        <v>19</v>
      </c>
      <c r="B1126">
        <v>141.35</v>
      </c>
      <c r="C1126">
        <v>120.89999999999999</v>
      </c>
      <c r="D1126">
        <v>10.8001</v>
      </c>
      <c r="E1126">
        <v>141.35</v>
      </c>
      <c r="F1126">
        <v>124.94999999999999</v>
      </c>
      <c r="G1126">
        <v>10.8001</v>
      </c>
      <c r="H1126">
        <v>1.2</v>
      </c>
      <c r="I1126">
        <v>0.9</v>
      </c>
      <c r="J1126">
        <v>1.8184978836478705</v>
      </c>
      <c r="K1126">
        <v>1500</v>
      </c>
      <c r="L1126">
        <v>0</v>
      </c>
      <c r="N1126">
        <v>29</v>
      </c>
      <c r="O1126" s="60" t="s">
        <v>2257</v>
      </c>
      <c r="P1126" t="s">
        <v>756</v>
      </c>
      <c r="Q1126" t="s">
        <v>1938</v>
      </c>
    </row>
    <row r="1127" spans="1:17" x14ac:dyDescent="0.25">
      <c r="A1127" t="s">
        <v>19</v>
      </c>
      <c r="B1127">
        <v>141.35</v>
      </c>
      <c r="C1127">
        <v>124.95</v>
      </c>
      <c r="D1127">
        <v>10.8001</v>
      </c>
      <c r="E1127">
        <v>16.349999999999994</v>
      </c>
      <c r="F1127">
        <v>124.95</v>
      </c>
      <c r="G1127">
        <v>10.8001</v>
      </c>
      <c r="H1127">
        <v>1.2</v>
      </c>
      <c r="I1127">
        <v>0.9</v>
      </c>
      <c r="J1127">
        <v>56.126477890366417</v>
      </c>
      <c r="K1127">
        <v>1500</v>
      </c>
      <c r="L1127">
        <v>0</v>
      </c>
      <c r="N1127">
        <v>29</v>
      </c>
      <c r="O1127" s="60" t="s">
        <v>2258</v>
      </c>
      <c r="P1127" t="s">
        <v>824</v>
      </c>
      <c r="Q1127" t="s">
        <v>2395</v>
      </c>
    </row>
    <row r="1128" spans="1:17" x14ac:dyDescent="0.25">
      <c r="A1128" t="s">
        <v>19</v>
      </c>
      <c r="B1128">
        <v>16.349999999999994</v>
      </c>
      <c r="C1128">
        <v>124.95</v>
      </c>
      <c r="D1128">
        <v>10.8001</v>
      </c>
      <c r="E1128">
        <v>16.349999999999994</v>
      </c>
      <c r="F1128">
        <v>126.3</v>
      </c>
      <c r="G1128">
        <v>10.8001</v>
      </c>
      <c r="H1128">
        <v>1.2</v>
      </c>
      <c r="I1128">
        <v>0.9</v>
      </c>
      <c r="J1128">
        <v>0.60616596121595478</v>
      </c>
      <c r="K1128">
        <v>1500</v>
      </c>
      <c r="L1128">
        <v>0</v>
      </c>
      <c r="N1128">
        <v>29</v>
      </c>
      <c r="O1128" s="60" t="s">
        <v>2259</v>
      </c>
      <c r="P1128" t="s">
        <v>825</v>
      </c>
      <c r="Q1128" t="s">
        <v>1941</v>
      </c>
    </row>
    <row r="1129" spans="1:17" x14ac:dyDescent="0.25">
      <c r="A1129" t="s">
        <v>19</v>
      </c>
      <c r="B1129">
        <v>16.349999999999994</v>
      </c>
      <c r="C1129">
        <v>126.3</v>
      </c>
      <c r="D1129">
        <v>10.8001</v>
      </c>
      <c r="E1129">
        <v>141.35</v>
      </c>
      <c r="F1129">
        <v>126.3</v>
      </c>
      <c r="G1129">
        <v>10.8001</v>
      </c>
      <c r="H1129">
        <v>1.2</v>
      </c>
      <c r="I1129">
        <v>0.9</v>
      </c>
      <c r="J1129">
        <v>56.126477890366417</v>
      </c>
      <c r="K1129">
        <v>1500</v>
      </c>
      <c r="L1129">
        <v>0</v>
      </c>
      <c r="N1129">
        <v>29</v>
      </c>
      <c r="O1129" s="60" t="s">
        <v>2260</v>
      </c>
      <c r="P1129" t="s">
        <v>755</v>
      </c>
      <c r="Q1129" t="s">
        <v>2394</v>
      </c>
    </row>
    <row r="1130" spans="1:17" x14ac:dyDescent="0.25">
      <c r="A1130" t="s">
        <v>19</v>
      </c>
      <c r="B1130">
        <v>141.35</v>
      </c>
      <c r="C1130">
        <v>126.3</v>
      </c>
      <c r="D1130">
        <v>10.8001</v>
      </c>
      <c r="E1130">
        <v>141.35</v>
      </c>
      <c r="F1130">
        <v>130.35</v>
      </c>
      <c r="G1130">
        <v>10.8001</v>
      </c>
      <c r="H1130">
        <v>1.2</v>
      </c>
      <c r="I1130">
        <v>0.9</v>
      </c>
      <c r="J1130">
        <v>1.8184978836478705</v>
      </c>
      <c r="K1130">
        <v>1500</v>
      </c>
      <c r="L1130">
        <v>0</v>
      </c>
      <c r="N1130">
        <v>29</v>
      </c>
      <c r="O1130" s="60" t="s">
        <v>2261</v>
      </c>
      <c r="P1130" t="s">
        <v>756</v>
      </c>
      <c r="Q1130" t="s">
        <v>1944</v>
      </c>
    </row>
    <row r="1131" spans="1:17" x14ac:dyDescent="0.25">
      <c r="A1131" t="s">
        <v>39</v>
      </c>
      <c r="B1131">
        <v>-1.25</v>
      </c>
      <c r="C1131">
        <v>2100</v>
      </c>
      <c r="N1131">
        <v>29</v>
      </c>
      <c r="O1131" s="60" t="s">
        <v>966</v>
      </c>
      <c r="P1131" t="s">
        <v>753</v>
      </c>
      <c r="Q1131" t="s">
        <v>845</v>
      </c>
    </row>
    <row r="1132" spans="1:17" x14ac:dyDescent="0.25">
      <c r="A1132" t="s">
        <v>660</v>
      </c>
      <c r="B1132">
        <v>0.9</v>
      </c>
      <c r="C1132">
        <v>10000</v>
      </c>
      <c r="N1132">
        <v>29</v>
      </c>
      <c r="O1132" s="60" t="s">
        <v>966</v>
      </c>
      <c r="P1132" t="s">
        <v>753</v>
      </c>
      <c r="Q1132" t="s">
        <v>839</v>
      </c>
    </row>
    <row r="1133" spans="1:17" x14ac:dyDescent="0.25">
      <c r="A1133" t="s">
        <v>23</v>
      </c>
      <c r="B1133">
        <v>141.35</v>
      </c>
      <c r="C1133">
        <v>130.35</v>
      </c>
      <c r="D1133">
        <v>10.8001</v>
      </c>
      <c r="E1133">
        <v>141.35</v>
      </c>
      <c r="F1133">
        <v>76.349999999999994</v>
      </c>
      <c r="G1133">
        <v>11.700100000000001</v>
      </c>
      <c r="H1133">
        <v>0</v>
      </c>
      <c r="I1133">
        <v>0</v>
      </c>
      <c r="K1133">
        <v>48000</v>
      </c>
      <c r="N1133">
        <v>0</v>
      </c>
      <c r="O1133" s="60">
        <v>0</v>
      </c>
      <c r="P1133" t="s">
        <v>661</v>
      </c>
      <c r="Q1133" t="s">
        <v>2262</v>
      </c>
    </row>
    <row r="1134" spans="1:17" x14ac:dyDescent="0.25">
      <c r="A1134" t="s">
        <v>19</v>
      </c>
      <c r="B1134">
        <v>141.35</v>
      </c>
      <c r="C1134">
        <v>76.349999999999994</v>
      </c>
      <c r="D1134">
        <v>11.700100000000001</v>
      </c>
      <c r="E1134">
        <v>16.349999999999994</v>
      </c>
      <c r="F1134">
        <v>76.349999999999994</v>
      </c>
      <c r="G1134">
        <v>11.700100000000001</v>
      </c>
      <c r="H1134">
        <v>1.2</v>
      </c>
      <c r="I1134">
        <v>0.9</v>
      </c>
      <c r="J1134">
        <v>56.126477890366417</v>
      </c>
      <c r="K1134">
        <v>1500</v>
      </c>
      <c r="L1134">
        <v>0</v>
      </c>
      <c r="N1134">
        <v>29</v>
      </c>
      <c r="O1134" s="60" t="s">
        <v>2263</v>
      </c>
      <c r="P1134" t="s">
        <v>2001</v>
      </c>
      <c r="Q1134" t="s">
        <v>2393</v>
      </c>
    </row>
    <row r="1135" spans="1:17" x14ac:dyDescent="0.25">
      <c r="A1135" t="s">
        <v>19</v>
      </c>
      <c r="B1135">
        <v>16.349999999999994</v>
      </c>
      <c r="C1135">
        <v>76.349999999999994</v>
      </c>
      <c r="D1135">
        <v>11.700100000000001</v>
      </c>
      <c r="E1135">
        <v>16.349999999999994</v>
      </c>
      <c r="F1135">
        <v>77.699999999999989</v>
      </c>
      <c r="G1135">
        <v>11.700100000000001</v>
      </c>
      <c r="H1135">
        <v>1.2</v>
      </c>
      <c r="I1135">
        <v>0.9</v>
      </c>
      <c r="J1135">
        <v>0.60616596121595478</v>
      </c>
      <c r="K1135">
        <v>1500</v>
      </c>
      <c r="L1135">
        <v>0</v>
      </c>
      <c r="N1135">
        <v>29</v>
      </c>
      <c r="O1135" s="60" t="s">
        <v>2264</v>
      </c>
      <c r="P1135" t="s">
        <v>2003</v>
      </c>
      <c r="Q1135" t="s">
        <v>876</v>
      </c>
    </row>
    <row r="1136" spans="1:17" x14ac:dyDescent="0.25">
      <c r="A1136" t="s">
        <v>19</v>
      </c>
      <c r="B1136">
        <v>16.349999999999994</v>
      </c>
      <c r="C1136">
        <v>77.699999999999989</v>
      </c>
      <c r="D1136">
        <v>11.700100000000001</v>
      </c>
      <c r="E1136">
        <v>141.35</v>
      </c>
      <c r="F1136">
        <v>77.699999999999989</v>
      </c>
      <c r="G1136">
        <v>11.700100000000001</v>
      </c>
      <c r="H1136">
        <v>1.2</v>
      </c>
      <c r="I1136">
        <v>0.9</v>
      </c>
      <c r="J1136">
        <v>56.126477890366417</v>
      </c>
      <c r="K1136">
        <v>1500</v>
      </c>
      <c r="L1136">
        <v>0</v>
      </c>
      <c r="N1136">
        <v>29</v>
      </c>
      <c r="O1136" s="60" t="s">
        <v>2265</v>
      </c>
      <c r="P1136" t="s">
        <v>2005</v>
      </c>
      <c r="Q1136" t="s">
        <v>2394</v>
      </c>
    </row>
    <row r="1137" spans="1:17" x14ac:dyDescent="0.25">
      <c r="A1137" t="s">
        <v>19</v>
      </c>
      <c r="B1137">
        <v>141.35</v>
      </c>
      <c r="C1137">
        <v>77.699999999999989</v>
      </c>
      <c r="D1137">
        <v>11.700100000000001</v>
      </c>
      <c r="E1137">
        <v>141.35</v>
      </c>
      <c r="F1137">
        <v>81.749999999999986</v>
      </c>
      <c r="G1137">
        <v>11.700100000000001</v>
      </c>
      <c r="H1137">
        <v>1.2</v>
      </c>
      <c r="I1137">
        <v>0.9</v>
      </c>
      <c r="J1137">
        <v>1.8184978836478705</v>
      </c>
      <c r="K1137">
        <v>1500</v>
      </c>
      <c r="L1137">
        <v>0</v>
      </c>
      <c r="N1137">
        <v>29</v>
      </c>
      <c r="O1137" s="60" t="s">
        <v>2266</v>
      </c>
      <c r="P1137" t="s">
        <v>2007</v>
      </c>
      <c r="Q1137" t="s">
        <v>877</v>
      </c>
    </row>
    <row r="1138" spans="1:17" x14ac:dyDescent="0.25">
      <c r="A1138" t="s">
        <v>19</v>
      </c>
      <c r="B1138">
        <v>141.35</v>
      </c>
      <c r="C1138">
        <v>81.75</v>
      </c>
      <c r="D1138">
        <v>11.700100000000001</v>
      </c>
      <c r="E1138">
        <v>16.349999999999994</v>
      </c>
      <c r="F1138">
        <v>81.75</v>
      </c>
      <c r="G1138">
        <v>11.700100000000001</v>
      </c>
      <c r="H1138">
        <v>1.2</v>
      </c>
      <c r="I1138">
        <v>0.9</v>
      </c>
      <c r="J1138">
        <v>56.126477890366417</v>
      </c>
      <c r="K1138">
        <v>1500</v>
      </c>
      <c r="L1138">
        <v>0</v>
      </c>
      <c r="N1138">
        <v>29</v>
      </c>
      <c r="O1138" s="60" t="s">
        <v>1653</v>
      </c>
      <c r="P1138" t="s">
        <v>805</v>
      </c>
      <c r="Q1138" t="s">
        <v>2395</v>
      </c>
    </row>
    <row r="1139" spans="1:17" x14ac:dyDescent="0.25">
      <c r="A1139" t="s">
        <v>19</v>
      </c>
      <c r="B1139">
        <v>16.349999999999994</v>
      </c>
      <c r="C1139">
        <v>81.75</v>
      </c>
      <c r="D1139">
        <v>11.700100000000001</v>
      </c>
      <c r="E1139">
        <v>16.349999999999994</v>
      </c>
      <c r="F1139">
        <v>83.1</v>
      </c>
      <c r="G1139">
        <v>11.700100000000001</v>
      </c>
      <c r="H1139">
        <v>1.2</v>
      </c>
      <c r="I1139">
        <v>0.9</v>
      </c>
      <c r="J1139">
        <v>0.60616596121595478</v>
      </c>
      <c r="K1139">
        <v>1500</v>
      </c>
      <c r="L1139">
        <v>0</v>
      </c>
      <c r="N1139">
        <v>29</v>
      </c>
      <c r="O1139" s="60" t="s">
        <v>1654</v>
      </c>
      <c r="P1139" t="s">
        <v>806</v>
      </c>
      <c r="Q1139" t="s">
        <v>1024</v>
      </c>
    </row>
    <row r="1140" spans="1:17" x14ac:dyDescent="0.25">
      <c r="A1140" t="s">
        <v>19</v>
      </c>
      <c r="B1140">
        <v>16.349999999999994</v>
      </c>
      <c r="C1140">
        <v>83.1</v>
      </c>
      <c r="D1140">
        <v>11.700100000000001</v>
      </c>
      <c r="E1140">
        <v>141.35</v>
      </c>
      <c r="F1140">
        <v>83.1</v>
      </c>
      <c r="G1140">
        <v>11.700100000000001</v>
      </c>
      <c r="H1140">
        <v>1.2</v>
      </c>
      <c r="I1140">
        <v>0.9</v>
      </c>
      <c r="J1140">
        <v>56.126477890366417</v>
      </c>
      <c r="K1140">
        <v>1500</v>
      </c>
      <c r="L1140">
        <v>0</v>
      </c>
      <c r="N1140">
        <v>29</v>
      </c>
      <c r="O1140" s="60" t="s">
        <v>1655</v>
      </c>
      <c r="P1140" t="s">
        <v>826</v>
      </c>
      <c r="Q1140" t="s">
        <v>2394</v>
      </c>
    </row>
    <row r="1141" spans="1:17" x14ac:dyDescent="0.25">
      <c r="A1141" t="s">
        <v>19</v>
      </c>
      <c r="B1141">
        <v>141.35</v>
      </c>
      <c r="C1141">
        <v>83.1</v>
      </c>
      <c r="D1141">
        <v>11.700100000000001</v>
      </c>
      <c r="E1141">
        <v>141.35</v>
      </c>
      <c r="F1141">
        <v>87.149999999999991</v>
      </c>
      <c r="G1141">
        <v>11.700100000000001</v>
      </c>
      <c r="H1141">
        <v>1.2</v>
      </c>
      <c r="I1141">
        <v>0.9</v>
      </c>
      <c r="J1141">
        <v>1.8184978836478705</v>
      </c>
      <c r="K1141">
        <v>1500</v>
      </c>
      <c r="L1141">
        <v>0</v>
      </c>
      <c r="N1141">
        <v>29</v>
      </c>
      <c r="O1141" s="60" t="s">
        <v>1656</v>
      </c>
      <c r="P1141" t="s">
        <v>761</v>
      </c>
      <c r="Q1141" t="s">
        <v>1025</v>
      </c>
    </row>
    <row r="1142" spans="1:17" x14ac:dyDescent="0.25">
      <c r="A1142" t="s">
        <v>19</v>
      </c>
      <c r="B1142">
        <v>141.35</v>
      </c>
      <c r="C1142">
        <v>87.149999999999991</v>
      </c>
      <c r="D1142">
        <v>11.700100000000001</v>
      </c>
      <c r="E1142">
        <v>16.349999999999994</v>
      </c>
      <c r="F1142">
        <v>87.149999999999991</v>
      </c>
      <c r="G1142">
        <v>11.700100000000001</v>
      </c>
      <c r="H1142">
        <v>1.2</v>
      </c>
      <c r="I1142">
        <v>0.9</v>
      </c>
      <c r="J1142">
        <v>56.126477890366417</v>
      </c>
      <c r="K1142">
        <v>1500</v>
      </c>
      <c r="L1142">
        <v>0</v>
      </c>
      <c r="N1142">
        <v>29</v>
      </c>
      <c r="O1142" s="60" t="s">
        <v>1657</v>
      </c>
      <c r="P1142" t="s">
        <v>805</v>
      </c>
      <c r="Q1142" t="s">
        <v>2395</v>
      </c>
    </row>
    <row r="1143" spans="1:17" x14ac:dyDescent="0.25">
      <c r="A1143" t="s">
        <v>19</v>
      </c>
      <c r="B1143">
        <v>16.349999999999994</v>
      </c>
      <c r="C1143">
        <v>87.149999999999991</v>
      </c>
      <c r="D1143">
        <v>11.700100000000001</v>
      </c>
      <c r="E1143">
        <v>16.349999999999994</v>
      </c>
      <c r="F1143">
        <v>88.499999999999986</v>
      </c>
      <c r="G1143">
        <v>11.700100000000001</v>
      </c>
      <c r="H1143">
        <v>1.2</v>
      </c>
      <c r="I1143">
        <v>0.9</v>
      </c>
      <c r="J1143">
        <v>0.60616596121595478</v>
      </c>
      <c r="K1143">
        <v>1500</v>
      </c>
      <c r="L1143">
        <v>0</v>
      </c>
      <c r="N1143">
        <v>29</v>
      </c>
      <c r="O1143" s="60" t="s">
        <v>1658</v>
      </c>
      <c r="P1143" t="s">
        <v>806</v>
      </c>
      <c r="Q1143" t="s">
        <v>1026</v>
      </c>
    </row>
    <row r="1144" spans="1:17" x14ac:dyDescent="0.25">
      <c r="A1144" t="s">
        <v>19</v>
      </c>
      <c r="B1144">
        <v>16.349999999999994</v>
      </c>
      <c r="C1144">
        <v>88.499999999999986</v>
      </c>
      <c r="D1144">
        <v>11.700100000000001</v>
      </c>
      <c r="E1144">
        <v>141.35</v>
      </c>
      <c r="F1144">
        <v>88.499999999999986</v>
      </c>
      <c r="G1144">
        <v>11.700100000000001</v>
      </c>
      <c r="H1144">
        <v>1.2</v>
      </c>
      <c r="I1144">
        <v>0.9</v>
      </c>
      <c r="J1144">
        <v>56.126477890366417</v>
      </c>
      <c r="K1144">
        <v>1500</v>
      </c>
      <c r="L1144">
        <v>0</v>
      </c>
      <c r="N1144">
        <v>29</v>
      </c>
      <c r="O1144" s="60" t="s">
        <v>1659</v>
      </c>
      <c r="P1144" t="s">
        <v>826</v>
      </c>
      <c r="Q1144" t="s">
        <v>2394</v>
      </c>
    </row>
    <row r="1145" spans="1:17" x14ac:dyDescent="0.25">
      <c r="A1145" t="s">
        <v>19</v>
      </c>
      <c r="B1145">
        <v>141.35</v>
      </c>
      <c r="C1145">
        <v>88.499999999999986</v>
      </c>
      <c r="D1145">
        <v>11.700100000000001</v>
      </c>
      <c r="E1145">
        <v>141.35</v>
      </c>
      <c r="F1145">
        <v>92.549999999999983</v>
      </c>
      <c r="G1145">
        <v>11.700100000000001</v>
      </c>
      <c r="H1145">
        <v>1.2</v>
      </c>
      <c r="I1145">
        <v>0.9</v>
      </c>
      <c r="J1145">
        <v>1.8184978836478705</v>
      </c>
      <c r="K1145">
        <v>1500</v>
      </c>
      <c r="L1145">
        <v>0</v>
      </c>
      <c r="N1145">
        <v>29</v>
      </c>
      <c r="O1145" s="60" t="s">
        <v>1660</v>
      </c>
      <c r="P1145" t="s">
        <v>761</v>
      </c>
      <c r="Q1145" t="s">
        <v>1027</v>
      </c>
    </row>
    <row r="1146" spans="1:17" x14ac:dyDescent="0.25">
      <c r="A1146" t="s">
        <v>19</v>
      </c>
      <c r="B1146">
        <v>141.35</v>
      </c>
      <c r="C1146">
        <v>92.55</v>
      </c>
      <c r="D1146">
        <v>11.700100000000001</v>
      </c>
      <c r="E1146">
        <v>16.349999999999994</v>
      </c>
      <c r="F1146">
        <v>92.55</v>
      </c>
      <c r="G1146">
        <v>11.700100000000001</v>
      </c>
      <c r="H1146">
        <v>1.2</v>
      </c>
      <c r="I1146">
        <v>0.9</v>
      </c>
      <c r="J1146">
        <v>56.126477890366417</v>
      </c>
      <c r="K1146">
        <v>1500</v>
      </c>
      <c r="L1146">
        <v>0</v>
      </c>
      <c r="N1146">
        <v>29</v>
      </c>
      <c r="O1146" s="60" t="s">
        <v>1661</v>
      </c>
      <c r="P1146" t="s">
        <v>805</v>
      </c>
      <c r="Q1146" t="s">
        <v>2395</v>
      </c>
    </row>
    <row r="1147" spans="1:17" x14ac:dyDescent="0.25">
      <c r="A1147" t="s">
        <v>19</v>
      </c>
      <c r="B1147">
        <v>16.349999999999994</v>
      </c>
      <c r="C1147">
        <v>92.55</v>
      </c>
      <c r="D1147">
        <v>11.700100000000001</v>
      </c>
      <c r="E1147">
        <v>16.349999999999994</v>
      </c>
      <c r="F1147">
        <v>93.899999999999991</v>
      </c>
      <c r="G1147">
        <v>11.700100000000001</v>
      </c>
      <c r="H1147">
        <v>1.2</v>
      </c>
      <c r="I1147">
        <v>0.9</v>
      </c>
      <c r="J1147">
        <v>0.60616596121595478</v>
      </c>
      <c r="K1147">
        <v>1500</v>
      </c>
      <c r="L1147">
        <v>0</v>
      </c>
      <c r="N1147">
        <v>29</v>
      </c>
      <c r="O1147" s="60" t="s">
        <v>1662</v>
      </c>
      <c r="P1147" t="s">
        <v>806</v>
      </c>
      <c r="Q1147" t="s">
        <v>1028</v>
      </c>
    </row>
    <row r="1148" spans="1:17" x14ac:dyDescent="0.25">
      <c r="A1148" t="s">
        <v>19</v>
      </c>
      <c r="B1148">
        <v>16.349999999999994</v>
      </c>
      <c r="C1148">
        <v>93.899999999999991</v>
      </c>
      <c r="D1148">
        <v>11.700100000000001</v>
      </c>
      <c r="E1148">
        <v>141.35</v>
      </c>
      <c r="F1148">
        <v>93.899999999999991</v>
      </c>
      <c r="G1148">
        <v>11.700100000000001</v>
      </c>
      <c r="H1148">
        <v>1.2</v>
      </c>
      <c r="I1148">
        <v>0.9</v>
      </c>
      <c r="J1148">
        <v>56.126477890366417</v>
      </c>
      <c r="K1148">
        <v>1500</v>
      </c>
      <c r="L1148">
        <v>0</v>
      </c>
      <c r="N1148">
        <v>29</v>
      </c>
      <c r="O1148" s="60" t="s">
        <v>1663</v>
      </c>
      <c r="P1148" t="s">
        <v>826</v>
      </c>
      <c r="Q1148" t="s">
        <v>2394</v>
      </c>
    </row>
    <row r="1149" spans="1:17" x14ac:dyDescent="0.25">
      <c r="A1149" t="s">
        <v>19</v>
      </c>
      <c r="B1149">
        <v>141.35</v>
      </c>
      <c r="C1149">
        <v>93.899999999999991</v>
      </c>
      <c r="D1149">
        <v>11.700100000000001</v>
      </c>
      <c r="E1149">
        <v>141.35</v>
      </c>
      <c r="F1149">
        <v>97.949999999999989</v>
      </c>
      <c r="G1149">
        <v>11.700100000000001</v>
      </c>
      <c r="H1149">
        <v>1.2</v>
      </c>
      <c r="I1149">
        <v>0.9</v>
      </c>
      <c r="J1149">
        <v>1.8184978836478705</v>
      </c>
      <c r="K1149">
        <v>1500</v>
      </c>
      <c r="L1149">
        <v>0</v>
      </c>
      <c r="N1149">
        <v>29</v>
      </c>
      <c r="O1149" s="60" t="s">
        <v>1664</v>
      </c>
      <c r="P1149" t="s">
        <v>761</v>
      </c>
      <c r="Q1149" t="s">
        <v>1029</v>
      </c>
    </row>
    <row r="1150" spans="1:17" x14ac:dyDescent="0.25">
      <c r="A1150" t="s">
        <v>19</v>
      </c>
      <c r="B1150">
        <v>141.35</v>
      </c>
      <c r="C1150">
        <v>97.949999999999989</v>
      </c>
      <c r="D1150">
        <v>11.700100000000001</v>
      </c>
      <c r="E1150">
        <v>16.349999999999994</v>
      </c>
      <c r="F1150">
        <v>97.949999999999989</v>
      </c>
      <c r="G1150">
        <v>11.700100000000001</v>
      </c>
      <c r="H1150">
        <v>1.2</v>
      </c>
      <c r="I1150">
        <v>0.9</v>
      </c>
      <c r="J1150">
        <v>56.126477890366417</v>
      </c>
      <c r="K1150">
        <v>1500</v>
      </c>
      <c r="L1150">
        <v>0</v>
      </c>
      <c r="N1150">
        <v>29</v>
      </c>
      <c r="O1150" s="60" t="s">
        <v>1665</v>
      </c>
      <c r="P1150" t="s">
        <v>805</v>
      </c>
      <c r="Q1150" t="s">
        <v>2395</v>
      </c>
    </row>
    <row r="1151" spans="1:17" x14ac:dyDescent="0.25">
      <c r="A1151" t="s">
        <v>19</v>
      </c>
      <c r="B1151">
        <v>16.349999999999994</v>
      </c>
      <c r="C1151">
        <v>97.949999999999989</v>
      </c>
      <c r="D1151">
        <v>11.700100000000001</v>
      </c>
      <c r="E1151">
        <v>16.349999999999994</v>
      </c>
      <c r="F1151">
        <v>99.299999999999983</v>
      </c>
      <c r="G1151">
        <v>11.700100000000001</v>
      </c>
      <c r="H1151">
        <v>1.2</v>
      </c>
      <c r="I1151">
        <v>0.9</v>
      </c>
      <c r="J1151">
        <v>0.60616596121595478</v>
      </c>
      <c r="K1151">
        <v>1500</v>
      </c>
      <c r="L1151">
        <v>0</v>
      </c>
      <c r="N1151">
        <v>29</v>
      </c>
      <c r="O1151" s="60" t="s">
        <v>1666</v>
      </c>
      <c r="P1151" t="s">
        <v>806</v>
      </c>
      <c r="Q1151" t="s">
        <v>1030</v>
      </c>
    </row>
    <row r="1152" spans="1:17" x14ac:dyDescent="0.25">
      <c r="A1152" t="s">
        <v>19</v>
      </c>
      <c r="B1152">
        <v>16.349999999999994</v>
      </c>
      <c r="C1152">
        <v>99.299999999999983</v>
      </c>
      <c r="D1152">
        <v>11.700100000000001</v>
      </c>
      <c r="E1152">
        <v>141.35</v>
      </c>
      <c r="F1152">
        <v>99.299999999999983</v>
      </c>
      <c r="G1152">
        <v>11.700100000000001</v>
      </c>
      <c r="H1152">
        <v>1.2</v>
      </c>
      <c r="I1152">
        <v>0.9</v>
      </c>
      <c r="J1152">
        <v>56.126477890366417</v>
      </c>
      <c r="K1152">
        <v>1500</v>
      </c>
      <c r="L1152">
        <v>0</v>
      </c>
      <c r="N1152">
        <v>29</v>
      </c>
      <c r="O1152" s="60" t="s">
        <v>1667</v>
      </c>
      <c r="P1152" t="s">
        <v>826</v>
      </c>
      <c r="Q1152" t="s">
        <v>2394</v>
      </c>
    </row>
    <row r="1153" spans="1:17" x14ac:dyDescent="0.25">
      <c r="A1153" t="s">
        <v>19</v>
      </c>
      <c r="B1153">
        <v>141.35</v>
      </c>
      <c r="C1153">
        <v>99.299999999999983</v>
      </c>
      <c r="D1153">
        <v>11.700100000000001</v>
      </c>
      <c r="E1153">
        <v>141.35</v>
      </c>
      <c r="F1153">
        <v>103.35</v>
      </c>
      <c r="G1153">
        <v>11.700100000000001</v>
      </c>
      <c r="H1153">
        <v>1.2</v>
      </c>
      <c r="I1153">
        <v>0.9</v>
      </c>
      <c r="J1153">
        <v>1.8184978836478705</v>
      </c>
      <c r="K1153">
        <v>1500</v>
      </c>
      <c r="L1153">
        <v>0</v>
      </c>
      <c r="N1153">
        <v>29</v>
      </c>
      <c r="O1153" s="60" t="s">
        <v>1668</v>
      </c>
      <c r="P1153" t="s">
        <v>761</v>
      </c>
      <c r="Q1153" t="s">
        <v>1031</v>
      </c>
    </row>
    <row r="1154" spans="1:17" x14ac:dyDescent="0.25">
      <c r="A1154" t="s">
        <v>19</v>
      </c>
      <c r="B1154">
        <v>141.35</v>
      </c>
      <c r="C1154">
        <v>103.35</v>
      </c>
      <c r="D1154">
        <v>11.700100000000001</v>
      </c>
      <c r="E1154">
        <v>16.349999999999994</v>
      </c>
      <c r="F1154">
        <v>103.35</v>
      </c>
      <c r="G1154">
        <v>11.700100000000001</v>
      </c>
      <c r="H1154">
        <v>1.2</v>
      </c>
      <c r="I1154">
        <v>0.9</v>
      </c>
      <c r="J1154">
        <v>56.126477890366417</v>
      </c>
      <c r="K1154">
        <v>1500</v>
      </c>
      <c r="L1154">
        <v>0</v>
      </c>
      <c r="N1154">
        <v>29</v>
      </c>
      <c r="O1154" s="60" t="s">
        <v>1669</v>
      </c>
      <c r="P1154" t="s">
        <v>805</v>
      </c>
      <c r="Q1154" t="s">
        <v>2395</v>
      </c>
    </row>
    <row r="1155" spans="1:17" x14ac:dyDescent="0.25">
      <c r="A1155" t="s">
        <v>19</v>
      </c>
      <c r="B1155">
        <v>16.349999999999994</v>
      </c>
      <c r="C1155">
        <v>103.35</v>
      </c>
      <c r="D1155">
        <v>11.700100000000001</v>
      </c>
      <c r="E1155">
        <v>16.349999999999994</v>
      </c>
      <c r="F1155">
        <v>104.69999999999999</v>
      </c>
      <c r="G1155">
        <v>11.700100000000001</v>
      </c>
      <c r="H1155">
        <v>1.2</v>
      </c>
      <c r="I1155">
        <v>0.9</v>
      </c>
      <c r="J1155">
        <v>0.60616596121595478</v>
      </c>
      <c r="K1155">
        <v>1500</v>
      </c>
      <c r="L1155">
        <v>0</v>
      </c>
      <c r="N1155">
        <v>29</v>
      </c>
      <c r="O1155" s="60" t="s">
        <v>1670</v>
      </c>
      <c r="P1155" t="s">
        <v>806</v>
      </c>
      <c r="Q1155" t="s">
        <v>1032</v>
      </c>
    </row>
    <row r="1156" spans="1:17" x14ac:dyDescent="0.25">
      <c r="A1156" t="s">
        <v>19</v>
      </c>
      <c r="B1156">
        <v>16.349999999999994</v>
      </c>
      <c r="C1156">
        <v>104.69999999999999</v>
      </c>
      <c r="D1156">
        <v>11.700100000000001</v>
      </c>
      <c r="E1156">
        <v>141.35</v>
      </c>
      <c r="F1156">
        <v>104.69999999999999</v>
      </c>
      <c r="G1156">
        <v>11.700100000000001</v>
      </c>
      <c r="H1156">
        <v>1.2</v>
      </c>
      <c r="I1156">
        <v>0.9</v>
      </c>
      <c r="J1156">
        <v>56.126477890366417</v>
      </c>
      <c r="K1156">
        <v>1500</v>
      </c>
      <c r="L1156">
        <v>0</v>
      </c>
      <c r="N1156">
        <v>29</v>
      </c>
      <c r="O1156" s="60" t="s">
        <v>1671</v>
      </c>
      <c r="P1156" t="s">
        <v>826</v>
      </c>
      <c r="Q1156" t="s">
        <v>2394</v>
      </c>
    </row>
    <row r="1157" spans="1:17" x14ac:dyDescent="0.25">
      <c r="A1157" t="s">
        <v>19</v>
      </c>
      <c r="B1157">
        <v>141.35</v>
      </c>
      <c r="C1157">
        <v>104.69999999999999</v>
      </c>
      <c r="D1157">
        <v>11.700100000000001</v>
      </c>
      <c r="E1157">
        <v>141.35</v>
      </c>
      <c r="F1157">
        <v>108.74999999999999</v>
      </c>
      <c r="G1157">
        <v>11.700100000000001</v>
      </c>
      <c r="H1157">
        <v>1.2</v>
      </c>
      <c r="I1157">
        <v>0.9</v>
      </c>
      <c r="J1157">
        <v>1.8184978836478705</v>
      </c>
      <c r="K1157">
        <v>1500</v>
      </c>
      <c r="L1157">
        <v>0</v>
      </c>
      <c r="N1157">
        <v>29</v>
      </c>
      <c r="O1157" s="60" t="s">
        <v>1672</v>
      </c>
      <c r="P1157" t="s">
        <v>761</v>
      </c>
      <c r="Q1157" t="s">
        <v>1033</v>
      </c>
    </row>
    <row r="1158" spans="1:17" x14ac:dyDescent="0.25">
      <c r="A1158" t="s">
        <v>19</v>
      </c>
      <c r="B1158">
        <v>141.35</v>
      </c>
      <c r="C1158">
        <v>108.75</v>
      </c>
      <c r="D1158">
        <v>11.700100000000001</v>
      </c>
      <c r="E1158">
        <v>16.349999999999994</v>
      </c>
      <c r="F1158">
        <v>108.75</v>
      </c>
      <c r="G1158">
        <v>11.700100000000001</v>
      </c>
      <c r="H1158">
        <v>1.2</v>
      </c>
      <c r="I1158">
        <v>0.9</v>
      </c>
      <c r="J1158">
        <v>56.126477890366417</v>
      </c>
      <c r="K1158">
        <v>1500</v>
      </c>
      <c r="L1158">
        <v>0</v>
      </c>
      <c r="N1158">
        <v>29</v>
      </c>
      <c r="O1158" s="60" t="s">
        <v>1673</v>
      </c>
      <c r="P1158" t="s">
        <v>805</v>
      </c>
      <c r="Q1158" t="s">
        <v>2395</v>
      </c>
    </row>
    <row r="1159" spans="1:17" x14ac:dyDescent="0.25">
      <c r="A1159" t="s">
        <v>19</v>
      </c>
      <c r="B1159">
        <v>16.349999999999994</v>
      </c>
      <c r="C1159">
        <v>108.75</v>
      </c>
      <c r="D1159">
        <v>11.700100000000001</v>
      </c>
      <c r="E1159">
        <v>16.349999999999994</v>
      </c>
      <c r="F1159">
        <v>110.1</v>
      </c>
      <c r="G1159">
        <v>11.700100000000001</v>
      </c>
      <c r="H1159">
        <v>1.2</v>
      </c>
      <c r="I1159">
        <v>0.9</v>
      </c>
      <c r="J1159">
        <v>0.60616596121595478</v>
      </c>
      <c r="K1159">
        <v>1500</v>
      </c>
      <c r="L1159">
        <v>0</v>
      </c>
      <c r="N1159">
        <v>29</v>
      </c>
      <c r="O1159" s="60" t="s">
        <v>1674</v>
      </c>
      <c r="P1159" t="s">
        <v>806</v>
      </c>
      <c r="Q1159" t="s">
        <v>1034</v>
      </c>
    </row>
    <row r="1160" spans="1:17" x14ac:dyDescent="0.25">
      <c r="A1160" t="s">
        <v>19</v>
      </c>
      <c r="B1160">
        <v>16.349999999999994</v>
      </c>
      <c r="C1160">
        <v>110.1</v>
      </c>
      <c r="D1160">
        <v>11.700100000000001</v>
      </c>
      <c r="E1160">
        <v>141.35</v>
      </c>
      <c r="F1160">
        <v>110.1</v>
      </c>
      <c r="G1160">
        <v>11.700100000000001</v>
      </c>
      <c r="H1160">
        <v>1.2</v>
      </c>
      <c r="I1160">
        <v>0.9</v>
      </c>
      <c r="J1160">
        <v>56.126477890366417</v>
      </c>
      <c r="K1160">
        <v>1500</v>
      </c>
      <c r="L1160">
        <v>0</v>
      </c>
      <c r="N1160">
        <v>29</v>
      </c>
      <c r="O1160" s="60" t="s">
        <v>1675</v>
      </c>
      <c r="P1160" t="s">
        <v>826</v>
      </c>
      <c r="Q1160" t="s">
        <v>2394</v>
      </c>
    </row>
    <row r="1161" spans="1:17" x14ac:dyDescent="0.25">
      <c r="A1161" t="s">
        <v>19</v>
      </c>
      <c r="B1161">
        <v>141.35</v>
      </c>
      <c r="C1161">
        <v>110.1</v>
      </c>
      <c r="D1161">
        <v>11.700100000000001</v>
      </c>
      <c r="E1161">
        <v>141.35</v>
      </c>
      <c r="F1161">
        <v>114.14999999999999</v>
      </c>
      <c r="G1161">
        <v>11.700100000000001</v>
      </c>
      <c r="H1161">
        <v>1.2</v>
      </c>
      <c r="I1161">
        <v>0.9</v>
      </c>
      <c r="J1161">
        <v>1.8184978836478705</v>
      </c>
      <c r="K1161">
        <v>1500</v>
      </c>
      <c r="L1161">
        <v>0</v>
      </c>
      <c r="N1161">
        <v>29</v>
      </c>
      <c r="O1161" s="60" t="s">
        <v>1676</v>
      </c>
      <c r="P1161" t="s">
        <v>761</v>
      </c>
      <c r="Q1161" t="s">
        <v>1035</v>
      </c>
    </row>
    <row r="1162" spans="1:17" x14ac:dyDescent="0.25">
      <c r="A1162" t="s">
        <v>19</v>
      </c>
      <c r="B1162">
        <v>141.35</v>
      </c>
      <c r="C1162">
        <v>114.14999999999999</v>
      </c>
      <c r="D1162">
        <v>11.700100000000001</v>
      </c>
      <c r="E1162">
        <v>16.349999999999994</v>
      </c>
      <c r="F1162">
        <v>114.14999999999999</v>
      </c>
      <c r="G1162">
        <v>11.700100000000001</v>
      </c>
      <c r="H1162">
        <v>1.2</v>
      </c>
      <c r="I1162">
        <v>0.9</v>
      </c>
      <c r="J1162">
        <v>56.126477890366417</v>
      </c>
      <c r="K1162">
        <v>1500</v>
      </c>
      <c r="L1162">
        <v>0</v>
      </c>
      <c r="N1162">
        <v>29</v>
      </c>
      <c r="O1162" s="60" t="s">
        <v>1677</v>
      </c>
      <c r="P1162" t="s">
        <v>805</v>
      </c>
      <c r="Q1162" t="s">
        <v>2395</v>
      </c>
    </row>
    <row r="1163" spans="1:17" x14ac:dyDescent="0.25">
      <c r="A1163" t="s">
        <v>19</v>
      </c>
      <c r="B1163">
        <v>16.349999999999994</v>
      </c>
      <c r="C1163">
        <v>114.14999999999999</v>
      </c>
      <c r="D1163">
        <v>11.700100000000001</v>
      </c>
      <c r="E1163">
        <v>16.349999999999994</v>
      </c>
      <c r="F1163">
        <v>115.49999999999999</v>
      </c>
      <c r="G1163">
        <v>11.700100000000001</v>
      </c>
      <c r="H1163">
        <v>1.2</v>
      </c>
      <c r="I1163">
        <v>0.9</v>
      </c>
      <c r="J1163">
        <v>0.60616596121595478</v>
      </c>
      <c r="K1163">
        <v>1500</v>
      </c>
      <c r="L1163">
        <v>0</v>
      </c>
      <c r="N1163">
        <v>29</v>
      </c>
      <c r="O1163" s="60" t="s">
        <v>1678</v>
      </c>
      <c r="P1163" t="s">
        <v>806</v>
      </c>
      <c r="Q1163" t="s">
        <v>1036</v>
      </c>
    </row>
    <row r="1164" spans="1:17" x14ac:dyDescent="0.25">
      <c r="A1164" t="s">
        <v>19</v>
      </c>
      <c r="B1164">
        <v>16.349999999999994</v>
      </c>
      <c r="C1164">
        <v>115.49999999999999</v>
      </c>
      <c r="D1164">
        <v>11.700100000000001</v>
      </c>
      <c r="E1164">
        <v>141.35</v>
      </c>
      <c r="F1164">
        <v>115.49999999999999</v>
      </c>
      <c r="G1164">
        <v>11.700100000000001</v>
      </c>
      <c r="H1164">
        <v>1.2</v>
      </c>
      <c r="I1164">
        <v>0.9</v>
      </c>
      <c r="J1164">
        <v>56.126477890366417</v>
      </c>
      <c r="K1164">
        <v>1500</v>
      </c>
      <c r="L1164">
        <v>0</v>
      </c>
      <c r="N1164">
        <v>29</v>
      </c>
      <c r="O1164" s="60" t="s">
        <v>1679</v>
      </c>
      <c r="P1164" t="s">
        <v>826</v>
      </c>
      <c r="Q1164" t="s">
        <v>2394</v>
      </c>
    </row>
    <row r="1165" spans="1:17" x14ac:dyDescent="0.25">
      <c r="A1165" t="s">
        <v>19</v>
      </c>
      <c r="B1165">
        <v>141.35</v>
      </c>
      <c r="C1165">
        <v>115.49999999999999</v>
      </c>
      <c r="D1165">
        <v>11.700100000000001</v>
      </c>
      <c r="E1165">
        <v>141.35</v>
      </c>
      <c r="F1165">
        <v>119.54999999999998</v>
      </c>
      <c r="G1165">
        <v>11.700100000000001</v>
      </c>
      <c r="H1165">
        <v>1.2</v>
      </c>
      <c r="I1165">
        <v>0.9</v>
      </c>
      <c r="J1165">
        <v>1.8184978836478705</v>
      </c>
      <c r="K1165">
        <v>1500</v>
      </c>
      <c r="L1165">
        <v>0</v>
      </c>
      <c r="N1165">
        <v>29</v>
      </c>
      <c r="O1165" s="60" t="s">
        <v>1680</v>
      </c>
      <c r="P1165" t="s">
        <v>761</v>
      </c>
      <c r="Q1165" t="s">
        <v>1037</v>
      </c>
    </row>
    <row r="1166" spans="1:17" x14ac:dyDescent="0.25">
      <c r="A1166" t="s">
        <v>19</v>
      </c>
      <c r="B1166">
        <v>141.35</v>
      </c>
      <c r="C1166">
        <v>119.55</v>
      </c>
      <c r="D1166">
        <v>11.700100000000001</v>
      </c>
      <c r="E1166">
        <v>16.349999999999994</v>
      </c>
      <c r="F1166">
        <v>119.55</v>
      </c>
      <c r="G1166">
        <v>11.700100000000001</v>
      </c>
      <c r="H1166">
        <v>1.2</v>
      </c>
      <c r="I1166">
        <v>0.9</v>
      </c>
      <c r="J1166">
        <v>56.126477890366417</v>
      </c>
      <c r="K1166">
        <v>1500</v>
      </c>
      <c r="L1166">
        <v>0</v>
      </c>
      <c r="N1166">
        <v>29</v>
      </c>
      <c r="O1166" s="60" t="s">
        <v>2267</v>
      </c>
      <c r="P1166" t="s">
        <v>805</v>
      </c>
      <c r="Q1166" t="s">
        <v>2395</v>
      </c>
    </row>
    <row r="1167" spans="1:17" x14ac:dyDescent="0.25">
      <c r="A1167" t="s">
        <v>19</v>
      </c>
      <c r="B1167">
        <v>16.349999999999994</v>
      </c>
      <c r="C1167">
        <v>119.55</v>
      </c>
      <c r="D1167">
        <v>11.700100000000001</v>
      </c>
      <c r="E1167">
        <v>16.349999999999994</v>
      </c>
      <c r="F1167">
        <v>120.89999999999999</v>
      </c>
      <c r="G1167">
        <v>11.700100000000001</v>
      </c>
      <c r="H1167">
        <v>1.2</v>
      </c>
      <c r="I1167">
        <v>0.9</v>
      </c>
      <c r="J1167">
        <v>0.60616596121595478</v>
      </c>
      <c r="K1167">
        <v>1500</v>
      </c>
      <c r="L1167">
        <v>0</v>
      </c>
      <c r="N1167">
        <v>29</v>
      </c>
      <c r="O1167" s="60" t="s">
        <v>2268</v>
      </c>
      <c r="P1167" t="s">
        <v>806</v>
      </c>
      <c r="Q1167" t="s">
        <v>1935</v>
      </c>
    </row>
    <row r="1168" spans="1:17" x14ac:dyDescent="0.25">
      <c r="A1168" t="s">
        <v>19</v>
      </c>
      <c r="B1168">
        <v>16.349999999999994</v>
      </c>
      <c r="C1168">
        <v>120.89999999999999</v>
      </c>
      <c r="D1168">
        <v>11.700100000000001</v>
      </c>
      <c r="E1168">
        <v>141.35</v>
      </c>
      <c r="F1168">
        <v>120.89999999999999</v>
      </c>
      <c r="G1168">
        <v>11.700100000000001</v>
      </c>
      <c r="H1168">
        <v>1.2</v>
      </c>
      <c r="I1168">
        <v>0.9</v>
      </c>
      <c r="J1168">
        <v>56.126477890366417</v>
      </c>
      <c r="K1168">
        <v>1500</v>
      </c>
      <c r="L1168">
        <v>0</v>
      </c>
      <c r="N1168">
        <v>29</v>
      </c>
      <c r="O1168" s="60" t="s">
        <v>2269</v>
      </c>
      <c r="P1168" t="s">
        <v>826</v>
      </c>
      <c r="Q1168" t="s">
        <v>2394</v>
      </c>
    </row>
    <row r="1169" spans="1:17" x14ac:dyDescent="0.25">
      <c r="A1169" t="s">
        <v>19</v>
      </c>
      <c r="B1169">
        <v>141.35</v>
      </c>
      <c r="C1169">
        <v>120.89999999999999</v>
      </c>
      <c r="D1169">
        <v>11.700100000000001</v>
      </c>
      <c r="E1169">
        <v>141.35</v>
      </c>
      <c r="F1169">
        <v>124.94999999999999</v>
      </c>
      <c r="G1169">
        <v>11.700100000000001</v>
      </c>
      <c r="H1169">
        <v>1.2</v>
      </c>
      <c r="I1169">
        <v>0.9</v>
      </c>
      <c r="J1169">
        <v>1.8184978836478705</v>
      </c>
      <c r="K1169">
        <v>1500</v>
      </c>
      <c r="L1169">
        <v>0</v>
      </c>
      <c r="N1169">
        <v>29</v>
      </c>
      <c r="O1169" s="60" t="s">
        <v>2270</v>
      </c>
      <c r="P1169" t="s">
        <v>761</v>
      </c>
      <c r="Q1169" t="s">
        <v>1938</v>
      </c>
    </row>
    <row r="1170" spans="1:17" x14ac:dyDescent="0.25">
      <c r="A1170" t="s">
        <v>19</v>
      </c>
      <c r="B1170">
        <v>141.35</v>
      </c>
      <c r="C1170">
        <v>124.95</v>
      </c>
      <c r="D1170">
        <v>11.700100000000001</v>
      </c>
      <c r="E1170">
        <v>16.349999999999994</v>
      </c>
      <c r="F1170">
        <v>124.95</v>
      </c>
      <c r="G1170">
        <v>11.700100000000001</v>
      </c>
      <c r="H1170">
        <v>1.2</v>
      </c>
      <c r="I1170">
        <v>0.9</v>
      </c>
      <c r="J1170">
        <v>56.126477890366417</v>
      </c>
      <c r="K1170">
        <v>1500</v>
      </c>
      <c r="L1170">
        <v>0</v>
      </c>
      <c r="N1170">
        <v>29</v>
      </c>
      <c r="O1170" s="60" t="s">
        <v>2271</v>
      </c>
      <c r="P1170" t="s">
        <v>805</v>
      </c>
      <c r="Q1170" t="s">
        <v>2395</v>
      </c>
    </row>
    <row r="1171" spans="1:17" x14ac:dyDescent="0.25">
      <c r="A1171" t="s">
        <v>19</v>
      </c>
      <c r="B1171">
        <v>16.349999999999994</v>
      </c>
      <c r="C1171">
        <v>124.95</v>
      </c>
      <c r="D1171">
        <v>11.700100000000001</v>
      </c>
      <c r="E1171">
        <v>16.349999999999994</v>
      </c>
      <c r="F1171">
        <v>126.3</v>
      </c>
      <c r="G1171">
        <v>11.700100000000001</v>
      </c>
      <c r="H1171">
        <v>1.2</v>
      </c>
      <c r="I1171">
        <v>0.9</v>
      </c>
      <c r="J1171">
        <v>0.60616596121595478</v>
      </c>
      <c r="K1171">
        <v>1500</v>
      </c>
      <c r="L1171">
        <v>0</v>
      </c>
      <c r="N1171">
        <v>29</v>
      </c>
      <c r="O1171" s="60" t="s">
        <v>2272</v>
      </c>
      <c r="P1171" t="s">
        <v>806</v>
      </c>
      <c r="Q1171" t="s">
        <v>1941</v>
      </c>
    </row>
    <row r="1172" spans="1:17" x14ac:dyDescent="0.25">
      <c r="A1172" t="s">
        <v>19</v>
      </c>
      <c r="B1172">
        <v>16.349999999999994</v>
      </c>
      <c r="C1172">
        <v>126.3</v>
      </c>
      <c r="D1172">
        <v>11.700100000000001</v>
      </c>
      <c r="E1172">
        <v>141.35</v>
      </c>
      <c r="F1172">
        <v>126.3</v>
      </c>
      <c r="G1172">
        <v>11.700100000000001</v>
      </c>
      <c r="H1172">
        <v>1.2</v>
      </c>
      <c r="I1172">
        <v>0.9</v>
      </c>
      <c r="J1172">
        <v>56.126477890366417</v>
      </c>
      <c r="K1172">
        <v>1500</v>
      </c>
      <c r="L1172">
        <v>0</v>
      </c>
      <c r="N1172">
        <v>29</v>
      </c>
      <c r="O1172" s="60" t="s">
        <v>2273</v>
      </c>
      <c r="P1172" t="s">
        <v>826</v>
      </c>
      <c r="Q1172" t="s">
        <v>2394</v>
      </c>
    </row>
    <row r="1173" spans="1:17" x14ac:dyDescent="0.25">
      <c r="A1173" t="s">
        <v>19</v>
      </c>
      <c r="B1173">
        <v>141.35</v>
      </c>
      <c r="C1173">
        <v>126.3</v>
      </c>
      <c r="D1173">
        <v>11.700100000000001</v>
      </c>
      <c r="E1173">
        <v>141.35</v>
      </c>
      <c r="F1173">
        <v>130.35</v>
      </c>
      <c r="G1173">
        <v>11.700100000000001</v>
      </c>
      <c r="H1173">
        <v>1.2</v>
      </c>
      <c r="I1173">
        <v>0.9</v>
      </c>
      <c r="J1173">
        <v>1.8184978836478705</v>
      </c>
      <c r="K1173">
        <v>1500</v>
      </c>
      <c r="L1173">
        <v>0</v>
      </c>
      <c r="N1173">
        <v>29</v>
      </c>
      <c r="O1173" s="60" t="s">
        <v>2274</v>
      </c>
      <c r="P1173" t="s">
        <v>761</v>
      </c>
      <c r="Q1173" t="s">
        <v>1944</v>
      </c>
    </row>
    <row r="1174" spans="1:17" x14ac:dyDescent="0.25">
      <c r="A1174" t="s">
        <v>49</v>
      </c>
      <c r="B1174" t="s">
        <v>811</v>
      </c>
      <c r="N1174">
        <v>29</v>
      </c>
      <c r="O1174" s="60" t="s">
        <v>967</v>
      </c>
      <c r="P1174" t="s">
        <v>759</v>
      </c>
      <c r="Q1174" t="s">
        <v>811</v>
      </c>
    </row>
    <row r="1175" spans="1:17" x14ac:dyDescent="0.25">
      <c r="A1175" t="s">
        <v>49</v>
      </c>
      <c r="B1175" t="s">
        <v>203</v>
      </c>
      <c r="C1175">
        <v>0</v>
      </c>
      <c r="N1175">
        <v>29</v>
      </c>
      <c r="O1175" s="60" t="s">
        <v>968</v>
      </c>
      <c r="P1175" t="s">
        <v>764</v>
      </c>
      <c r="Q1175" t="s">
        <v>467</v>
      </c>
    </row>
    <row r="1176" spans="1:17" x14ac:dyDescent="0.25">
      <c r="A1176" t="s">
        <v>49</v>
      </c>
      <c r="B1176" t="s">
        <v>634</v>
      </c>
      <c r="N1176">
        <v>29</v>
      </c>
      <c r="O1176" s="60" t="s">
        <v>969</v>
      </c>
      <c r="P1176" t="s">
        <v>813</v>
      </c>
      <c r="Q1176" t="s">
        <v>634</v>
      </c>
    </row>
    <row r="1177" spans="1:17" x14ac:dyDescent="0.25">
      <c r="A1177" t="s">
        <v>23</v>
      </c>
      <c r="B1177">
        <v>141.35</v>
      </c>
      <c r="C1177">
        <v>130.35</v>
      </c>
      <c r="D1177">
        <v>11.700100000000001</v>
      </c>
      <c r="E1177">
        <v>15</v>
      </c>
      <c r="F1177">
        <v>75</v>
      </c>
      <c r="G1177">
        <v>11.700000000000001</v>
      </c>
      <c r="H1177">
        <v>0</v>
      </c>
      <c r="I1177">
        <v>0</v>
      </c>
      <c r="K1177">
        <v>48000</v>
      </c>
      <c r="N1177">
        <v>0</v>
      </c>
      <c r="O1177" s="60">
        <v>0</v>
      </c>
      <c r="P1177" t="s">
        <v>661</v>
      </c>
      <c r="Q1177" t="s">
        <v>2275</v>
      </c>
    </row>
    <row r="1178" spans="1:17" x14ac:dyDescent="0.25">
      <c r="A1178" t="s">
        <v>19</v>
      </c>
      <c r="B1178">
        <v>15</v>
      </c>
      <c r="C1178">
        <v>75</v>
      </c>
      <c r="D1178">
        <v>11.700000000000001</v>
      </c>
      <c r="E1178">
        <v>15</v>
      </c>
      <c r="F1178">
        <v>79.05</v>
      </c>
      <c r="G1178">
        <v>11.700000000000001</v>
      </c>
      <c r="H1178">
        <v>1.2</v>
      </c>
      <c r="I1178">
        <v>0.9</v>
      </c>
      <c r="J1178">
        <v>1.8184978836478705</v>
      </c>
      <c r="K1178">
        <v>1500</v>
      </c>
      <c r="L1178">
        <v>0</v>
      </c>
      <c r="N1178">
        <v>29</v>
      </c>
      <c r="O1178" s="60" t="s">
        <v>2276</v>
      </c>
      <c r="P1178" t="s">
        <v>2018</v>
      </c>
      <c r="Q1178" t="s">
        <v>879</v>
      </c>
    </row>
    <row r="1179" spans="1:17" x14ac:dyDescent="0.25">
      <c r="A1179" t="s">
        <v>19</v>
      </c>
      <c r="B1179">
        <v>15</v>
      </c>
      <c r="C1179">
        <v>79.05</v>
      </c>
      <c r="D1179">
        <v>11.700000000000001</v>
      </c>
      <c r="E1179">
        <v>140</v>
      </c>
      <c r="F1179">
        <v>79.05</v>
      </c>
      <c r="G1179">
        <v>11.700000000000001</v>
      </c>
      <c r="H1179">
        <v>1.2</v>
      </c>
      <c r="I1179">
        <v>0.9</v>
      </c>
      <c r="J1179">
        <v>56.126477890366417</v>
      </c>
      <c r="K1179">
        <v>1500</v>
      </c>
      <c r="L1179">
        <v>0</v>
      </c>
      <c r="N1179">
        <v>29</v>
      </c>
      <c r="O1179" s="60" t="s">
        <v>2277</v>
      </c>
      <c r="P1179" t="s">
        <v>2020</v>
      </c>
      <c r="Q1179" t="s">
        <v>2396</v>
      </c>
    </row>
    <row r="1180" spans="1:17" x14ac:dyDescent="0.25">
      <c r="A1180" t="s">
        <v>19</v>
      </c>
      <c r="B1180">
        <v>140</v>
      </c>
      <c r="C1180">
        <v>79.05</v>
      </c>
      <c r="D1180">
        <v>11.700000000000001</v>
      </c>
      <c r="E1180">
        <v>140</v>
      </c>
      <c r="F1180">
        <v>80.399999999999991</v>
      </c>
      <c r="G1180">
        <v>11.700000000000001</v>
      </c>
      <c r="H1180">
        <v>1.2</v>
      </c>
      <c r="I1180">
        <v>0.9</v>
      </c>
      <c r="J1180">
        <v>0.60616596121595478</v>
      </c>
      <c r="K1180">
        <v>1500</v>
      </c>
      <c r="L1180">
        <v>0</v>
      </c>
      <c r="N1180">
        <v>29</v>
      </c>
      <c r="O1180" s="60" t="s">
        <v>2278</v>
      </c>
      <c r="P1180" t="s">
        <v>2022</v>
      </c>
      <c r="Q1180" t="s">
        <v>880</v>
      </c>
    </row>
    <row r="1181" spans="1:17" x14ac:dyDescent="0.25">
      <c r="A1181" t="s">
        <v>19</v>
      </c>
      <c r="B1181">
        <v>140</v>
      </c>
      <c r="C1181">
        <v>80.399999999999991</v>
      </c>
      <c r="D1181">
        <v>11.700000000000001</v>
      </c>
      <c r="E1181">
        <v>15</v>
      </c>
      <c r="F1181">
        <v>80.399999999999991</v>
      </c>
      <c r="G1181">
        <v>11.700000000000001</v>
      </c>
      <c r="H1181">
        <v>1.2</v>
      </c>
      <c r="I1181">
        <v>0.9</v>
      </c>
      <c r="J1181">
        <v>56.126477890366417</v>
      </c>
      <c r="K1181">
        <v>1500</v>
      </c>
      <c r="L1181">
        <v>0</v>
      </c>
      <c r="N1181">
        <v>29</v>
      </c>
      <c r="O1181" s="60" t="s">
        <v>2279</v>
      </c>
      <c r="P1181" t="s">
        <v>2024</v>
      </c>
      <c r="Q1181" t="s">
        <v>2397</v>
      </c>
    </row>
    <row r="1182" spans="1:17" x14ac:dyDescent="0.25">
      <c r="A1182" t="s">
        <v>19</v>
      </c>
      <c r="B1182">
        <v>15</v>
      </c>
      <c r="C1182">
        <v>80.400000000000006</v>
      </c>
      <c r="D1182">
        <v>11.700000000000001</v>
      </c>
      <c r="E1182">
        <v>15</v>
      </c>
      <c r="F1182">
        <v>84.45</v>
      </c>
      <c r="G1182">
        <v>11.700000000000001</v>
      </c>
      <c r="H1182">
        <v>1.2</v>
      </c>
      <c r="I1182">
        <v>0.9</v>
      </c>
      <c r="J1182">
        <v>1.8184978836478705</v>
      </c>
      <c r="K1182">
        <v>1500</v>
      </c>
      <c r="L1182">
        <v>0</v>
      </c>
      <c r="N1182">
        <v>29</v>
      </c>
      <c r="O1182" s="60" t="s">
        <v>1681</v>
      </c>
      <c r="P1182" t="s">
        <v>827</v>
      </c>
      <c r="Q1182" t="s">
        <v>1065</v>
      </c>
    </row>
    <row r="1183" spans="1:17" x14ac:dyDescent="0.25">
      <c r="A1183" t="s">
        <v>19</v>
      </c>
      <c r="B1183">
        <v>15</v>
      </c>
      <c r="C1183">
        <v>84.45</v>
      </c>
      <c r="D1183">
        <v>11.700000000000001</v>
      </c>
      <c r="E1183">
        <v>140</v>
      </c>
      <c r="F1183">
        <v>84.45</v>
      </c>
      <c r="G1183">
        <v>11.700000000000001</v>
      </c>
      <c r="H1183">
        <v>1.2</v>
      </c>
      <c r="I1183">
        <v>0.9</v>
      </c>
      <c r="J1183">
        <v>56.126477890366417</v>
      </c>
      <c r="K1183">
        <v>1500</v>
      </c>
      <c r="L1183">
        <v>0</v>
      </c>
      <c r="N1183">
        <v>29</v>
      </c>
      <c r="O1183" s="60" t="s">
        <v>1682</v>
      </c>
      <c r="P1183" t="s">
        <v>828</v>
      </c>
      <c r="Q1183" t="s">
        <v>2396</v>
      </c>
    </row>
    <row r="1184" spans="1:17" x14ac:dyDescent="0.25">
      <c r="A1184" t="s">
        <v>19</v>
      </c>
      <c r="B1184">
        <v>140</v>
      </c>
      <c r="C1184">
        <v>84.45</v>
      </c>
      <c r="D1184">
        <v>11.700000000000001</v>
      </c>
      <c r="E1184">
        <v>140</v>
      </c>
      <c r="F1184">
        <v>85.8</v>
      </c>
      <c r="G1184">
        <v>11.700000000000001</v>
      </c>
      <c r="H1184">
        <v>1.2</v>
      </c>
      <c r="I1184">
        <v>0.9</v>
      </c>
      <c r="J1184">
        <v>0.60616596121595478</v>
      </c>
      <c r="K1184">
        <v>1500</v>
      </c>
      <c r="L1184">
        <v>0</v>
      </c>
      <c r="N1184">
        <v>29</v>
      </c>
      <c r="O1184" s="60" t="s">
        <v>1683</v>
      </c>
      <c r="P1184" t="s">
        <v>829</v>
      </c>
      <c r="Q1184" t="s">
        <v>1066</v>
      </c>
    </row>
    <row r="1185" spans="1:17" x14ac:dyDescent="0.25">
      <c r="A1185" t="s">
        <v>19</v>
      </c>
      <c r="B1185">
        <v>140</v>
      </c>
      <c r="C1185">
        <v>85.8</v>
      </c>
      <c r="D1185">
        <v>11.700000000000001</v>
      </c>
      <c r="E1185">
        <v>15</v>
      </c>
      <c r="F1185">
        <v>85.8</v>
      </c>
      <c r="G1185">
        <v>11.700000000000001</v>
      </c>
      <c r="H1185">
        <v>1.2</v>
      </c>
      <c r="I1185">
        <v>0.9</v>
      </c>
      <c r="J1185">
        <v>56.126477890366417</v>
      </c>
      <c r="K1185">
        <v>1500</v>
      </c>
      <c r="L1185">
        <v>0</v>
      </c>
      <c r="N1185">
        <v>29</v>
      </c>
      <c r="O1185" s="60" t="s">
        <v>1684</v>
      </c>
      <c r="P1185" t="s">
        <v>814</v>
      </c>
      <c r="Q1185" t="s">
        <v>2397</v>
      </c>
    </row>
    <row r="1186" spans="1:17" x14ac:dyDescent="0.25">
      <c r="A1186" t="s">
        <v>19</v>
      </c>
      <c r="B1186">
        <v>15</v>
      </c>
      <c r="C1186">
        <v>85.8</v>
      </c>
      <c r="D1186">
        <v>11.700000000000001</v>
      </c>
      <c r="E1186">
        <v>15</v>
      </c>
      <c r="F1186">
        <v>89.85</v>
      </c>
      <c r="G1186">
        <v>11.700000000000001</v>
      </c>
      <c r="H1186">
        <v>1.2</v>
      </c>
      <c r="I1186">
        <v>0.9</v>
      </c>
      <c r="J1186">
        <v>1.8184978836478705</v>
      </c>
      <c r="K1186">
        <v>1500</v>
      </c>
      <c r="L1186">
        <v>0</v>
      </c>
      <c r="N1186">
        <v>29</v>
      </c>
      <c r="O1186" s="60" t="s">
        <v>1685</v>
      </c>
      <c r="P1186" t="s">
        <v>827</v>
      </c>
      <c r="Q1186" t="s">
        <v>1067</v>
      </c>
    </row>
    <row r="1187" spans="1:17" x14ac:dyDescent="0.25">
      <c r="A1187" t="s">
        <v>19</v>
      </c>
      <c r="B1187">
        <v>15</v>
      </c>
      <c r="C1187">
        <v>89.85</v>
      </c>
      <c r="D1187">
        <v>11.700000000000001</v>
      </c>
      <c r="E1187">
        <v>140</v>
      </c>
      <c r="F1187">
        <v>89.85</v>
      </c>
      <c r="G1187">
        <v>11.700000000000001</v>
      </c>
      <c r="H1187">
        <v>1.2</v>
      </c>
      <c r="I1187">
        <v>0.9</v>
      </c>
      <c r="J1187">
        <v>56.126477890366417</v>
      </c>
      <c r="K1187">
        <v>1500</v>
      </c>
      <c r="L1187">
        <v>0</v>
      </c>
      <c r="N1187">
        <v>29</v>
      </c>
      <c r="O1187" s="60" t="s">
        <v>1686</v>
      </c>
      <c r="P1187" t="s">
        <v>828</v>
      </c>
      <c r="Q1187" t="s">
        <v>2396</v>
      </c>
    </row>
    <row r="1188" spans="1:17" x14ac:dyDescent="0.25">
      <c r="A1188" t="s">
        <v>19</v>
      </c>
      <c r="B1188">
        <v>140</v>
      </c>
      <c r="C1188">
        <v>89.85</v>
      </c>
      <c r="D1188">
        <v>11.700000000000001</v>
      </c>
      <c r="E1188">
        <v>140</v>
      </c>
      <c r="F1188">
        <v>91.199999999999989</v>
      </c>
      <c r="G1188">
        <v>11.700000000000001</v>
      </c>
      <c r="H1188">
        <v>1.2</v>
      </c>
      <c r="I1188">
        <v>0.9</v>
      </c>
      <c r="J1188">
        <v>0.60616596121595478</v>
      </c>
      <c r="K1188">
        <v>1500</v>
      </c>
      <c r="L1188">
        <v>0</v>
      </c>
      <c r="N1188">
        <v>29</v>
      </c>
      <c r="O1188" s="60" t="s">
        <v>1687</v>
      </c>
      <c r="P1188" t="s">
        <v>829</v>
      </c>
      <c r="Q1188" t="s">
        <v>1068</v>
      </c>
    </row>
    <row r="1189" spans="1:17" x14ac:dyDescent="0.25">
      <c r="A1189" t="s">
        <v>19</v>
      </c>
      <c r="B1189">
        <v>140</v>
      </c>
      <c r="C1189">
        <v>91.199999999999989</v>
      </c>
      <c r="D1189">
        <v>11.700000000000001</v>
      </c>
      <c r="E1189">
        <v>15</v>
      </c>
      <c r="F1189">
        <v>91.199999999999989</v>
      </c>
      <c r="G1189">
        <v>11.700000000000001</v>
      </c>
      <c r="H1189">
        <v>1.2</v>
      </c>
      <c r="I1189">
        <v>0.9</v>
      </c>
      <c r="J1189">
        <v>56.126477890366417</v>
      </c>
      <c r="K1189">
        <v>1500</v>
      </c>
      <c r="L1189">
        <v>0</v>
      </c>
      <c r="N1189">
        <v>29</v>
      </c>
      <c r="O1189" s="60" t="s">
        <v>1688</v>
      </c>
      <c r="P1189" t="s">
        <v>814</v>
      </c>
      <c r="Q1189" t="s">
        <v>2397</v>
      </c>
    </row>
    <row r="1190" spans="1:17" x14ac:dyDescent="0.25">
      <c r="A1190" t="s">
        <v>19</v>
      </c>
      <c r="B1190">
        <v>15</v>
      </c>
      <c r="C1190">
        <v>91.2</v>
      </c>
      <c r="D1190">
        <v>11.700000000000001</v>
      </c>
      <c r="E1190">
        <v>15</v>
      </c>
      <c r="F1190">
        <v>95.25</v>
      </c>
      <c r="G1190">
        <v>11.700000000000001</v>
      </c>
      <c r="H1190">
        <v>1.2</v>
      </c>
      <c r="I1190">
        <v>0.9</v>
      </c>
      <c r="J1190">
        <v>1.8184978836478705</v>
      </c>
      <c r="K1190">
        <v>1500</v>
      </c>
      <c r="L1190">
        <v>0</v>
      </c>
      <c r="N1190">
        <v>29</v>
      </c>
      <c r="O1190" s="60" t="s">
        <v>1689</v>
      </c>
      <c r="P1190" t="s">
        <v>827</v>
      </c>
      <c r="Q1190" t="s">
        <v>1069</v>
      </c>
    </row>
    <row r="1191" spans="1:17" x14ac:dyDescent="0.25">
      <c r="A1191" t="s">
        <v>19</v>
      </c>
      <c r="B1191">
        <v>15</v>
      </c>
      <c r="C1191">
        <v>95.25</v>
      </c>
      <c r="D1191">
        <v>11.700000000000001</v>
      </c>
      <c r="E1191">
        <v>140</v>
      </c>
      <c r="F1191">
        <v>95.25</v>
      </c>
      <c r="G1191">
        <v>11.700000000000001</v>
      </c>
      <c r="H1191">
        <v>1.2</v>
      </c>
      <c r="I1191">
        <v>0.9</v>
      </c>
      <c r="J1191">
        <v>56.126477890366417</v>
      </c>
      <c r="K1191">
        <v>1500</v>
      </c>
      <c r="L1191">
        <v>0</v>
      </c>
      <c r="N1191">
        <v>29</v>
      </c>
      <c r="O1191" s="60" t="s">
        <v>1690</v>
      </c>
      <c r="P1191" t="s">
        <v>828</v>
      </c>
      <c r="Q1191" t="s">
        <v>2396</v>
      </c>
    </row>
    <row r="1192" spans="1:17" x14ac:dyDescent="0.25">
      <c r="A1192" t="s">
        <v>19</v>
      </c>
      <c r="B1192">
        <v>140</v>
      </c>
      <c r="C1192">
        <v>95.25</v>
      </c>
      <c r="D1192">
        <v>11.700000000000001</v>
      </c>
      <c r="E1192">
        <v>140</v>
      </c>
      <c r="F1192">
        <v>96.6</v>
      </c>
      <c r="G1192">
        <v>11.700000000000001</v>
      </c>
      <c r="H1192">
        <v>1.2</v>
      </c>
      <c r="I1192">
        <v>0.9</v>
      </c>
      <c r="J1192">
        <v>0.60616596121595478</v>
      </c>
      <c r="K1192">
        <v>1500</v>
      </c>
      <c r="L1192">
        <v>0</v>
      </c>
      <c r="N1192">
        <v>29</v>
      </c>
      <c r="O1192" s="60" t="s">
        <v>1691</v>
      </c>
      <c r="P1192" t="s">
        <v>829</v>
      </c>
      <c r="Q1192" t="s">
        <v>1070</v>
      </c>
    </row>
    <row r="1193" spans="1:17" x14ac:dyDescent="0.25">
      <c r="A1193" t="s">
        <v>19</v>
      </c>
      <c r="B1193">
        <v>140</v>
      </c>
      <c r="C1193">
        <v>96.6</v>
      </c>
      <c r="D1193">
        <v>11.700000000000001</v>
      </c>
      <c r="E1193">
        <v>15</v>
      </c>
      <c r="F1193">
        <v>96.6</v>
      </c>
      <c r="G1193">
        <v>11.700000000000001</v>
      </c>
      <c r="H1193">
        <v>1.2</v>
      </c>
      <c r="I1193">
        <v>0.9</v>
      </c>
      <c r="J1193">
        <v>56.126477890366417</v>
      </c>
      <c r="K1193">
        <v>1500</v>
      </c>
      <c r="L1193">
        <v>0</v>
      </c>
      <c r="N1193">
        <v>29</v>
      </c>
      <c r="O1193" s="60" t="s">
        <v>1692</v>
      </c>
      <c r="P1193" t="s">
        <v>814</v>
      </c>
      <c r="Q1193" t="s">
        <v>2397</v>
      </c>
    </row>
    <row r="1194" spans="1:17" x14ac:dyDescent="0.25">
      <c r="A1194" t="s">
        <v>19</v>
      </c>
      <c r="B1194">
        <v>15</v>
      </c>
      <c r="C1194">
        <v>96.6</v>
      </c>
      <c r="D1194">
        <v>11.700000000000001</v>
      </c>
      <c r="E1194">
        <v>15</v>
      </c>
      <c r="F1194">
        <v>100.65</v>
      </c>
      <c r="G1194">
        <v>11.700000000000001</v>
      </c>
      <c r="H1194">
        <v>1.2</v>
      </c>
      <c r="I1194">
        <v>0.9</v>
      </c>
      <c r="J1194">
        <v>1.8184978836478705</v>
      </c>
      <c r="K1194">
        <v>1500</v>
      </c>
      <c r="L1194">
        <v>0</v>
      </c>
      <c r="N1194">
        <v>29</v>
      </c>
      <c r="O1194" s="60" t="s">
        <v>1693</v>
      </c>
      <c r="P1194" t="s">
        <v>827</v>
      </c>
      <c r="Q1194" t="s">
        <v>1071</v>
      </c>
    </row>
    <row r="1195" spans="1:17" x14ac:dyDescent="0.25">
      <c r="A1195" t="s">
        <v>19</v>
      </c>
      <c r="B1195">
        <v>15</v>
      </c>
      <c r="C1195">
        <v>100.65</v>
      </c>
      <c r="D1195">
        <v>11.700000000000001</v>
      </c>
      <c r="E1195">
        <v>140</v>
      </c>
      <c r="F1195">
        <v>100.65</v>
      </c>
      <c r="G1195">
        <v>11.700000000000001</v>
      </c>
      <c r="H1195">
        <v>1.2</v>
      </c>
      <c r="I1195">
        <v>0.9</v>
      </c>
      <c r="J1195">
        <v>56.126477890366417</v>
      </c>
      <c r="K1195">
        <v>1500</v>
      </c>
      <c r="L1195">
        <v>0</v>
      </c>
      <c r="N1195">
        <v>29</v>
      </c>
      <c r="O1195" s="60" t="s">
        <v>1694</v>
      </c>
      <c r="P1195" t="s">
        <v>828</v>
      </c>
      <c r="Q1195" t="s">
        <v>2396</v>
      </c>
    </row>
    <row r="1196" spans="1:17" x14ac:dyDescent="0.25">
      <c r="A1196" t="s">
        <v>19</v>
      </c>
      <c r="B1196">
        <v>140</v>
      </c>
      <c r="C1196">
        <v>100.65</v>
      </c>
      <c r="D1196">
        <v>11.700000000000001</v>
      </c>
      <c r="E1196">
        <v>140</v>
      </c>
      <c r="F1196">
        <v>102</v>
      </c>
      <c r="G1196">
        <v>11.700000000000001</v>
      </c>
      <c r="H1196">
        <v>1.2</v>
      </c>
      <c r="I1196">
        <v>0.9</v>
      </c>
      <c r="J1196">
        <v>0.60616596121595478</v>
      </c>
      <c r="K1196">
        <v>1500</v>
      </c>
      <c r="L1196">
        <v>0</v>
      </c>
      <c r="N1196">
        <v>29</v>
      </c>
      <c r="O1196" s="60" t="s">
        <v>1695</v>
      </c>
      <c r="P1196" t="s">
        <v>829</v>
      </c>
      <c r="Q1196" t="s">
        <v>1072</v>
      </c>
    </row>
    <row r="1197" spans="1:17" x14ac:dyDescent="0.25">
      <c r="A1197" t="s">
        <v>19</v>
      </c>
      <c r="B1197">
        <v>140</v>
      </c>
      <c r="C1197">
        <v>102</v>
      </c>
      <c r="D1197">
        <v>11.700000000000001</v>
      </c>
      <c r="E1197">
        <v>15</v>
      </c>
      <c r="F1197">
        <v>102</v>
      </c>
      <c r="G1197">
        <v>11.700000000000001</v>
      </c>
      <c r="H1197">
        <v>1.2</v>
      </c>
      <c r="I1197">
        <v>0.9</v>
      </c>
      <c r="J1197">
        <v>56.126477890366417</v>
      </c>
      <c r="K1197">
        <v>1500</v>
      </c>
      <c r="L1197">
        <v>0</v>
      </c>
      <c r="N1197">
        <v>29</v>
      </c>
      <c r="O1197" s="60" t="s">
        <v>1696</v>
      </c>
      <c r="P1197" t="s">
        <v>814</v>
      </c>
      <c r="Q1197" t="s">
        <v>2397</v>
      </c>
    </row>
    <row r="1198" spans="1:17" x14ac:dyDescent="0.25">
      <c r="A1198" t="s">
        <v>19</v>
      </c>
      <c r="B1198">
        <v>15</v>
      </c>
      <c r="C1198">
        <v>102</v>
      </c>
      <c r="D1198">
        <v>11.700000000000001</v>
      </c>
      <c r="E1198">
        <v>15</v>
      </c>
      <c r="F1198">
        <v>106.05</v>
      </c>
      <c r="G1198">
        <v>11.700000000000001</v>
      </c>
      <c r="H1198">
        <v>1.2</v>
      </c>
      <c r="I1198">
        <v>0.9</v>
      </c>
      <c r="J1198">
        <v>1.8184978836478705</v>
      </c>
      <c r="K1198">
        <v>1500</v>
      </c>
      <c r="L1198">
        <v>0</v>
      </c>
      <c r="N1198">
        <v>29</v>
      </c>
      <c r="O1198" s="60" t="s">
        <v>1697</v>
      </c>
      <c r="P1198" t="s">
        <v>827</v>
      </c>
      <c r="Q1198" t="s">
        <v>1073</v>
      </c>
    </row>
    <row r="1199" spans="1:17" x14ac:dyDescent="0.25">
      <c r="A1199" t="s">
        <v>19</v>
      </c>
      <c r="B1199">
        <v>15</v>
      </c>
      <c r="C1199">
        <v>106.05</v>
      </c>
      <c r="D1199">
        <v>11.700000000000001</v>
      </c>
      <c r="E1199">
        <v>140</v>
      </c>
      <c r="F1199">
        <v>106.05</v>
      </c>
      <c r="G1199">
        <v>11.700000000000001</v>
      </c>
      <c r="H1199">
        <v>1.2</v>
      </c>
      <c r="I1199">
        <v>0.9</v>
      </c>
      <c r="J1199">
        <v>56.126477890366417</v>
      </c>
      <c r="K1199">
        <v>1500</v>
      </c>
      <c r="L1199">
        <v>0</v>
      </c>
      <c r="N1199">
        <v>29</v>
      </c>
      <c r="O1199" s="60" t="s">
        <v>1698</v>
      </c>
      <c r="P1199" t="s">
        <v>828</v>
      </c>
      <c r="Q1199" t="s">
        <v>2396</v>
      </c>
    </row>
    <row r="1200" spans="1:17" x14ac:dyDescent="0.25">
      <c r="A1200" t="s">
        <v>19</v>
      </c>
      <c r="B1200">
        <v>140</v>
      </c>
      <c r="C1200">
        <v>106.05</v>
      </c>
      <c r="D1200">
        <v>11.700000000000001</v>
      </c>
      <c r="E1200">
        <v>140</v>
      </c>
      <c r="F1200">
        <v>107.39999999999999</v>
      </c>
      <c r="G1200">
        <v>11.700000000000001</v>
      </c>
      <c r="H1200">
        <v>1.2</v>
      </c>
      <c r="I1200">
        <v>0.9</v>
      </c>
      <c r="J1200">
        <v>0.60616596121595478</v>
      </c>
      <c r="K1200">
        <v>1500</v>
      </c>
      <c r="L1200">
        <v>0</v>
      </c>
      <c r="N1200">
        <v>29</v>
      </c>
      <c r="O1200" s="60" t="s">
        <v>1699</v>
      </c>
      <c r="P1200" t="s">
        <v>829</v>
      </c>
      <c r="Q1200" t="s">
        <v>1074</v>
      </c>
    </row>
    <row r="1201" spans="1:17" x14ac:dyDescent="0.25">
      <c r="A1201" t="s">
        <v>19</v>
      </c>
      <c r="B1201">
        <v>140</v>
      </c>
      <c r="C1201">
        <v>107.39999999999999</v>
      </c>
      <c r="D1201">
        <v>11.700000000000001</v>
      </c>
      <c r="E1201">
        <v>15</v>
      </c>
      <c r="F1201">
        <v>107.39999999999999</v>
      </c>
      <c r="G1201">
        <v>11.700000000000001</v>
      </c>
      <c r="H1201">
        <v>1.2</v>
      </c>
      <c r="I1201">
        <v>0.9</v>
      </c>
      <c r="J1201">
        <v>56.126477890366417</v>
      </c>
      <c r="K1201">
        <v>1500</v>
      </c>
      <c r="L1201">
        <v>0</v>
      </c>
      <c r="N1201">
        <v>29</v>
      </c>
      <c r="O1201" s="60" t="s">
        <v>1700</v>
      </c>
      <c r="P1201" t="s">
        <v>814</v>
      </c>
      <c r="Q1201" t="s">
        <v>2397</v>
      </c>
    </row>
    <row r="1202" spans="1:17" x14ac:dyDescent="0.25">
      <c r="A1202" t="s">
        <v>19</v>
      </c>
      <c r="B1202">
        <v>15</v>
      </c>
      <c r="C1202">
        <v>107.4</v>
      </c>
      <c r="D1202">
        <v>11.700000000000001</v>
      </c>
      <c r="E1202">
        <v>15</v>
      </c>
      <c r="F1202">
        <v>111.45</v>
      </c>
      <c r="G1202">
        <v>11.700000000000001</v>
      </c>
      <c r="H1202">
        <v>1.2</v>
      </c>
      <c r="I1202">
        <v>0.9</v>
      </c>
      <c r="J1202">
        <v>1.8184978836478705</v>
      </c>
      <c r="K1202">
        <v>1500</v>
      </c>
      <c r="L1202">
        <v>0</v>
      </c>
      <c r="N1202">
        <v>29</v>
      </c>
      <c r="O1202" s="60" t="s">
        <v>1701</v>
      </c>
      <c r="P1202" t="s">
        <v>827</v>
      </c>
      <c r="Q1202" t="s">
        <v>1075</v>
      </c>
    </row>
    <row r="1203" spans="1:17" x14ac:dyDescent="0.25">
      <c r="A1203" t="s">
        <v>19</v>
      </c>
      <c r="B1203">
        <v>15</v>
      </c>
      <c r="C1203">
        <v>111.45</v>
      </c>
      <c r="D1203">
        <v>11.700000000000001</v>
      </c>
      <c r="E1203">
        <v>140</v>
      </c>
      <c r="F1203">
        <v>111.45</v>
      </c>
      <c r="G1203">
        <v>11.700000000000001</v>
      </c>
      <c r="H1203">
        <v>1.2</v>
      </c>
      <c r="I1203">
        <v>0.9</v>
      </c>
      <c r="J1203">
        <v>56.126477890366417</v>
      </c>
      <c r="K1203">
        <v>1500</v>
      </c>
      <c r="L1203">
        <v>0</v>
      </c>
      <c r="N1203">
        <v>29</v>
      </c>
      <c r="O1203" s="60" t="s">
        <v>1702</v>
      </c>
      <c r="P1203" t="s">
        <v>828</v>
      </c>
      <c r="Q1203" t="s">
        <v>2396</v>
      </c>
    </row>
    <row r="1204" spans="1:17" x14ac:dyDescent="0.25">
      <c r="A1204" t="s">
        <v>19</v>
      </c>
      <c r="B1204">
        <v>140</v>
      </c>
      <c r="C1204">
        <v>111.45</v>
      </c>
      <c r="D1204">
        <v>11.700000000000001</v>
      </c>
      <c r="E1204">
        <v>140</v>
      </c>
      <c r="F1204">
        <v>112.8</v>
      </c>
      <c r="G1204">
        <v>11.700000000000001</v>
      </c>
      <c r="H1204">
        <v>1.2</v>
      </c>
      <c r="I1204">
        <v>0.9</v>
      </c>
      <c r="J1204">
        <v>0.60616596121595478</v>
      </c>
      <c r="K1204">
        <v>1500</v>
      </c>
      <c r="L1204">
        <v>0</v>
      </c>
      <c r="N1204">
        <v>29</v>
      </c>
      <c r="O1204" s="60" t="s">
        <v>1703</v>
      </c>
      <c r="P1204" t="s">
        <v>829</v>
      </c>
      <c r="Q1204" t="s">
        <v>1076</v>
      </c>
    </row>
    <row r="1205" spans="1:17" x14ac:dyDescent="0.25">
      <c r="A1205" t="s">
        <v>19</v>
      </c>
      <c r="B1205">
        <v>140</v>
      </c>
      <c r="C1205">
        <v>112.8</v>
      </c>
      <c r="D1205">
        <v>11.700000000000001</v>
      </c>
      <c r="E1205">
        <v>15</v>
      </c>
      <c r="F1205">
        <v>112.8</v>
      </c>
      <c r="G1205">
        <v>11.700000000000001</v>
      </c>
      <c r="H1205">
        <v>1.2</v>
      </c>
      <c r="I1205">
        <v>0.9</v>
      </c>
      <c r="J1205">
        <v>56.126477890366417</v>
      </c>
      <c r="K1205">
        <v>1500</v>
      </c>
      <c r="L1205">
        <v>0</v>
      </c>
      <c r="N1205">
        <v>29</v>
      </c>
      <c r="O1205" s="60" t="s">
        <v>1704</v>
      </c>
      <c r="P1205" t="s">
        <v>814</v>
      </c>
      <c r="Q1205" t="s">
        <v>2397</v>
      </c>
    </row>
    <row r="1206" spans="1:17" x14ac:dyDescent="0.25">
      <c r="A1206" t="s">
        <v>19</v>
      </c>
      <c r="B1206">
        <v>15</v>
      </c>
      <c r="C1206">
        <v>112.8</v>
      </c>
      <c r="D1206">
        <v>11.700000000000001</v>
      </c>
      <c r="E1206">
        <v>15</v>
      </c>
      <c r="F1206">
        <v>116.85</v>
      </c>
      <c r="G1206">
        <v>11.700000000000001</v>
      </c>
      <c r="H1206">
        <v>1.2</v>
      </c>
      <c r="I1206">
        <v>0.9</v>
      </c>
      <c r="J1206">
        <v>1.8184978836478705</v>
      </c>
      <c r="K1206">
        <v>1500</v>
      </c>
      <c r="L1206">
        <v>0</v>
      </c>
      <c r="N1206">
        <v>29</v>
      </c>
      <c r="O1206" s="60" t="s">
        <v>1705</v>
      </c>
      <c r="P1206" t="s">
        <v>827</v>
      </c>
      <c r="Q1206" t="s">
        <v>1077</v>
      </c>
    </row>
    <row r="1207" spans="1:17" x14ac:dyDescent="0.25">
      <c r="A1207" t="s">
        <v>19</v>
      </c>
      <c r="B1207">
        <v>15</v>
      </c>
      <c r="C1207">
        <v>116.85</v>
      </c>
      <c r="D1207">
        <v>11.700000000000001</v>
      </c>
      <c r="E1207">
        <v>140</v>
      </c>
      <c r="F1207">
        <v>116.85</v>
      </c>
      <c r="G1207">
        <v>11.700000000000001</v>
      </c>
      <c r="H1207">
        <v>1.2</v>
      </c>
      <c r="I1207">
        <v>0.9</v>
      </c>
      <c r="J1207">
        <v>56.126477890366417</v>
      </c>
      <c r="K1207">
        <v>1500</v>
      </c>
      <c r="L1207">
        <v>0</v>
      </c>
      <c r="N1207">
        <v>29</v>
      </c>
      <c r="O1207" s="60" t="s">
        <v>1706</v>
      </c>
      <c r="P1207" t="s">
        <v>828</v>
      </c>
      <c r="Q1207" t="s">
        <v>2396</v>
      </c>
    </row>
    <row r="1208" spans="1:17" x14ac:dyDescent="0.25">
      <c r="A1208" t="s">
        <v>19</v>
      </c>
      <c r="B1208">
        <v>140</v>
      </c>
      <c r="C1208">
        <v>116.85</v>
      </c>
      <c r="D1208">
        <v>11.700000000000001</v>
      </c>
      <c r="E1208">
        <v>140</v>
      </c>
      <c r="F1208">
        <v>118.19999999999999</v>
      </c>
      <c r="G1208">
        <v>11.700000000000001</v>
      </c>
      <c r="H1208">
        <v>1.2</v>
      </c>
      <c r="I1208">
        <v>0.9</v>
      </c>
      <c r="J1208">
        <v>0.60616596121595478</v>
      </c>
      <c r="K1208">
        <v>1500</v>
      </c>
      <c r="L1208">
        <v>0</v>
      </c>
      <c r="N1208">
        <v>29</v>
      </c>
      <c r="O1208" s="60" t="s">
        <v>1707</v>
      </c>
      <c r="P1208" t="s">
        <v>829</v>
      </c>
      <c r="Q1208" t="s">
        <v>1078</v>
      </c>
    </row>
    <row r="1209" spans="1:17" x14ac:dyDescent="0.25">
      <c r="A1209" t="s">
        <v>19</v>
      </c>
      <c r="B1209">
        <v>140</v>
      </c>
      <c r="C1209">
        <v>118.19999999999999</v>
      </c>
      <c r="D1209">
        <v>11.700000000000001</v>
      </c>
      <c r="E1209">
        <v>15</v>
      </c>
      <c r="F1209">
        <v>118.19999999999999</v>
      </c>
      <c r="G1209">
        <v>11.700000000000001</v>
      </c>
      <c r="H1209">
        <v>1.2</v>
      </c>
      <c r="I1209">
        <v>0.9</v>
      </c>
      <c r="J1209">
        <v>56.126477890366417</v>
      </c>
      <c r="K1209">
        <v>1500</v>
      </c>
      <c r="L1209">
        <v>0</v>
      </c>
      <c r="N1209">
        <v>29</v>
      </c>
      <c r="O1209" s="60" t="s">
        <v>1708</v>
      </c>
      <c r="P1209" t="s">
        <v>814</v>
      </c>
      <c r="Q1209" t="s">
        <v>2397</v>
      </c>
    </row>
    <row r="1210" spans="1:17" x14ac:dyDescent="0.25">
      <c r="A1210" t="s">
        <v>19</v>
      </c>
      <c r="B1210">
        <v>15</v>
      </c>
      <c r="C1210">
        <v>118.2</v>
      </c>
      <c r="D1210">
        <v>11.700000000000001</v>
      </c>
      <c r="E1210">
        <v>15</v>
      </c>
      <c r="F1210">
        <v>122.25</v>
      </c>
      <c r="G1210">
        <v>11.700000000000001</v>
      </c>
      <c r="H1210">
        <v>1.2</v>
      </c>
      <c r="I1210">
        <v>0.9</v>
      </c>
      <c r="J1210">
        <v>1.8184978836478705</v>
      </c>
      <c r="K1210">
        <v>1500</v>
      </c>
      <c r="L1210">
        <v>0</v>
      </c>
      <c r="N1210">
        <v>29</v>
      </c>
      <c r="O1210" s="60" t="s">
        <v>2280</v>
      </c>
      <c r="P1210" t="s">
        <v>827</v>
      </c>
      <c r="Q1210" t="s">
        <v>1955</v>
      </c>
    </row>
    <row r="1211" spans="1:17" x14ac:dyDescent="0.25">
      <c r="A1211" t="s">
        <v>19</v>
      </c>
      <c r="B1211">
        <v>15</v>
      </c>
      <c r="C1211">
        <v>122.25</v>
      </c>
      <c r="D1211">
        <v>11.700000000000001</v>
      </c>
      <c r="E1211">
        <v>140</v>
      </c>
      <c r="F1211">
        <v>122.25</v>
      </c>
      <c r="G1211">
        <v>11.700000000000001</v>
      </c>
      <c r="H1211">
        <v>1.2</v>
      </c>
      <c r="I1211">
        <v>0.9</v>
      </c>
      <c r="J1211">
        <v>56.126477890366417</v>
      </c>
      <c r="K1211">
        <v>1500</v>
      </c>
      <c r="L1211">
        <v>0</v>
      </c>
      <c r="N1211">
        <v>29</v>
      </c>
      <c r="O1211" s="60" t="s">
        <v>2281</v>
      </c>
      <c r="P1211" t="s">
        <v>828</v>
      </c>
      <c r="Q1211" t="s">
        <v>2396</v>
      </c>
    </row>
    <row r="1212" spans="1:17" x14ac:dyDescent="0.25">
      <c r="A1212" t="s">
        <v>19</v>
      </c>
      <c r="B1212">
        <v>140</v>
      </c>
      <c r="C1212">
        <v>122.25</v>
      </c>
      <c r="D1212">
        <v>11.700000000000001</v>
      </c>
      <c r="E1212">
        <v>140</v>
      </c>
      <c r="F1212">
        <v>123.6</v>
      </c>
      <c r="G1212">
        <v>11.700000000000001</v>
      </c>
      <c r="H1212">
        <v>1.2</v>
      </c>
      <c r="I1212">
        <v>0.9</v>
      </c>
      <c r="J1212">
        <v>0.60616596121595478</v>
      </c>
      <c r="K1212">
        <v>1500</v>
      </c>
      <c r="L1212">
        <v>0</v>
      </c>
      <c r="N1212">
        <v>29</v>
      </c>
      <c r="O1212" s="60" t="s">
        <v>2282</v>
      </c>
      <c r="P1212" t="s">
        <v>829</v>
      </c>
      <c r="Q1212" t="s">
        <v>1958</v>
      </c>
    </row>
    <row r="1213" spans="1:17" x14ac:dyDescent="0.25">
      <c r="A1213" t="s">
        <v>19</v>
      </c>
      <c r="B1213">
        <v>140</v>
      </c>
      <c r="C1213">
        <v>123.6</v>
      </c>
      <c r="D1213">
        <v>11.700000000000001</v>
      </c>
      <c r="E1213">
        <v>15</v>
      </c>
      <c r="F1213">
        <v>123.6</v>
      </c>
      <c r="G1213">
        <v>11.700000000000001</v>
      </c>
      <c r="H1213">
        <v>1.2</v>
      </c>
      <c r="I1213">
        <v>0.9</v>
      </c>
      <c r="J1213">
        <v>56.126477890366417</v>
      </c>
      <c r="K1213">
        <v>1500</v>
      </c>
      <c r="L1213">
        <v>0</v>
      </c>
      <c r="N1213">
        <v>29</v>
      </c>
      <c r="O1213" s="60" t="s">
        <v>2283</v>
      </c>
      <c r="P1213" t="s">
        <v>814</v>
      </c>
      <c r="Q1213" t="s">
        <v>2397</v>
      </c>
    </row>
    <row r="1214" spans="1:17" x14ac:dyDescent="0.25">
      <c r="A1214" t="s">
        <v>19</v>
      </c>
      <c r="B1214">
        <v>15</v>
      </c>
      <c r="C1214">
        <v>123.60000000000001</v>
      </c>
      <c r="D1214">
        <v>11.700000000000001</v>
      </c>
      <c r="E1214">
        <v>15</v>
      </c>
      <c r="F1214">
        <v>127.65</v>
      </c>
      <c r="G1214">
        <v>11.700000000000001</v>
      </c>
      <c r="H1214">
        <v>1.2</v>
      </c>
      <c r="I1214">
        <v>0.9</v>
      </c>
      <c r="J1214">
        <v>1.8184978836478705</v>
      </c>
      <c r="K1214">
        <v>1500</v>
      </c>
      <c r="L1214">
        <v>0</v>
      </c>
      <c r="N1214">
        <v>29</v>
      </c>
      <c r="O1214" s="60" t="s">
        <v>2284</v>
      </c>
      <c r="P1214" t="s">
        <v>827</v>
      </c>
      <c r="Q1214" t="s">
        <v>1961</v>
      </c>
    </row>
    <row r="1215" spans="1:17" x14ac:dyDescent="0.25">
      <c r="A1215" t="s">
        <v>19</v>
      </c>
      <c r="B1215">
        <v>15</v>
      </c>
      <c r="C1215">
        <v>127.65</v>
      </c>
      <c r="D1215">
        <v>11.700000000000001</v>
      </c>
      <c r="E1215">
        <v>140</v>
      </c>
      <c r="F1215">
        <v>127.65</v>
      </c>
      <c r="G1215">
        <v>11.700000000000001</v>
      </c>
      <c r="H1215">
        <v>1.2</v>
      </c>
      <c r="I1215">
        <v>0.9</v>
      </c>
      <c r="J1215">
        <v>56.126477890366417</v>
      </c>
      <c r="K1215">
        <v>1500</v>
      </c>
      <c r="L1215">
        <v>0</v>
      </c>
      <c r="N1215">
        <v>29</v>
      </c>
      <c r="O1215" s="60" t="s">
        <v>2285</v>
      </c>
      <c r="P1215" t="s">
        <v>828</v>
      </c>
      <c r="Q1215" t="s">
        <v>2396</v>
      </c>
    </row>
    <row r="1216" spans="1:17" x14ac:dyDescent="0.25">
      <c r="A1216" t="s">
        <v>19</v>
      </c>
      <c r="B1216">
        <v>140</v>
      </c>
      <c r="C1216">
        <v>127.65</v>
      </c>
      <c r="D1216">
        <v>11.700000000000001</v>
      </c>
      <c r="E1216">
        <v>140</v>
      </c>
      <c r="F1216">
        <v>129</v>
      </c>
      <c r="G1216">
        <v>11.700000000000001</v>
      </c>
      <c r="H1216">
        <v>1.2</v>
      </c>
      <c r="I1216">
        <v>0.9</v>
      </c>
      <c r="J1216">
        <v>0.60616596121595478</v>
      </c>
      <c r="K1216">
        <v>1500</v>
      </c>
      <c r="L1216">
        <v>0</v>
      </c>
      <c r="N1216">
        <v>29</v>
      </c>
      <c r="O1216" s="60" t="s">
        <v>2286</v>
      </c>
      <c r="P1216" t="s">
        <v>829</v>
      </c>
      <c r="Q1216" t="s">
        <v>1964</v>
      </c>
    </row>
    <row r="1217" spans="1:17" x14ac:dyDescent="0.25">
      <c r="A1217" t="s">
        <v>19</v>
      </c>
      <c r="B1217">
        <v>140</v>
      </c>
      <c r="C1217">
        <v>129</v>
      </c>
      <c r="D1217">
        <v>11.700000000000001</v>
      </c>
      <c r="E1217">
        <v>15</v>
      </c>
      <c r="F1217">
        <v>129</v>
      </c>
      <c r="G1217">
        <v>11.700000000000001</v>
      </c>
      <c r="H1217">
        <v>1.2</v>
      </c>
      <c r="I1217">
        <v>0.9</v>
      </c>
      <c r="J1217">
        <v>56.126477890366417</v>
      </c>
      <c r="K1217">
        <v>1500</v>
      </c>
      <c r="L1217">
        <v>0</v>
      </c>
      <c r="N1217">
        <v>29</v>
      </c>
      <c r="O1217" s="60" t="s">
        <v>2287</v>
      </c>
      <c r="P1217" t="s">
        <v>814</v>
      </c>
      <c r="Q1217" t="s">
        <v>2397</v>
      </c>
    </row>
    <row r="1218" spans="1:17" x14ac:dyDescent="0.25">
      <c r="A1218" t="s">
        <v>39</v>
      </c>
      <c r="B1218">
        <v>-1.25</v>
      </c>
      <c r="C1218">
        <v>2100</v>
      </c>
      <c r="N1218">
        <v>29</v>
      </c>
      <c r="O1218" s="60" t="s">
        <v>970</v>
      </c>
      <c r="P1218" t="s">
        <v>757</v>
      </c>
      <c r="Q1218" t="s">
        <v>845</v>
      </c>
    </row>
    <row r="1219" spans="1:17" x14ac:dyDescent="0.25">
      <c r="A1219" t="s">
        <v>660</v>
      </c>
      <c r="B1219">
        <v>0.9</v>
      </c>
      <c r="C1219">
        <v>10000</v>
      </c>
      <c r="N1219">
        <v>29</v>
      </c>
      <c r="O1219" s="60" t="s">
        <v>970</v>
      </c>
      <c r="P1219" t="s">
        <v>757</v>
      </c>
      <c r="Q1219" t="s">
        <v>840</v>
      </c>
    </row>
    <row r="1220" spans="1:17" x14ac:dyDescent="0.25">
      <c r="A1220" t="s">
        <v>23</v>
      </c>
      <c r="B1220">
        <v>15</v>
      </c>
      <c r="C1220">
        <v>129</v>
      </c>
      <c r="D1220">
        <v>11.700000000000001</v>
      </c>
      <c r="E1220">
        <v>15</v>
      </c>
      <c r="F1220">
        <v>75</v>
      </c>
      <c r="G1220">
        <v>12.6</v>
      </c>
      <c r="H1220">
        <v>0</v>
      </c>
      <c r="I1220">
        <v>0</v>
      </c>
      <c r="K1220">
        <v>48000</v>
      </c>
      <c r="N1220">
        <v>0</v>
      </c>
      <c r="O1220" s="60">
        <v>0</v>
      </c>
      <c r="P1220" t="s">
        <v>661</v>
      </c>
      <c r="Q1220" t="s">
        <v>2288</v>
      </c>
    </row>
    <row r="1221" spans="1:17" x14ac:dyDescent="0.25">
      <c r="A1221" t="s">
        <v>19</v>
      </c>
      <c r="B1221">
        <v>15</v>
      </c>
      <c r="C1221">
        <v>75</v>
      </c>
      <c r="D1221">
        <v>12.6</v>
      </c>
      <c r="E1221">
        <v>15</v>
      </c>
      <c r="F1221">
        <v>79.05</v>
      </c>
      <c r="G1221">
        <v>12.6</v>
      </c>
      <c r="H1221">
        <v>1.2</v>
      </c>
      <c r="I1221">
        <v>0.9</v>
      </c>
      <c r="J1221">
        <v>1.8184978836478705</v>
      </c>
      <c r="K1221">
        <v>1500</v>
      </c>
      <c r="L1221">
        <v>0</v>
      </c>
      <c r="N1221">
        <v>29</v>
      </c>
      <c r="O1221" s="60" t="s">
        <v>2289</v>
      </c>
      <c r="P1221" t="s">
        <v>1968</v>
      </c>
      <c r="Q1221" t="s">
        <v>879</v>
      </c>
    </row>
    <row r="1222" spans="1:17" x14ac:dyDescent="0.25">
      <c r="A1222" t="s">
        <v>19</v>
      </c>
      <c r="B1222">
        <v>15</v>
      </c>
      <c r="C1222">
        <v>79.05</v>
      </c>
      <c r="D1222">
        <v>12.6</v>
      </c>
      <c r="E1222">
        <v>140</v>
      </c>
      <c r="F1222">
        <v>79.05</v>
      </c>
      <c r="G1222">
        <v>12.6</v>
      </c>
      <c r="H1222">
        <v>1.2</v>
      </c>
      <c r="I1222">
        <v>0.9</v>
      </c>
      <c r="J1222">
        <v>56.126477890366417</v>
      </c>
      <c r="K1222">
        <v>1500</v>
      </c>
      <c r="L1222">
        <v>0</v>
      </c>
      <c r="N1222">
        <v>29</v>
      </c>
      <c r="O1222" s="60" t="s">
        <v>2290</v>
      </c>
      <c r="P1222" t="s">
        <v>1970</v>
      </c>
      <c r="Q1222" t="s">
        <v>2396</v>
      </c>
    </row>
    <row r="1223" spans="1:17" x14ac:dyDescent="0.25">
      <c r="A1223" t="s">
        <v>19</v>
      </c>
      <c r="B1223">
        <v>140</v>
      </c>
      <c r="C1223">
        <v>79.05</v>
      </c>
      <c r="D1223">
        <v>12.6</v>
      </c>
      <c r="E1223">
        <v>140</v>
      </c>
      <c r="F1223">
        <v>80.399999999999991</v>
      </c>
      <c r="G1223">
        <v>12.6</v>
      </c>
      <c r="H1223">
        <v>1.2</v>
      </c>
      <c r="I1223">
        <v>0.9</v>
      </c>
      <c r="J1223">
        <v>0.60616596121595478</v>
      </c>
      <c r="K1223">
        <v>1500</v>
      </c>
      <c r="L1223">
        <v>0</v>
      </c>
      <c r="N1223">
        <v>29</v>
      </c>
      <c r="O1223" s="60" t="s">
        <v>2291</v>
      </c>
      <c r="P1223" t="s">
        <v>1972</v>
      </c>
      <c r="Q1223" t="s">
        <v>880</v>
      </c>
    </row>
    <row r="1224" spans="1:17" x14ac:dyDescent="0.25">
      <c r="A1224" t="s">
        <v>19</v>
      </c>
      <c r="B1224">
        <v>140</v>
      </c>
      <c r="C1224">
        <v>80.399999999999991</v>
      </c>
      <c r="D1224">
        <v>12.6</v>
      </c>
      <c r="E1224">
        <v>15</v>
      </c>
      <c r="F1224">
        <v>80.399999999999991</v>
      </c>
      <c r="G1224">
        <v>12.6</v>
      </c>
      <c r="H1224">
        <v>1.2</v>
      </c>
      <c r="I1224">
        <v>0.9</v>
      </c>
      <c r="J1224">
        <v>56.126477890366417</v>
      </c>
      <c r="K1224">
        <v>1500</v>
      </c>
      <c r="L1224">
        <v>0</v>
      </c>
      <c r="N1224">
        <v>29</v>
      </c>
      <c r="O1224" s="60" t="s">
        <v>2292</v>
      </c>
      <c r="P1224" t="s">
        <v>1974</v>
      </c>
      <c r="Q1224" t="s">
        <v>2397</v>
      </c>
    </row>
    <row r="1225" spans="1:17" x14ac:dyDescent="0.25">
      <c r="A1225" t="s">
        <v>19</v>
      </c>
      <c r="B1225">
        <v>15</v>
      </c>
      <c r="C1225">
        <v>80.400000000000006</v>
      </c>
      <c r="D1225">
        <v>12.6</v>
      </c>
      <c r="E1225">
        <v>15</v>
      </c>
      <c r="F1225">
        <v>84.45</v>
      </c>
      <c r="G1225">
        <v>12.6</v>
      </c>
      <c r="H1225">
        <v>1.2</v>
      </c>
      <c r="I1225">
        <v>0.9</v>
      </c>
      <c r="J1225">
        <v>1.8184978836478705</v>
      </c>
      <c r="K1225">
        <v>1500</v>
      </c>
      <c r="L1225">
        <v>0</v>
      </c>
      <c r="N1225">
        <v>29</v>
      </c>
      <c r="O1225" s="60" t="s">
        <v>1709</v>
      </c>
      <c r="P1225" t="s">
        <v>823</v>
      </c>
      <c r="Q1225" t="s">
        <v>1065</v>
      </c>
    </row>
    <row r="1226" spans="1:17" x14ac:dyDescent="0.25">
      <c r="A1226" t="s">
        <v>19</v>
      </c>
      <c r="B1226">
        <v>15</v>
      </c>
      <c r="C1226">
        <v>84.45</v>
      </c>
      <c r="D1226">
        <v>12.6</v>
      </c>
      <c r="E1226">
        <v>140</v>
      </c>
      <c r="F1226">
        <v>84.45</v>
      </c>
      <c r="G1226">
        <v>12.6</v>
      </c>
      <c r="H1226">
        <v>1.2</v>
      </c>
      <c r="I1226">
        <v>0.9</v>
      </c>
      <c r="J1226">
        <v>56.126477890366417</v>
      </c>
      <c r="K1226">
        <v>1500</v>
      </c>
      <c r="L1226">
        <v>0</v>
      </c>
      <c r="N1226">
        <v>29</v>
      </c>
      <c r="O1226" s="60" t="s">
        <v>1710</v>
      </c>
      <c r="P1226" t="s">
        <v>750</v>
      </c>
      <c r="Q1226" t="s">
        <v>2396</v>
      </c>
    </row>
    <row r="1227" spans="1:17" x14ac:dyDescent="0.25">
      <c r="A1227" t="s">
        <v>19</v>
      </c>
      <c r="B1227">
        <v>140</v>
      </c>
      <c r="C1227">
        <v>84.45</v>
      </c>
      <c r="D1227">
        <v>12.6</v>
      </c>
      <c r="E1227">
        <v>140</v>
      </c>
      <c r="F1227">
        <v>85.8</v>
      </c>
      <c r="G1227">
        <v>12.6</v>
      </c>
      <c r="H1227">
        <v>1.2</v>
      </c>
      <c r="I1227">
        <v>0.9</v>
      </c>
      <c r="J1227">
        <v>0.60616596121595478</v>
      </c>
      <c r="K1227">
        <v>1500</v>
      </c>
      <c r="L1227">
        <v>0</v>
      </c>
      <c r="N1227">
        <v>29</v>
      </c>
      <c r="O1227" s="60" t="s">
        <v>1711</v>
      </c>
      <c r="P1227" t="s">
        <v>751</v>
      </c>
      <c r="Q1227" t="s">
        <v>1066</v>
      </c>
    </row>
    <row r="1228" spans="1:17" x14ac:dyDescent="0.25">
      <c r="A1228" t="s">
        <v>19</v>
      </c>
      <c r="B1228">
        <v>140</v>
      </c>
      <c r="C1228">
        <v>85.8</v>
      </c>
      <c r="D1228">
        <v>12.6</v>
      </c>
      <c r="E1228">
        <v>15</v>
      </c>
      <c r="F1228">
        <v>85.8</v>
      </c>
      <c r="G1228">
        <v>12.6</v>
      </c>
      <c r="H1228">
        <v>1.2</v>
      </c>
      <c r="I1228">
        <v>0.9</v>
      </c>
      <c r="J1228">
        <v>56.126477890366417</v>
      </c>
      <c r="K1228">
        <v>1500</v>
      </c>
      <c r="L1228">
        <v>0</v>
      </c>
      <c r="N1228">
        <v>29</v>
      </c>
      <c r="O1228" s="60" t="s">
        <v>971</v>
      </c>
      <c r="P1228" t="s">
        <v>752</v>
      </c>
      <c r="Q1228" t="s">
        <v>2397</v>
      </c>
    </row>
    <row r="1229" spans="1:17" x14ac:dyDescent="0.25">
      <c r="A1229" t="s">
        <v>19</v>
      </c>
      <c r="B1229">
        <v>15</v>
      </c>
      <c r="C1229">
        <v>85.8</v>
      </c>
      <c r="D1229">
        <v>12.6</v>
      </c>
      <c r="E1229">
        <v>15</v>
      </c>
      <c r="F1229">
        <v>89.85</v>
      </c>
      <c r="G1229">
        <v>12.6</v>
      </c>
      <c r="H1229">
        <v>1.2</v>
      </c>
      <c r="I1229">
        <v>0.9</v>
      </c>
      <c r="J1229">
        <v>1.8184978836478705</v>
      </c>
      <c r="K1229">
        <v>1500</v>
      </c>
      <c r="L1229">
        <v>0</v>
      </c>
      <c r="N1229">
        <v>29</v>
      </c>
      <c r="O1229" s="60" t="s">
        <v>1712</v>
      </c>
      <c r="P1229" t="s">
        <v>823</v>
      </c>
      <c r="Q1229" t="s">
        <v>1067</v>
      </c>
    </row>
    <row r="1230" spans="1:17" x14ac:dyDescent="0.25">
      <c r="A1230" t="s">
        <v>19</v>
      </c>
      <c r="B1230">
        <v>15</v>
      </c>
      <c r="C1230">
        <v>89.85</v>
      </c>
      <c r="D1230">
        <v>12.6</v>
      </c>
      <c r="E1230">
        <v>140</v>
      </c>
      <c r="F1230">
        <v>89.85</v>
      </c>
      <c r="G1230">
        <v>12.6</v>
      </c>
      <c r="H1230">
        <v>1.2</v>
      </c>
      <c r="I1230">
        <v>0.9</v>
      </c>
      <c r="J1230">
        <v>56.126477890366417</v>
      </c>
      <c r="K1230">
        <v>1500</v>
      </c>
      <c r="L1230">
        <v>0</v>
      </c>
      <c r="N1230">
        <v>29</v>
      </c>
      <c r="O1230" s="60" t="s">
        <v>1713</v>
      </c>
      <c r="P1230" t="s">
        <v>750</v>
      </c>
      <c r="Q1230" t="s">
        <v>2396</v>
      </c>
    </row>
    <row r="1231" spans="1:17" x14ac:dyDescent="0.25">
      <c r="A1231" t="s">
        <v>19</v>
      </c>
      <c r="B1231">
        <v>140</v>
      </c>
      <c r="C1231">
        <v>89.85</v>
      </c>
      <c r="D1231">
        <v>12.6</v>
      </c>
      <c r="E1231">
        <v>140</v>
      </c>
      <c r="F1231">
        <v>91.199999999999989</v>
      </c>
      <c r="G1231">
        <v>12.6</v>
      </c>
      <c r="H1231">
        <v>1.2</v>
      </c>
      <c r="I1231">
        <v>0.9</v>
      </c>
      <c r="J1231">
        <v>0.60616596121595478</v>
      </c>
      <c r="K1231">
        <v>1500</v>
      </c>
      <c r="L1231">
        <v>0</v>
      </c>
      <c r="N1231">
        <v>29</v>
      </c>
      <c r="O1231" s="60" t="s">
        <v>1714</v>
      </c>
      <c r="P1231" t="s">
        <v>751</v>
      </c>
      <c r="Q1231" t="s">
        <v>1068</v>
      </c>
    </row>
    <row r="1232" spans="1:17" x14ac:dyDescent="0.25">
      <c r="A1232" t="s">
        <v>19</v>
      </c>
      <c r="B1232">
        <v>140</v>
      </c>
      <c r="C1232">
        <v>91.199999999999989</v>
      </c>
      <c r="D1232">
        <v>12.6</v>
      </c>
      <c r="E1232">
        <v>15</v>
      </c>
      <c r="F1232">
        <v>91.199999999999989</v>
      </c>
      <c r="G1232">
        <v>12.6</v>
      </c>
      <c r="H1232">
        <v>1.2</v>
      </c>
      <c r="I1232">
        <v>0.9</v>
      </c>
      <c r="J1232">
        <v>56.126477890366417</v>
      </c>
      <c r="K1232">
        <v>1500</v>
      </c>
      <c r="L1232">
        <v>0</v>
      </c>
      <c r="N1232">
        <v>29</v>
      </c>
      <c r="O1232" s="60" t="s">
        <v>972</v>
      </c>
      <c r="P1232" t="s">
        <v>752</v>
      </c>
      <c r="Q1232" t="s">
        <v>2397</v>
      </c>
    </row>
    <row r="1233" spans="1:17" x14ac:dyDescent="0.25">
      <c r="A1233" t="s">
        <v>19</v>
      </c>
      <c r="B1233">
        <v>15</v>
      </c>
      <c r="C1233">
        <v>91.2</v>
      </c>
      <c r="D1233">
        <v>12.6</v>
      </c>
      <c r="E1233">
        <v>15</v>
      </c>
      <c r="F1233">
        <v>95.25</v>
      </c>
      <c r="G1233">
        <v>12.6</v>
      </c>
      <c r="H1233">
        <v>1.2</v>
      </c>
      <c r="I1233">
        <v>0.9</v>
      </c>
      <c r="J1233">
        <v>1.8184978836478705</v>
      </c>
      <c r="K1233">
        <v>1500</v>
      </c>
      <c r="L1233">
        <v>0</v>
      </c>
      <c r="N1233">
        <v>29</v>
      </c>
      <c r="O1233" s="60" t="s">
        <v>1715</v>
      </c>
      <c r="P1233" t="s">
        <v>823</v>
      </c>
      <c r="Q1233" t="s">
        <v>1069</v>
      </c>
    </row>
    <row r="1234" spans="1:17" x14ac:dyDescent="0.25">
      <c r="A1234" t="s">
        <v>19</v>
      </c>
      <c r="B1234">
        <v>15</v>
      </c>
      <c r="C1234">
        <v>95.25</v>
      </c>
      <c r="D1234">
        <v>12.6</v>
      </c>
      <c r="E1234">
        <v>140</v>
      </c>
      <c r="F1234">
        <v>95.25</v>
      </c>
      <c r="G1234">
        <v>12.6</v>
      </c>
      <c r="H1234">
        <v>1.2</v>
      </c>
      <c r="I1234">
        <v>0.9</v>
      </c>
      <c r="J1234">
        <v>56.126477890366417</v>
      </c>
      <c r="K1234">
        <v>1500</v>
      </c>
      <c r="L1234">
        <v>0</v>
      </c>
      <c r="N1234">
        <v>29</v>
      </c>
      <c r="O1234" s="60" t="s">
        <v>1716</v>
      </c>
      <c r="P1234" t="s">
        <v>750</v>
      </c>
      <c r="Q1234" t="s">
        <v>2396</v>
      </c>
    </row>
    <row r="1235" spans="1:17" x14ac:dyDescent="0.25">
      <c r="A1235" t="s">
        <v>19</v>
      </c>
      <c r="B1235">
        <v>140</v>
      </c>
      <c r="C1235">
        <v>95.25</v>
      </c>
      <c r="D1235">
        <v>12.6</v>
      </c>
      <c r="E1235">
        <v>140</v>
      </c>
      <c r="F1235">
        <v>96.6</v>
      </c>
      <c r="G1235">
        <v>12.6</v>
      </c>
      <c r="H1235">
        <v>1.2</v>
      </c>
      <c r="I1235">
        <v>0.9</v>
      </c>
      <c r="J1235">
        <v>0.60616596121595478</v>
      </c>
      <c r="K1235">
        <v>1500</v>
      </c>
      <c r="L1235">
        <v>0</v>
      </c>
      <c r="N1235">
        <v>29</v>
      </c>
      <c r="O1235" s="60" t="s">
        <v>1717</v>
      </c>
      <c r="P1235" t="s">
        <v>751</v>
      </c>
      <c r="Q1235" t="s">
        <v>1070</v>
      </c>
    </row>
    <row r="1236" spans="1:17" x14ac:dyDescent="0.25">
      <c r="A1236" t="s">
        <v>19</v>
      </c>
      <c r="B1236">
        <v>140</v>
      </c>
      <c r="C1236">
        <v>96.6</v>
      </c>
      <c r="D1236">
        <v>12.6</v>
      </c>
      <c r="E1236">
        <v>15</v>
      </c>
      <c r="F1236">
        <v>96.6</v>
      </c>
      <c r="G1236">
        <v>12.6</v>
      </c>
      <c r="H1236">
        <v>1.2</v>
      </c>
      <c r="I1236">
        <v>0.9</v>
      </c>
      <c r="J1236">
        <v>56.126477890366417</v>
      </c>
      <c r="K1236">
        <v>1500</v>
      </c>
      <c r="L1236">
        <v>0</v>
      </c>
      <c r="N1236">
        <v>29</v>
      </c>
      <c r="O1236" s="60" t="s">
        <v>973</v>
      </c>
      <c r="P1236" t="s">
        <v>752</v>
      </c>
      <c r="Q1236" t="s">
        <v>2397</v>
      </c>
    </row>
    <row r="1237" spans="1:17" x14ac:dyDescent="0.25">
      <c r="A1237" t="s">
        <v>19</v>
      </c>
      <c r="B1237">
        <v>15</v>
      </c>
      <c r="C1237">
        <v>96.6</v>
      </c>
      <c r="D1237">
        <v>12.6</v>
      </c>
      <c r="E1237">
        <v>15</v>
      </c>
      <c r="F1237">
        <v>100.65</v>
      </c>
      <c r="G1237">
        <v>12.6</v>
      </c>
      <c r="H1237">
        <v>1.2</v>
      </c>
      <c r="I1237">
        <v>0.9</v>
      </c>
      <c r="J1237">
        <v>1.8184978836478705</v>
      </c>
      <c r="K1237">
        <v>1500</v>
      </c>
      <c r="L1237">
        <v>0</v>
      </c>
      <c r="N1237">
        <v>29</v>
      </c>
      <c r="O1237" s="60" t="s">
        <v>1718</v>
      </c>
      <c r="P1237" t="s">
        <v>823</v>
      </c>
      <c r="Q1237" t="s">
        <v>1071</v>
      </c>
    </row>
    <row r="1238" spans="1:17" x14ac:dyDescent="0.25">
      <c r="A1238" t="s">
        <v>19</v>
      </c>
      <c r="B1238">
        <v>15</v>
      </c>
      <c r="C1238">
        <v>100.65</v>
      </c>
      <c r="D1238">
        <v>12.6</v>
      </c>
      <c r="E1238">
        <v>140</v>
      </c>
      <c r="F1238">
        <v>100.65</v>
      </c>
      <c r="G1238">
        <v>12.6</v>
      </c>
      <c r="H1238">
        <v>1.2</v>
      </c>
      <c r="I1238">
        <v>0.9</v>
      </c>
      <c r="J1238">
        <v>56.126477890366417</v>
      </c>
      <c r="K1238">
        <v>1500</v>
      </c>
      <c r="L1238">
        <v>0</v>
      </c>
      <c r="N1238">
        <v>29</v>
      </c>
      <c r="O1238" s="60" t="s">
        <v>1719</v>
      </c>
      <c r="P1238" t="s">
        <v>750</v>
      </c>
      <c r="Q1238" t="s">
        <v>2396</v>
      </c>
    </row>
    <row r="1239" spans="1:17" x14ac:dyDescent="0.25">
      <c r="A1239" t="s">
        <v>19</v>
      </c>
      <c r="B1239">
        <v>140</v>
      </c>
      <c r="C1239">
        <v>100.65</v>
      </c>
      <c r="D1239">
        <v>12.6</v>
      </c>
      <c r="E1239">
        <v>140</v>
      </c>
      <c r="F1239">
        <v>102</v>
      </c>
      <c r="G1239">
        <v>12.6</v>
      </c>
      <c r="H1239">
        <v>1.2</v>
      </c>
      <c r="I1239">
        <v>0.9</v>
      </c>
      <c r="J1239">
        <v>0.60616596121595478</v>
      </c>
      <c r="K1239">
        <v>1500</v>
      </c>
      <c r="L1239">
        <v>0</v>
      </c>
      <c r="N1239">
        <v>29</v>
      </c>
      <c r="O1239" s="60" t="s">
        <v>1720</v>
      </c>
      <c r="P1239" t="s">
        <v>751</v>
      </c>
      <c r="Q1239" t="s">
        <v>1072</v>
      </c>
    </row>
    <row r="1240" spans="1:17" x14ac:dyDescent="0.25">
      <c r="A1240" t="s">
        <v>19</v>
      </c>
      <c r="B1240">
        <v>140</v>
      </c>
      <c r="C1240">
        <v>102</v>
      </c>
      <c r="D1240">
        <v>12.6</v>
      </c>
      <c r="E1240">
        <v>15</v>
      </c>
      <c r="F1240">
        <v>102</v>
      </c>
      <c r="G1240">
        <v>12.6</v>
      </c>
      <c r="H1240">
        <v>1.2</v>
      </c>
      <c r="I1240">
        <v>0.9</v>
      </c>
      <c r="J1240">
        <v>56.126477890366417</v>
      </c>
      <c r="K1240">
        <v>1500</v>
      </c>
      <c r="L1240">
        <v>0</v>
      </c>
      <c r="N1240">
        <v>29</v>
      </c>
      <c r="O1240" s="60" t="s">
        <v>974</v>
      </c>
      <c r="P1240" t="s">
        <v>752</v>
      </c>
      <c r="Q1240" t="s">
        <v>2397</v>
      </c>
    </row>
    <row r="1241" spans="1:17" x14ac:dyDescent="0.25">
      <c r="A1241" t="s">
        <v>19</v>
      </c>
      <c r="B1241">
        <v>15</v>
      </c>
      <c r="C1241">
        <v>102</v>
      </c>
      <c r="D1241">
        <v>12.6</v>
      </c>
      <c r="E1241">
        <v>15</v>
      </c>
      <c r="F1241">
        <v>106.05</v>
      </c>
      <c r="G1241">
        <v>12.6</v>
      </c>
      <c r="H1241">
        <v>1.2</v>
      </c>
      <c r="I1241">
        <v>0.9</v>
      </c>
      <c r="J1241">
        <v>1.8184978836478705</v>
      </c>
      <c r="K1241">
        <v>1500</v>
      </c>
      <c r="L1241">
        <v>0</v>
      </c>
      <c r="N1241">
        <v>29</v>
      </c>
      <c r="O1241" s="60" t="s">
        <v>1721</v>
      </c>
      <c r="P1241" t="s">
        <v>823</v>
      </c>
      <c r="Q1241" t="s">
        <v>1073</v>
      </c>
    </row>
    <row r="1242" spans="1:17" x14ac:dyDescent="0.25">
      <c r="A1242" t="s">
        <v>19</v>
      </c>
      <c r="B1242">
        <v>15</v>
      </c>
      <c r="C1242">
        <v>106.05</v>
      </c>
      <c r="D1242">
        <v>12.6</v>
      </c>
      <c r="E1242">
        <v>140</v>
      </c>
      <c r="F1242">
        <v>106.05</v>
      </c>
      <c r="G1242">
        <v>12.6</v>
      </c>
      <c r="H1242">
        <v>1.2</v>
      </c>
      <c r="I1242">
        <v>0.9</v>
      </c>
      <c r="J1242">
        <v>56.126477890366417</v>
      </c>
      <c r="K1242">
        <v>1500</v>
      </c>
      <c r="L1242">
        <v>0</v>
      </c>
      <c r="N1242">
        <v>29</v>
      </c>
      <c r="O1242" s="60" t="s">
        <v>1722</v>
      </c>
      <c r="P1242" t="s">
        <v>750</v>
      </c>
      <c r="Q1242" t="s">
        <v>2396</v>
      </c>
    </row>
    <row r="1243" spans="1:17" x14ac:dyDescent="0.25">
      <c r="A1243" t="s">
        <v>19</v>
      </c>
      <c r="B1243">
        <v>140</v>
      </c>
      <c r="C1243">
        <v>106.05</v>
      </c>
      <c r="D1243">
        <v>12.6</v>
      </c>
      <c r="E1243">
        <v>140</v>
      </c>
      <c r="F1243">
        <v>107.39999999999999</v>
      </c>
      <c r="G1243">
        <v>12.6</v>
      </c>
      <c r="H1243">
        <v>1.2</v>
      </c>
      <c r="I1243">
        <v>0.9</v>
      </c>
      <c r="J1243">
        <v>0.60616596121595478</v>
      </c>
      <c r="K1243">
        <v>1500</v>
      </c>
      <c r="L1243">
        <v>0</v>
      </c>
      <c r="N1243">
        <v>29</v>
      </c>
      <c r="O1243" s="60" t="s">
        <v>1723</v>
      </c>
      <c r="P1243" t="s">
        <v>751</v>
      </c>
      <c r="Q1243" t="s">
        <v>1074</v>
      </c>
    </row>
    <row r="1244" spans="1:17" x14ac:dyDescent="0.25">
      <c r="A1244" t="s">
        <v>19</v>
      </c>
      <c r="B1244">
        <v>140</v>
      </c>
      <c r="C1244">
        <v>107.39999999999999</v>
      </c>
      <c r="D1244">
        <v>12.6</v>
      </c>
      <c r="E1244">
        <v>15</v>
      </c>
      <c r="F1244">
        <v>107.39999999999999</v>
      </c>
      <c r="G1244">
        <v>12.6</v>
      </c>
      <c r="H1244">
        <v>1.2</v>
      </c>
      <c r="I1244">
        <v>0.9</v>
      </c>
      <c r="J1244">
        <v>56.126477890366417</v>
      </c>
      <c r="K1244">
        <v>1500</v>
      </c>
      <c r="L1244">
        <v>0</v>
      </c>
      <c r="N1244">
        <v>29</v>
      </c>
      <c r="O1244" s="60" t="s">
        <v>975</v>
      </c>
      <c r="P1244" t="s">
        <v>752</v>
      </c>
      <c r="Q1244" t="s">
        <v>2397</v>
      </c>
    </row>
    <row r="1245" spans="1:17" x14ac:dyDescent="0.25">
      <c r="A1245" t="s">
        <v>19</v>
      </c>
      <c r="B1245">
        <v>15</v>
      </c>
      <c r="C1245">
        <v>107.4</v>
      </c>
      <c r="D1245">
        <v>12.6</v>
      </c>
      <c r="E1245">
        <v>15</v>
      </c>
      <c r="F1245">
        <v>111.45</v>
      </c>
      <c r="G1245">
        <v>12.6</v>
      </c>
      <c r="H1245">
        <v>1.2</v>
      </c>
      <c r="I1245">
        <v>0.9</v>
      </c>
      <c r="J1245">
        <v>1.8184978836478705</v>
      </c>
      <c r="K1245">
        <v>1500</v>
      </c>
      <c r="L1245">
        <v>0</v>
      </c>
      <c r="N1245">
        <v>29</v>
      </c>
      <c r="O1245" s="60" t="s">
        <v>1724</v>
      </c>
      <c r="P1245" t="s">
        <v>823</v>
      </c>
      <c r="Q1245" t="s">
        <v>1075</v>
      </c>
    </row>
    <row r="1246" spans="1:17" x14ac:dyDescent="0.25">
      <c r="A1246" t="s">
        <v>19</v>
      </c>
      <c r="B1246">
        <v>15</v>
      </c>
      <c r="C1246">
        <v>111.45</v>
      </c>
      <c r="D1246">
        <v>12.6</v>
      </c>
      <c r="E1246">
        <v>140</v>
      </c>
      <c r="F1246">
        <v>111.45</v>
      </c>
      <c r="G1246">
        <v>12.6</v>
      </c>
      <c r="H1246">
        <v>1.2</v>
      </c>
      <c r="I1246">
        <v>0.9</v>
      </c>
      <c r="J1246">
        <v>56.126477890366417</v>
      </c>
      <c r="K1246">
        <v>1500</v>
      </c>
      <c r="L1246">
        <v>0</v>
      </c>
      <c r="N1246">
        <v>29</v>
      </c>
      <c r="O1246" s="60" t="s">
        <v>1725</v>
      </c>
      <c r="P1246" t="s">
        <v>750</v>
      </c>
      <c r="Q1246" t="s">
        <v>2396</v>
      </c>
    </row>
    <row r="1247" spans="1:17" x14ac:dyDescent="0.25">
      <c r="A1247" t="s">
        <v>19</v>
      </c>
      <c r="B1247">
        <v>140</v>
      </c>
      <c r="C1247">
        <v>111.45</v>
      </c>
      <c r="D1247">
        <v>12.6</v>
      </c>
      <c r="E1247">
        <v>140</v>
      </c>
      <c r="F1247">
        <v>112.8</v>
      </c>
      <c r="G1247">
        <v>12.6</v>
      </c>
      <c r="H1247">
        <v>1.2</v>
      </c>
      <c r="I1247">
        <v>0.9</v>
      </c>
      <c r="J1247">
        <v>0.60616596121595478</v>
      </c>
      <c r="K1247">
        <v>1500</v>
      </c>
      <c r="L1247">
        <v>0</v>
      </c>
      <c r="N1247">
        <v>29</v>
      </c>
      <c r="O1247" s="60" t="s">
        <v>1726</v>
      </c>
      <c r="P1247" t="s">
        <v>751</v>
      </c>
      <c r="Q1247" t="s">
        <v>1076</v>
      </c>
    </row>
    <row r="1248" spans="1:17" x14ac:dyDescent="0.25">
      <c r="A1248" t="s">
        <v>19</v>
      </c>
      <c r="B1248">
        <v>140</v>
      </c>
      <c r="C1248">
        <v>112.8</v>
      </c>
      <c r="D1248">
        <v>12.6</v>
      </c>
      <c r="E1248">
        <v>15</v>
      </c>
      <c r="F1248">
        <v>112.8</v>
      </c>
      <c r="G1248">
        <v>12.6</v>
      </c>
      <c r="H1248">
        <v>1.2</v>
      </c>
      <c r="I1248">
        <v>0.9</v>
      </c>
      <c r="J1248">
        <v>56.126477890366417</v>
      </c>
      <c r="K1248">
        <v>1500</v>
      </c>
      <c r="L1248">
        <v>0</v>
      </c>
      <c r="N1248">
        <v>29</v>
      </c>
      <c r="O1248" s="60" t="s">
        <v>976</v>
      </c>
      <c r="P1248" t="s">
        <v>752</v>
      </c>
      <c r="Q1248" t="s">
        <v>2397</v>
      </c>
    </row>
    <row r="1249" spans="1:17" x14ac:dyDescent="0.25">
      <c r="A1249" t="s">
        <v>19</v>
      </c>
      <c r="B1249">
        <v>15</v>
      </c>
      <c r="C1249">
        <v>112.8</v>
      </c>
      <c r="D1249">
        <v>12.6</v>
      </c>
      <c r="E1249">
        <v>15</v>
      </c>
      <c r="F1249">
        <v>116.85</v>
      </c>
      <c r="G1249">
        <v>12.6</v>
      </c>
      <c r="H1249">
        <v>1.2</v>
      </c>
      <c r="I1249">
        <v>0.9</v>
      </c>
      <c r="J1249">
        <v>1.8184978836478705</v>
      </c>
      <c r="K1249">
        <v>1500</v>
      </c>
      <c r="L1249">
        <v>0</v>
      </c>
      <c r="N1249">
        <v>29</v>
      </c>
      <c r="O1249" s="60" t="s">
        <v>1727</v>
      </c>
      <c r="P1249" t="s">
        <v>823</v>
      </c>
      <c r="Q1249" t="s">
        <v>1077</v>
      </c>
    </row>
    <row r="1250" spans="1:17" x14ac:dyDescent="0.25">
      <c r="A1250" t="s">
        <v>19</v>
      </c>
      <c r="B1250">
        <v>15</v>
      </c>
      <c r="C1250">
        <v>116.85</v>
      </c>
      <c r="D1250">
        <v>12.6</v>
      </c>
      <c r="E1250">
        <v>140</v>
      </c>
      <c r="F1250">
        <v>116.85</v>
      </c>
      <c r="G1250">
        <v>12.6</v>
      </c>
      <c r="H1250">
        <v>1.2</v>
      </c>
      <c r="I1250">
        <v>0.9</v>
      </c>
      <c r="J1250">
        <v>56.126477890366417</v>
      </c>
      <c r="K1250">
        <v>1500</v>
      </c>
      <c r="L1250">
        <v>0</v>
      </c>
      <c r="N1250">
        <v>29</v>
      </c>
      <c r="O1250" s="60" t="s">
        <v>1728</v>
      </c>
      <c r="P1250" t="s">
        <v>750</v>
      </c>
      <c r="Q1250" t="s">
        <v>2396</v>
      </c>
    </row>
    <row r="1251" spans="1:17" x14ac:dyDescent="0.25">
      <c r="A1251" t="s">
        <v>19</v>
      </c>
      <c r="B1251">
        <v>140</v>
      </c>
      <c r="C1251">
        <v>116.85</v>
      </c>
      <c r="D1251">
        <v>12.6</v>
      </c>
      <c r="E1251">
        <v>140</v>
      </c>
      <c r="F1251">
        <v>118.19999999999999</v>
      </c>
      <c r="G1251">
        <v>12.6</v>
      </c>
      <c r="H1251">
        <v>1.2</v>
      </c>
      <c r="I1251">
        <v>0.9</v>
      </c>
      <c r="J1251">
        <v>0.60616596121595478</v>
      </c>
      <c r="K1251">
        <v>1500</v>
      </c>
      <c r="L1251">
        <v>0</v>
      </c>
      <c r="N1251">
        <v>29</v>
      </c>
      <c r="O1251" s="60" t="s">
        <v>1729</v>
      </c>
      <c r="P1251" t="s">
        <v>751</v>
      </c>
      <c r="Q1251" t="s">
        <v>1078</v>
      </c>
    </row>
    <row r="1252" spans="1:17" x14ac:dyDescent="0.25">
      <c r="A1252" t="s">
        <v>19</v>
      </c>
      <c r="B1252">
        <v>140</v>
      </c>
      <c r="C1252">
        <v>118.19999999999999</v>
      </c>
      <c r="D1252">
        <v>12.6</v>
      </c>
      <c r="E1252">
        <v>15</v>
      </c>
      <c r="F1252">
        <v>118.19999999999999</v>
      </c>
      <c r="G1252">
        <v>12.6</v>
      </c>
      <c r="H1252">
        <v>1.2</v>
      </c>
      <c r="I1252">
        <v>0.9</v>
      </c>
      <c r="J1252">
        <v>56.126477890366417</v>
      </c>
      <c r="K1252">
        <v>1500</v>
      </c>
      <c r="L1252">
        <v>0</v>
      </c>
      <c r="N1252">
        <v>29</v>
      </c>
      <c r="O1252" s="60" t="s">
        <v>977</v>
      </c>
      <c r="P1252" t="s">
        <v>752</v>
      </c>
      <c r="Q1252" t="s">
        <v>2397</v>
      </c>
    </row>
    <row r="1253" spans="1:17" x14ac:dyDescent="0.25">
      <c r="A1253" t="s">
        <v>19</v>
      </c>
      <c r="B1253">
        <v>15</v>
      </c>
      <c r="C1253">
        <v>118.2</v>
      </c>
      <c r="D1253">
        <v>12.6</v>
      </c>
      <c r="E1253">
        <v>15</v>
      </c>
      <c r="F1253">
        <v>122.25</v>
      </c>
      <c r="G1253">
        <v>12.6</v>
      </c>
      <c r="H1253">
        <v>1.2</v>
      </c>
      <c r="I1253">
        <v>0.9</v>
      </c>
      <c r="J1253">
        <v>1.8184978836478705</v>
      </c>
      <c r="K1253">
        <v>1500</v>
      </c>
      <c r="L1253">
        <v>0</v>
      </c>
      <c r="N1253">
        <v>29</v>
      </c>
      <c r="O1253" s="60" t="s">
        <v>2293</v>
      </c>
      <c r="P1253" t="s">
        <v>823</v>
      </c>
      <c r="Q1253" t="s">
        <v>1955</v>
      </c>
    </row>
    <row r="1254" spans="1:17" x14ac:dyDescent="0.25">
      <c r="A1254" t="s">
        <v>19</v>
      </c>
      <c r="B1254">
        <v>15</v>
      </c>
      <c r="C1254">
        <v>122.25</v>
      </c>
      <c r="D1254">
        <v>12.6</v>
      </c>
      <c r="E1254">
        <v>140</v>
      </c>
      <c r="F1254">
        <v>122.25</v>
      </c>
      <c r="G1254">
        <v>12.6</v>
      </c>
      <c r="H1254">
        <v>1.2</v>
      </c>
      <c r="I1254">
        <v>0.9</v>
      </c>
      <c r="J1254">
        <v>56.126477890366417</v>
      </c>
      <c r="K1254">
        <v>1500</v>
      </c>
      <c r="L1254">
        <v>0</v>
      </c>
      <c r="N1254">
        <v>29</v>
      </c>
      <c r="O1254" s="60" t="s">
        <v>2294</v>
      </c>
      <c r="P1254" t="s">
        <v>750</v>
      </c>
      <c r="Q1254" t="s">
        <v>2396</v>
      </c>
    </row>
    <row r="1255" spans="1:17" x14ac:dyDescent="0.25">
      <c r="A1255" t="s">
        <v>19</v>
      </c>
      <c r="B1255">
        <v>140</v>
      </c>
      <c r="C1255">
        <v>122.25</v>
      </c>
      <c r="D1255">
        <v>12.6</v>
      </c>
      <c r="E1255">
        <v>140</v>
      </c>
      <c r="F1255">
        <v>123.6</v>
      </c>
      <c r="G1255">
        <v>12.6</v>
      </c>
      <c r="H1255">
        <v>1.2</v>
      </c>
      <c r="I1255">
        <v>0.9</v>
      </c>
      <c r="J1255">
        <v>0.60616596121595478</v>
      </c>
      <c r="K1255">
        <v>1500</v>
      </c>
      <c r="L1255">
        <v>0</v>
      </c>
      <c r="N1255">
        <v>29</v>
      </c>
      <c r="O1255" s="60" t="s">
        <v>2295</v>
      </c>
      <c r="P1255" t="s">
        <v>751</v>
      </c>
      <c r="Q1255" t="s">
        <v>1958</v>
      </c>
    </row>
    <row r="1256" spans="1:17" x14ac:dyDescent="0.25">
      <c r="A1256" t="s">
        <v>19</v>
      </c>
      <c r="B1256">
        <v>140</v>
      </c>
      <c r="C1256">
        <v>123.6</v>
      </c>
      <c r="D1256">
        <v>12.6</v>
      </c>
      <c r="E1256">
        <v>15</v>
      </c>
      <c r="F1256">
        <v>123.6</v>
      </c>
      <c r="G1256">
        <v>12.6</v>
      </c>
      <c r="H1256">
        <v>1.2</v>
      </c>
      <c r="I1256">
        <v>0.9</v>
      </c>
      <c r="J1256">
        <v>56.126477890366417</v>
      </c>
      <c r="K1256">
        <v>1500</v>
      </c>
      <c r="L1256">
        <v>0</v>
      </c>
      <c r="N1256">
        <v>29</v>
      </c>
      <c r="O1256" s="60" t="s">
        <v>2296</v>
      </c>
      <c r="P1256" t="s">
        <v>752</v>
      </c>
      <c r="Q1256" t="s">
        <v>2397</v>
      </c>
    </row>
    <row r="1257" spans="1:17" x14ac:dyDescent="0.25">
      <c r="A1257" t="s">
        <v>19</v>
      </c>
      <c r="B1257">
        <v>15</v>
      </c>
      <c r="C1257">
        <v>123.60000000000001</v>
      </c>
      <c r="D1257">
        <v>12.6</v>
      </c>
      <c r="E1257">
        <v>15</v>
      </c>
      <c r="F1257">
        <v>127.65</v>
      </c>
      <c r="G1257">
        <v>12.6</v>
      </c>
      <c r="H1257">
        <v>1.2</v>
      </c>
      <c r="I1257">
        <v>0.9</v>
      </c>
      <c r="J1257">
        <v>1.8184978836478705</v>
      </c>
      <c r="K1257">
        <v>1500</v>
      </c>
      <c r="L1257">
        <v>0</v>
      </c>
      <c r="N1257">
        <v>29</v>
      </c>
      <c r="O1257" s="60" t="s">
        <v>2297</v>
      </c>
      <c r="P1257" t="s">
        <v>823</v>
      </c>
      <c r="Q1257" t="s">
        <v>1961</v>
      </c>
    </row>
    <row r="1258" spans="1:17" x14ac:dyDescent="0.25">
      <c r="A1258" t="s">
        <v>19</v>
      </c>
      <c r="B1258">
        <v>15</v>
      </c>
      <c r="C1258">
        <v>127.65</v>
      </c>
      <c r="D1258">
        <v>12.6</v>
      </c>
      <c r="E1258">
        <v>140</v>
      </c>
      <c r="F1258">
        <v>127.65</v>
      </c>
      <c r="G1258">
        <v>12.6</v>
      </c>
      <c r="H1258">
        <v>1.2</v>
      </c>
      <c r="I1258">
        <v>0.9</v>
      </c>
      <c r="J1258">
        <v>56.126477890366417</v>
      </c>
      <c r="K1258">
        <v>1500</v>
      </c>
      <c r="L1258">
        <v>0</v>
      </c>
      <c r="N1258">
        <v>29</v>
      </c>
      <c r="O1258" s="60" t="s">
        <v>2298</v>
      </c>
      <c r="P1258" t="s">
        <v>750</v>
      </c>
      <c r="Q1258" t="s">
        <v>2396</v>
      </c>
    </row>
    <row r="1259" spans="1:17" x14ac:dyDescent="0.25">
      <c r="A1259" t="s">
        <v>19</v>
      </c>
      <c r="B1259">
        <v>140</v>
      </c>
      <c r="C1259">
        <v>127.65</v>
      </c>
      <c r="D1259">
        <v>12.6</v>
      </c>
      <c r="E1259">
        <v>140</v>
      </c>
      <c r="F1259">
        <v>129</v>
      </c>
      <c r="G1259">
        <v>12.6</v>
      </c>
      <c r="H1259">
        <v>1.2</v>
      </c>
      <c r="I1259">
        <v>0.9</v>
      </c>
      <c r="J1259">
        <v>0.60616596121595478</v>
      </c>
      <c r="K1259">
        <v>1500</v>
      </c>
      <c r="L1259">
        <v>0</v>
      </c>
      <c r="N1259">
        <v>29</v>
      </c>
      <c r="O1259" s="60" t="s">
        <v>2299</v>
      </c>
      <c r="P1259" t="s">
        <v>751</v>
      </c>
      <c r="Q1259" t="s">
        <v>1964</v>
      </c>
    </row>
    <row r="1260" spans="1:17" x14ac:dyDescent="0.25">
      <c r="A1260" t="s">
        <v>19</v>
      </c>
      <c r="B1260">
        <v>140</v>
      </c>
      <c r="C1260">
        <v>129</v>
      </c>
      <c r="D1260">
        <v>12.6</v>
      </c>
      <c r="E1260">
        <v>15</v>
      </c>
      <c r="F1260">
        <v>129</v>
      </c>
      <c r="G1260">
        <v>12.6</v>
      </c>
      <c r="H1260">
        <v>1.2</v>
      </c>
      <c r="I1260">
        <v>0.9</v>
      </c>
      <c r="J1260">
        <v>56.126477890366417</v>
      </c>
      <c r="K1260">
        <v>1500</v>
      </c>
      <c r="L1260">
        <v>0</v>
      </c>
      <c r="N1260">
        <v>29</v>
      </c>
      <c r="O1260" s="60" t="s">
        <v>2300</v>
      </c>
      <c r="P1260" t="s">
        <v>752</v>
      </c>
      <c r="Q1260" t="s">
        <v>2397</v>
      </c>
    </row>
    <row r="1261" spans="1:17" x14ac:dyDescent="0.25">
      <c r="A1261" t="s">
        <v>49</v>
      </c>
      <c r="B1261" t="s">
        <v>811</v>
      </c>
      <c r="N1261">
        <v>29</v>
      </c>
      <c r="O1261" s="60" t="s">
        <v>978</v>
      </c>
      <c r="P1261" t="s">
        <v>749</v>
      </c>
      <c r="Q1261" t="s">
        <v>811</v>
      </c>
    </row>
    <row r="1262" spans="1:17" x14ac:dyDescent="0.25">
      <c r="A1262" t="s">
        <v>49</v>
      </c>
      <c r="B1262" t="s">
        <v>203</v>
      </c>
      <c r="C1262">
        <v>1</v>
      </c>
      <c r="N1262">
        <v>29</v>
      </c>
      <c r="O1262" s="60" t="s">
        <v>979</v>
      </c>
      <c r="P1262" t="s">
        <v>754</v>
      </c>
      <c r="Q1262" t="s">
        <v>468</v>
      </c>
    </row>
    <row r="1263" spans="1:17" x14ac:dyDescent="0.25">
      <c r="A1263" t="s">
        <v>49</v>
      </c>
      <c r="B1263" t="s">
        <v>634</v>
      </c>
      <c r="N1263">
        <v>29</v>
      </c>
      <c r="O1263" s="60" t="s">
        <v>980</v>
      </c>
      <c r="P1263" t="s">
        <v>758</v>
      </c>
      <c r="Q1263" t="s">
        <v>634</v>
      </c>
    </row>
    <row r="1264" spans="1:17" x14ac:dyDescent="0.25">
      <c r="A1264" t="s">
        <v>23</v>
      </c>
      <c r="B1264">
        <v>15</v>
      </c>
      <c r="C1264">
        <v>129</v>
      </c>
      <c r="D1264">
        <v>12.6</v>
      </c>
      <c r="E1264">
        <v>141.35</v>
      </c>
      <c r="F1264">
        <v>76.349999999999994</v>
      </c>
      <c r="G1264">
        <v>12.600100000000001</v>
      </c>
      <c r="H1264">
        <v>0</v>
      </c>
      <c r="I1264">
        <v>0</v>
      </c>
      <c r="K1264">
        <v>48000</v>
      </c>
      <c r="N1264">
        <v>0</v>
      </c>
      <c r="O1264" s="60">
        <v>0</v>
      </c>
      <c r="P1264" t="s">
        <v>661</v>
      </c>
      <c r="Q1264" t="s">
        <v>2404</v>
      </c>
    </row>
    <row r="1265" spans="1:17" x14ac:dyDescent="0.25">
      <c r="A1265" t="s">
        <v>19</v>
      </c>
      <c r="B1265">
        <v>141.35</v>
      </c>
      <c r="C1265">
        <v>76.349999999999994</v>
      </c>
      <c r="D1265">
        <v>12.600100000000001</v>
      </c>
      <c r="E1265">
        <v>16.349999999999994</v>
      </c>
      <c r="F1265">
        <v>76.349999999999994</v>
      </c>
      <c r="G1265">
        <v>12.600100000000001</v>
      </c>
      <c r="H1265">
        <v>1.2</v>
      </c>
      <c r="I1265">
        <v>0.9</v>
      </c>
      <c r="J1265">
        <v>56.126477890366417</v>
      </c>
      <c r="K1265">
        <v>1500</v>
      </c>
      <c r="L1265">
        <v>0</v>
      </c>
      <c r="N1265">
        <v>29</v>
      </c>
      <c r="O1265" s="60" t="s">
        <v>2301</v>
      </c>
      <c r="P1265" t="s">
        <v>1984</v>
      </c>
      <c r="Q1265" t="s">
        <v>2393</v>
      </c>
    </row>
    <row r="1266" spans="1:17" x14ac:dyDescent="0.25">
      <c r="A1266" t="s">
        <v>19</v>
      </c>
      <c r="B1266">
        <v>16.349999999999994</v>
      </c>
      <c r="C1266">
        <v>76.349999999999994</v>
      </c>
      <c r="D1266">
        <v>12.600100000000001</v>
      </c>
      <c r="E1266">
        <v>16.349999999999994</v>
      </c>
      <c r="F1266">
        <v>77.699999999999989</v>
      </c>
      <c r="G1266">
        <v>12.600100000000001</v>
      </c>
      <c r="H1266">
        <v>1.2</v>
      </c>
      <c r="I1266">
        <v>0.9</v>
      </c>
      <c r="J1266">
        <v>0.60616596121595478</v>
      </c>
      <c r="K1266">
        <v>1500</v>
      </c>
      <c r="L1266">
        <v>0</v>
      </c>
      <c r="N1266">
        <v>29</v>
      </c>
      <c r="O1266" s="60" t="s">
        <v>2302</v>
      </c>
      <c r="P1266" t="s">
        <v>1986</v>
      </c>
      <c r="Q1266" t="s">
        <v>876</v>
      </c>
    </row>
    <row r="1267" spans="1:17" x14ac:dyDescent="0.25">
      <c r="A1267" t="s">
        <v>19</v>
      </c>
      <c r="B1267">
        <v>16.349999999999994</v>
      </c>
      <c r="C1267">
        <v>77.699999999999989</v>
      </c>
      <c r="D1267">
        <v>12.600100000000001</v>
      </c>
      <c r="E1267">
        <v>141.35</v>
      </c>
      <c r="F1267">
        <v>77.699999999999989</v>
      </c>
      <c r="G1267">
        <v>12.600100000000001</v>
      </c>
      <c r="H1267">
        <v>1.2</v>
      </c>
      <c r="I1267">
        <v>0.9</v>
      </c>
      <c r="J1267">
        <v>56.126477890366417</v>
      </c>
      <c r="K1267">
        <v>1500</v>
      </c>
      <c r="L1267">
        <v>0</v>
      </c>
      <c r="N1267">
        <v>29</v>
      </c>
      <c r="O1267" s="60" t="s">
        <v>2303</v>
      </c>
      <c r="P1267" t="s">
        <v>1988</v>
      </c>
      <c r="Q1267" t="s">
        <v>2394</v>
      </c>
    </row>
    <row r="1268" spans="1:17" x14ac:dyDescent="0.25">
      <c r="A1268" t="s">
        <v>19</v>
      </c>
      <c r="B1268">
        <v>141.35</v>
      </c>
      <c r="C1268">
        <v>77.699999999999989</v>
      </c>
      <c r="D1268">
        <v>12.600100000000001</v>
      </c>
      <c r="E1268">
        <v>141.35</v>
      </c>
      <c r="F1268">
        <v>81.749999999999986</v>
      </c>
      <c r="G1268">
        <v>12.600100000000001</v>
      </c>
      <c r="H1268">
        <v>1.2</v>
      </c>
      <c r="I1268">
        <v>0.9</v>
      </c>
      <c r="J1268">
        <v>1.8184978836478705</v>
      </c>
      <c r="K1268">
        <v>1500</v>
      </c>
      <c r="L1268">
        <v>0</v>
      </c>
      <c r="N1268">
        <v>29</v>
      </c>
      <c r="O1268" s="60" t="s">
        <v>2304</v>
      </c>
      <c r="P1268" t="s">
        <v>1990</v>
      </c>
      <c r="Q1268" t="s">
        <v>877</v>
      </c>
    </row>
    <row r="1269" spans="1:17" x14ac:dyDescent="0.25">
      <c r="A1269" t="s">
        <v>19</v>
      </c>
      <c r="B1269">
        <v>141.35</v>
      </c>
      <c r="C1269">
        <v>81.75</v>
      </c>
      <c r="D1269">
        <v>12.600100000000001</v>
      </c>
      <c r="E1269">
        <v>16.349999999999994</v>
      </c>
      <c r="F1269">
        <v>81.75</v>
      </c>
      <c r="G1269">
        <v>12.600100000000001</v>
      </c>
      <c r="H1269">
        <v>1.2</v>
      </c>
      <c r="I1269">
        <v>0.9</v>
      </c>
      <c r="J1269">
        <v>56.126477890366417</v>
      </c>
      <c r="K1269">
        <v>1500</v>
      </c>
      <c r="L1269">
        <v>0</v>
      </c>
      <c r="N1269">
        <v>29</v>
      </c>
      <c r="O1269" s="60" t="s">
        <v>1730</v>
      </c>
      <c r="P1269" t="s">
        <v>824</v>
      </c>
      <c r="Q1269" t="s">
        <v>2395</v>
      </c>
    </row>
    <row r="1270" spans="1:17" x14ac:dyDescent="0.25">
      <c r="A1270" t="s">
        <v>19</v>
      </c>
      <c r="B1270">
        <v>16.349999999999994</v>
      </c>
      <c r="C1270">
        <v>81.75</v>
      </c>
      <c r="D1270">
        <v>12.600100000000001</v>
      </c>
      <c r="E1270">
        <v>16.349999999999994</v>
      </c>
      <c r="F1270">
        <v>83.1</v>
      </c>
      <c r="G1270">
        <v>12.600100000000001</v>
      </c>
      <c r="H1270">
        <v>1.2</v>
      </c>
      <c r="I1270">
        <v>0.9</v>
      </c>
      <c r="J1270">
        <v>0.60616596121595478</v>
      </c>
      <c r="K1270">
        <v>1500</v>
      </c>
      <c r="L1270">
        <v>0</v>
      </c>
      <c r="N1270">
        <v>29</v>
      </c>
      <c r="O1270" s="60" t="s">
        <v>1731</v>
      </c>
      <c r="P1270" t="s">
        <v>825</v>
      </c>
      <c r="Q1270" t="s">
        <v>1024</v>
      </c>
    </row>
    <row r="1271" spans="1:17" x14ac:dyDescent="0.25">
      <c r="A1271" t="s">
        <v>19</v>
      </c>
      <c r="B1271">
        <v>16.349999999999994</v>
      </c>
      <c r="C1271">
        <v>83.1</v>
      </c>
      <c r="D1271">
        <v>12.600100000000001</v>
      </c>
      <c r="E1271">
        <v>141.35</v>
      </c>
      <c r="F1271">
        <v>83.1</v>
      </c>
      <c r="G1271">
        <v>12.600100000000001</v>
      </c>
      <c r="H1271">
        <v>1.2</v>
      </c>
      <c r="I1271">
        <v>0.9</v>
      </c>
      <c r="J1271">
        <v>56.126477890366417</v>
      </c>
      <c r="K1271">
        <v>1500</v>
      </c>
      <c r="L1271">
        <v>0</v>
      </c>
      <c r="N1271">
        <v>29</v>
      </c>
      <c r="O1271" s="60" t="s">
        <v>1732</v>
      </c>
      <c r="P1271" t="s">
        <v>755</v>
      </c>
      <c r="Q1271" t="s">
        <v>2394</v>
      </c>
    </row>
    <row r="1272" spans="1:17" x14ac:dyDescent="0.25">
      <c r="A1272" t="s">
        <v>19</v>
      </c>
      <c r="B1272">
        <v>141.35</v>
      </c>
      <c r="C1272">
        <v>83.1</v>
      </c>
      <c r="D1272">
        <v>12.600100000000001</v>
      </c>
      <c r="E1272">
        <v>141.35</v>
      </c>
      <c r="F1272">
        <v>87.149999999999991</v>
      </c>
      <c r="G1272">
        <v>12.600100000000001</v>
      </c>
      <c r="H1272">
        <v>1.2</v>
      </c>
      <c r="I1272">
        <v>0.9</v>
      </c>
      <c r="J1272">
        <v>1.8184978836478705</v>
      </c>
      <c r="K1272">
        <v>1500</v>
      </c>
      <c r="L1272">
        <v>0</v>
      </c>
      <c r="N1272">
        <v>29</v>
      </c>
      <c r="O1272" s="60" t="s">
        <v>1733</v>
      </c>
      <c r="P1272" t="s">
        <v>756</v>
      </c>
      <c r="Q1272" t="s">
        <v>1025</v>
      </c>
    </row>
    <row r="1273" spans="1:17" x14ac:dyDescent="0.25">
      <c r="A1273" t="s">
        <v>19</v>
      </c>
      <c r="B1273">
        <v>141.35</v>
      </c>
      <c r="C1273">
        <v>87.149999999999991</v>
      </c>
      <c r="D1273">
        <v>12.600100000000001</v>
      </c>
      <c r="E1273">
        <v>16.349999999999994</v>
      </c>
      <c r="F1273">
        <v>87.149999999999991</v>
      </c>
      <c r="G1273">
        <v>12.600100000000001</v>
      </c>
      <c r="H1273">
        <v>1.2</v>
      </c>
      <c r="I1273">
        <v>0.9</v>
      </c>
      <c r="J1273">
        <v>56.126477890366417</v>
      </c>
      <c r="K1273">
        <v>1500</v>
      </c>
      <c r="L1273">
        <v>0</v>
      </c>
      <c r="N1273">
        <v>29</v>
      </c>
      <c r="O1273" s="60" t="s">
        <v>1734</v>
      </c>
      <c r="P1273" t="s">
        <v>824</v>
      </c>
      <c r="Q1273" t="s">
        <v>2395</v>
      </c>
    </row>
    <row r="1274" spans="1:17" x14ac:dyDescent="0.25">
      <c r="A1274" t="s">
        <v>19</v>
      </c>
      <c r="B1274">
        <v>16.349999999999994</v>
      </c>
      <c r="C1274">
        <v>87.149999999999991</v>
      </c>
      <c r="D1274">
        <v>12.600100000000001</v>
      </c>
      <c r="E1274">
        <v>16.349999999999994</v>
      </c>
      <c r="F1274">
        <v>88.499999999999986</v>
      </c>
      <c r="G1274">
        <v>12.600100000000001</v>
      </c>
      <c r="H1274">
        <v>1.2</v>
      </c>
      <c r="I1274">
        <v>0.9</v>
      </c>
      <c r="J1274">
        <v>0.60616596121595478</v>
      </c>
      <c r="K1274">
        <v>1500</v>
      </c>
      <c r="L1274">
        <v>0</v>
      </c>
      <c r="N1274">
        <v>29</v>
      </c>
      <c r="O1274" s="60" t="s">
        <v>1735</v>
      </c>
      <c r="P1274" t="s">
        <v>825</v>
      </c>
      <c r="Q1274" t="s">
        <v>1026</v>
      </c>
    </row>
    <row r="1275" spans="1:17" x14ac:dyDescent="0.25">
      <c r="A1275" t="s">
        <v>19</v>
      </c>
      <c r="B1275">
        <v>16.349999999999994</v>
      </c>
      <c r="C1275">
        <v>88.499999999999986</v>
      </c>
      <c r="D1275">
        <v>12.600100000000001</v>
      </c>
      <c r="E1275">
        <v>141.35</v>
      </c>
      <c r="F1275">
        <v>88.499999999999986</v>
      </c>
      <c r="G1275">
        <v>12.600100000000001</v>
      </c>
      <c r="H1275">
        <v>1.2</v>
      </c>
      <c r="I1275">
        <v>0.9</v>
      </c>
      <c r="J1275">
        <v>56.126477890366417</v>
      </c>
      <c r="K1275">
        <v>1500</v>
      </c>
      <c r="L1275">
        <v>0</v>
      </c>
      <c r="N1275">
        <v>29</v>
      </c>
      <c r="O1275" s="60" t="s">
        <v>1736</v>
      </c>
      <c r="P1275" t="s">
        <v>755</v>
      </c>
      <c r="Q1275" t="s">
        <v>2394</v>
      </c>
    </row>
    <row r="1276" spans="1:17" x14ac:dyDescent="0.25">
      <c r="A1276" t="s">
        <v>19</v>
      </c>
      <c r="B1276">
        <v>141.35</v>
      </c>
      <c r="C1276">
        <v>88.499999999999986</v>
      </c>
      <c r="D1276">
        <v>12.600100000000001</v>
      </c>
      <c r="E1276">
        <v>141.35</v>
      </c>
      <c r="F1276">
        <v>92.549999999999983</v>
      </c>
      <c r="G1276">
        <v>12.600100000000001</v>
      </c>
      <c r="H1276">
        <v>1.2</v>
      </c>
      <c r="I1276">
        <v>0.9</v>
      </c>
      <c r="J1276">
        <v>1.8184978836478705</v>
      </c>
      <c r="K1276">
        <v>1500</v>
      </c>
      <c r="L1276">
        <v>0</v>
      </c>
      <c r="N1276">
        <v>29</v>
      </c>
      <c r="O1276" s="60" t="s">
        <v>1737</v>
      </c>
      <c r="P1276" t="s">
        <v>756</v>
      </c>
      <c r="Q1276" t="s">
        <v>1027</v>
      </c>
    </row>
    <row r="1277" spans="1:17" x14ac:dyDescent="0.25">
      <c r="A1277" t="s">
        <v>19</v>
      </c>
      <c r="B1277">
        <v>141.35</v>
      </c>
      <c r="C1277">
        <v>92.55</v>
      </c>
      <c r="D1277">
        <v>12.600100000000001</v>
      </c>
      <c r="E1277">
        <v>16.349999999999994</v>
      </c>
      <c r="F1277">
        <v>92.55</v>
      </c>
      <c r="G1277">
        <v>12.600100000000001</v>
      </c>
      <c r="H1277">
        <v>1.2</v>
      </c>
      <c r="I1277">
        <v>0.9</v>
      </c>
      <c r="J1277">
        <v>56.126477890366417</v>
      </c>
      <c r="K1277">
        <v>1500</v>
      </c>
      <c r="L1277">
        <v>0</v>
      </c>
      <c r="N1277">
        <v>29</v>
      </c>
      <c r="O1277" s="60" t="s">
        <v>1738</v>
      </c>
      <c r="P1277" t="s">
        <v>824</v>
      </c>
      <c r="Q1277" t="s">
        <v>2395</v>
      </c>
    </row>
    <row r="1278" spans="1:17" x14ac:dyDescent="0.25">
      <c r="A1278" t="s">
        <v>19</v>
      </c>
      <c r="B1278">
        <v>16.349999999999994</v>
      </c>
      <c r="C1278">
        <v>92.55</v>
      </c>
      <c r="D1278">
        <v>12.600100000000001</v>
      </c>
      <c r="E1278">
        <v>16.349999999999994</v>
      </c>
      <c r="F1278">
        <v>93.899999999999991</v>
      </c>
      <c r="G1278">
        <v>12.600100000000001</v>
      </c>
      <c r="H1278">
        <v>1.2</v>
      </c>
      <c r="I1278">
        <v>0.9</v>
      </c>
      <c r="J1278">
        <v>0.60616596121595478</v>
      </c>
      <c r="K1278">
        <v>1500</v>
      </c>
      <c r="L1278">
        <v>0</v>
      </c>
      <c r="N1278">
        <v>29</v>
      </c>
      <c r="O1278" s="60" t="s">
        <v>1739</v>
      </c>
      <c r="P1278" t="s">
        <v>825</v>
      </c>
      <c r="Q1278" t="s">
        <v>1028</v>
      </c>
    </row>
    <row r="1279" spans="1:17" x14ac:dyDescent="0.25">
      <c r="A1279" t="s">
        <v>19</v>
      </c>
      <c r="B1279">
        <v>16.349999999999994</v>
      </c>
      <c r="C1279">
        <v>93.899999999999991</v>
      </c>
      <c r="D1279">
        <v>12.600100000000001</v>
      </c>
      <c r="E1279">
        <v>141.35</v>
      </c>
      <c r="F1279">
        <v>93.899999999999991</v>
      </c>
      <c r="G1279">
        <v>12.600100000000001</v>
      </c>
      <c r="H1279">
        <v>1.2</v>
      </c>
      <c r="I1279">
        <v>0.9</v>
      </c>
      <c r="J1279">
        <v>56.126477890366417</v>
      </c>
      <c r="K1279">
        <v>1500</v>
      </c>
      <c r="L1279">
        <v>0</v>
      </c>
      <c r="N1279">
        <v>29</v>
      </c>
      <c r="O1279" s="60" t="s">
        <v>1740</v>
      </c>
      <c r="P1279" t="s">
        <v>755</v>
      </c>
      <c r="Q1279" t="s">
        <v>2394</v>
      </c>
    </row>
    <row r="1280" spans="1:17" x14ac:dyDescent="0.25">
      <c r="A1280" t="s">
        <v>19</v>
      </c>
      <c r="B1280">
        <v>141.35</v>
      </c>
      <c r="C1280">
        <v>93.899999999999991</v>
      </c>
      <c r="D1280">
        <v>12.600100000000001</v>
      </c>
      <c r="E1280">
        <v>141.35</v>
      </c>
      <c r="F1280">
        <v>97.949999999999989</v>
      </c>
      <c r="G1280">
        <v>12.600100000000001</v>
      </c>
      <c r="H1280">
        <v>1.2</v>
      </c>
      <c r="I1280">
        <v>0.9</v>
      </c>
      <c r="J1280">
        <v>1.8184978836478705</v>
      </c>
      <c r="K1280">
        <v>1500</v>
      </c>
      <c r="L1280">
        <v>0</v>
      </c>
      <c r="N1280">
        <v>29</v>
      </c>
      <c r="O1280" s="60" t="s">
        <v>1741</v>
      </c>
      <c r="P1280" t="s">
        <v>756</v>
      </c>
      <c r="Q1280" t="s">
        <v>1029</v>
      </c>
    </row>
    <row r="1281" spans="1:17" x14ac:dyDescent="0.25">
      <c r="A1281" t="s">
        <v>19</v>
      </c>
      <c r="B1281">
        <v>141.35</v>
      </c>
      <c r="C1281">
        <v>97.949999999999989</v>
      </c>
      <c r="D1281">
        <v>12.600100000000001</v>
      </c>
      <c r="E1281">
        <v>16.349999999999994</v>
      </c>
      <c r="F1281">
        <v>97.949999999999989</v>
      </c>
      <c r="G1281">
        <v>12.600100000000001</v>
      </c>
      <c r="H1281">
        <v>1.2</v>
      </c>
      <c r="I1281">
        <v>0.9</v>
      </c>
      <c r="J1281">
        <v>56.126477890366417</v>
      </c>
      <c r="K1281">
        <v>1500</v>
      </c>
      <c r="L1281">
        <v>0</v>
      </c>
      <c r="N1281">
        <v>29</v>
      </c>
      <c r="O1281" s="60" t="s">
        <v>1742</v>
      </c>
      <c r="P1281" t="s">
        <v>824</v>
      </c>
      <c r="Q1281" t="s">
        <v>2395</v>
      </c>
    </row>
    <row r="1282" spans="1:17" x14ac:dyDescent="0.25">
      <c r="A1282" t="s">
        <v>19</v>
      </c>
      <c r="B1282">
        <v>16.349999999999994</v>
      </c>
      <c r="C1282">
        <v>97.949999999999989</v>
      </c>
      <c r="D1282">
        <v>12.600100000000001</v>
      </c>
      <c r="E1282">
        <v>16.349999999999994</v>
      </c>
      <c r="F1282">
        <v>99.299999999999983</v>
      </c>
      <c r="G1282">
        <v>12.600100000000001</v>
      </c>
      <c r="H1282">
        <v>1.2</v>
      </c>
      <c r="I1282">
        <v>0.9</v>
      </c>
      <c r="J1282">
        <v>0.60616596121595478</v>
      </c>
      <c r="K1282">
        <v>1500</v>
      </c>
      <c r="L1282">
        <v>0</v>
      </c>
      <c r="N1282">
        <v>29</v>
      </c>
      <c r="O1282" s="60" t="s">
        <v>1743</v>
      </c>
      <c r="P1282" t="s">
        <v>825</v>
      </c>
      <c r="Q1282" t="s">
        <v>1030</v>
      </c>
    </row>
    <row r="1283" spans="1:17" x14ac:dyDescent="0.25">
      <c r="A1283" t="s">
        <v>19</v>
      </c>
      <c r="B1283">
        <v>16.349999999999994</v>
      </c>
      <c r="C1283">
        <v>99.299999999999983</v>
      </c>
      <c r="D1283">
        <v>12.600100000000001</v>
      </c>
      <c r="E1283">
        <v>141.35</v>
      </c>
      <c r="F1283">
        <v>99.299999999999983</v>
      </c>
      <c r="G1283">
        <v>12.600100000000001</v>
      </c>
      <c r="H1283">
        <v>1.2</v>
      </c>
      <c r="I1283">
        <v>0.9</v>
      </c>
      <c r="J1283">
        <v>56.126477890366417</v>
      </c>
      <c r="K1283">
        <v>1500</v>
      </c>
      <c r="L1283">
        <v>0</v>
      </c>
      <c r="N1283">
        <v>29</v>
      </c>
      <c r="O1283" s="60" t="s">
        <v>1744</v>
      </c>
      <c r="P1283" t="s">
        <v>755</v>
      </c>
      <c r="Q1283" t="s">
        <v>2394</v>
      </c>
    </row>
    <row r="1284" spans="1:17" x14ac:dyDescent="0.25">
      <c r="A1284" t="s">
        <v>19</v>
      </c>
      <c r="B1284">
        <v>141.35</v>
      </c>
      <c r="C1284">
        <v>99.299999999999983</v>
      </c>
      <c r="D1284">
        <v>12.600100000000001</v>
      </c>
      <c r="E1284">
        <v>141.35</v>
      </c>
      <c r="F1284">
        <v>103.35</v>
      </c>
      <c r="G1284">
        <v>12.600100000000001</v>
      </c>
      <c r="H1284">
        <v>1.2</v>
      </c>
      <c r="I1284">
        <v>0.9</v>
      </c>
      <c r="J1284">
        <v>1.8184978836478705</v>
      </c>
      <c r="K1284">
        <v>1500</v>
      </c>
      <c r="L1284">
        <v>0</v>
      </c>
      <c r="N1284">
        <v>29</v>
      </c>
      <c r="O1284" s="60" t="s">
        <v>1745</v>
      </c>
      <c r="P1284" t="s">
        <v>756</v>
      </c>
      <c r="Q1284" t="s">
        <v>1031</v>
      </c>
    </row>
    <row r="1285" spans="1:17" x14ac:dyDescent="0.25">
      <c r="A1285" t="s">
        <v>19</v>
      </c>
      <c r="B1285">
        <v>141.35</v>
      </c>
      <c r="C1285">
        <v>103.35</v>
      </c>
      <c r="D1285">
        <v>12.600100000000001</v>
      </c>
      <c r="E1285">
        <v>16.349999999999994</v>
      </c>
      <c r="F1285">
        <v>103.35</v>
      </c>
      <c r="G1285">
        <v>12.600100000000001</v>
      </c>
      <c r="H1285">
        <v>1.2</v>
      </c>
      <c r="I1285">
        <v>0.9</v>
      </c>
      <c r="J1285">
        <v>56.126477890366417</v>
      </c>
      <c r="K1285">
        <v>1500</v>
      </c>
      <c r="L1285">
        <v>0</v>
      </c>
      <c r="N1285">
        <v>29</v>
      </c>
      <c r="O1285" s="60" t="s">
        <v>1746</v>
      </c>
      <c r="P1285" t="s">
        <v>824</v>
      </c>
      <c r="Q1285" t="s">
        <v>2395</v>
      </c>
    </row>
    <row r="1286" spans="1:17" x14ac:dyDescent="0.25">
      <c r="A1286" t="s">
        <v>19</v>
      </c>
      <c r="B1286">
        <v>16.349999999999994</v>
      </c>
      <c r="C1286">
        <v>103.35</v>
      </c>
      <c r="D1286">
        <v>12.600100000000001</v>
      </c>
      <c r="E1286">
        <v>16.349999999999994</v>
      </c>
      <c r="F1286">
        <v>104.69999999999999</v>
      </c>
      <c r="G1286">
        <v>12.600100000000001</v>
      </c>
      <c r="H1286">
        <v>1.2</v>
      </c>
      <c r="I1286">
        <v>0.9</v>
      </c>
      <c r="J1286">
        <v>0.60616596121595478</v>
      </c>
      <c r="K1286">
        <v>1500</v>
      </c>
      <c r="L1286">
        <v>0</v>
      </c>
      <c r="N1286">
        <v>29</v>
      </c>
      <c r="O1286" s="60" t="s">
        <v>1747</v>
      </c>
      <c r="P1286" t="s">
        <v>825</v>
      </c>
      <c r="Q1286" t="s">
        <v>1032</v>
      </c>
    </row>
    <row r="1287" spans="1:17" x14ac:dyDescent="0.25">
      <c r="A1287" t="s">
        <v>19</v>
      </c>
      <c r="B1287">
        <v>16.349999999999994</v>
      </c>
      <c r="C1287">
        <v>104.69999999999999</v>
      </c>
      <c r="D1287">
        <v>12.600100000000001</v>
      </c>
      <c r="E1287">
        <v>141.35</v>
      </c>
      <c r="F1287">
        <v>104.69999999999999</v>
      </c>
      <c r="G1287">
        <v>12.600100000000001</v>
      </c>
      <c r="H1287">
        <v>1.2</v>
      </c>
      <c r="I1287">
        <v>0.9</v>
      </c>
      <c r="J1287">
        <v>56.126477890366417</v>
      </c>
      <c r="K1287">
        <v>1500</v>
      </c>
      <c r="L1287">
        <v>0</v>
      </c>
      <c r="N1287">
        <v>29</v>
      </c>
      <c r="O1287" s="60" t="s">
        <v>1748</v>
      </c>
      <c r="P1287" t="s">
        <v>755</v>
      </c>
      <c r="Q1287" t="s">
        <v>2394</v>
      </c>
    </row>
    <row r="1288" spans="1:17" x14ac:dyDescent="0.25">
      <c r="A1288" t="s">
        <v>19</v>
      </c>
      <c r="B1288">
        <v>141.35</v>
      </c>
      <c r="C1288">
        <v>104.69999999999999</v>
      </c>
      <c r="D1288">
        <v>12.600100000000001</v>
      </c>
      <c r="E1288">
        <v>141.35</v>
      </c>
      <c r="F1288">
        <v>108.74999999999999</v>
      </c>
      <c r="G1288">
        <v>12.600100000000001</v>
      </c>
      <c r="H1288">
        <v>1.2</v>
      </c>
      <c r="I1288">
        <v>0.9</v>
      </c>
      <c r="J1288">
        <v>1.8184978836478705</v>
      </c>
      <c r="K1288">
        <v>1500</v>
      </c>
      <c r="L1288">
        <v>0</v>
      </c>
      <c r="N1288">
        <v>29</v>
      </c>
      <c r="O1288" s="60" t="s">
        <v>1749</v>
      </c>
      <c r="P1288" t="s">
        <v>756</v>
      </c>
      <c r="Q1288" t="s">
        <v>1033</v>
      </c>
    </row>
    <row r="1289" spans="1:17" x14ac:dyDescent="0.25">
      <c r="A1289" t="s">
        <v>19</v>
      </c>
      <c r="B1289">
        <v>141.35</v>
      </c>
      <c r="C1289">
        <v>108.75</v>
      </c>
      <c r="D1289">
        <v>12.600100000000001</v>
      </c>
      <c r="E1289">
        <v>16.349999999999994</v>
      </c>
      <c r="F1289">
        <v>108.75</v>
      </c>
      <c r="G1289">
        <v>12.600100000000001</v>
      </c>
      <c r="H1289">
        <v>1.2</v>
      </c>
      <c r="I1289">
        <v>0.9</v>
      </c>
      <c r="J1289">
        <v>56.126477890366417</v>
      </c>
      <c r="K1289">
        <v>1500</v>
      </c>
      <c r="L1289">
        <v>0</v>
      </c>
      <c r="N1289">
        <v>29</v>
      </c>
      <c r="O1289" s="60" t="s">
        <v>1750</v>
      </c>
      <c r="P1289" t="s">
        <v>824</v>
      </c>
      <c r="Q1289" t="s">
        <v>2395</v>
      </c>
    </row>
    <row r="1290" spans="1:17" x14ac:dyDescent="0.25">
      <c r="A1290" t="s">
        <v>19</v>
      </c>
      <c r="B1290">
        <v>16.349999999999994</v>
      </c>
      <c r="C1290">
        <v>108.75</v>
      </c>
      <c r="D1290">
        <v>12.600100000000001</v>
      </c>
      <c r="E1290">
        <v>16.349999999999994</v>
      </c>
      <c r="F1290">
        <v>110.1</v>
      </c>
      <c r="G1290">
        <v>12.600100000000001</v>
      </c>
      <c r="H1290">
        <v>1.2</v>
      </c>
      <c r="I1290">
        <v>0.9</v>
      </c>
      <c r="J1290">
        <v>0.60616596121595478</v>
      </c>
      <c r="K1290">
        <v>1500</v>
      </c>
      <c r="L1290">
        <v>0</v>
      </c>
      <c r="N1290">
        <v>29</v>
      </c>
      <c r="O1290" s="60" t="s">
        <v>1751</v>
      </c>
      <c r="P1290" t="s">
        <v>825</v>
      </c>
      <c r="Q1290" t="s">
        <v>1034</v>
      </c>
    </row>
    <row r="1291" spans="1:17" x14ac:dyDescent="0.25">
      <c r="A1291" t="s">
        <v>19</v>
      </c>
      <c r="B1291">
        <v>16.349999999999994</v>
      </c>
      <c r="C1291">
        <v>110.1</v>
      </c>
      <c r="D1291">
        <v>12.600100000000001</v>
      </c>
      <c r="E1291">
        <v>141.35</v>
      </c>
      <c r="F1291">
        <v>110.1</v>
      </c>
      <c r="G1291">
        <v>12.600100000000001</v>
      </c>
      <c r="H1291">
        <v>1.2</v>
      </c>
      <c r="I1291">
        <v>0.9</v>
      </c>
      <c r="J1291">
        <v>56.126477890366417</v>
      </c>
      <c r="K1291">
        <v>1500</v>
      </c>
      <c r="L1291">
        <v>0</v>
      </c>
      <c r="N1291">
        <v>29</v>
      </c>
      <c r="O1291" s="60" t="s">
        <v>1752</v>
      </c>
      <c r="P1291" t="s">
        <v>755</v>
      </c>
      <c r="Q1291" t="s">
        <v>2394</v>
      </c>
    </row>
    <row r="1292" spans="1:17" x14ac:dyDescent="0.25">
      <c r="A1292" t="s">
        <v>19</v>
      </c>
      <c r="B1292">
        <v>141.35</v>
      </c>
      <c r="C1292">
        <v>110.1</v>
      </c>
      <c r="D1292">
        <v>12.600100000000001</v>
      </c>
      <c r="E1292">
        <v>141.35</v>
      </c>
      <c r="F1292">
        <v>114.14999999999999</v>
      </c>
      <c r="G1292">
        <v>12.600100000000001</v>
      </c>
      <c r="H1292">
        <v>1.2</v>
      </c>
      <c r="I1292">
        <v>0.9</v>
      </c>
      <c r="J1292">
        <v>1.8184978836478705</v>
      </c>
      <c r="K1292">
        <v>1500</v>
      </c>
      <c r="L1292">
        <v>0</v>
      </c>
      <c r="N1292">
        <v>29</v>
      </c>
      <c r="O1292" s="60" t="s">
        <v>1753</v>
      </c>
      <c r="P1292" t="s">
        <v>756</v>
      </c>
      <c r="Q1292" t="s">
        <v>1035</v>
      </c>
    </row>
    <row r="1293" spans="1:17" x14ac:dyDescent="0.25">
      <c r="A1293" t="s">
        <v>19</v>
      </c>
      <c r="B1293">
        <v>141.35</v>
      </c>
      <c r="C1293">
        <v>114.14999999999999</v>
      </c>
      <c r="D1293">
        <v>12.600100000000001</v>
      </c>
      <c r="E1293">
        <v>16.349999999999994</v>
      </c>
      <c r="F1293">
        <v>114.14999999999999</v>
      </c>
      <c r="G1293">
        <v>12.600100000000001</v>
      </c>
      <c r="H1293">
        <v>1.2</v>
      </c>
      <c r="I1293">
        <v>0.9</v>
      </c>
      <c r="J1293">
        <v>56.126477890366417</v>
      </c>
      <c r="K1293">
        <v>1500</v>
      </c>
      <c r="L1293">
        <v>0</v>
      </c>
      <c r="N1293">
        <v>29</v>
      </c>
      <c r="O1293" s="60" t="s">
        <v>1754</v>
      </c>
      <c r="P1293" t="s">
        <v>824</v>
      </c>
      <c r="Q1293" t="s">
        <v>2395</v>
      </c>
    </row>
    <row r="1294" spans="1:17" x14ac:dyDescent="0.25">
      <c r="A1294" t="s">
        <v>19</v>
      </c>
      <c r="B1294">
        <v>16.349999999999994</v>
      </c>
      <c r="C1294">
        <v>114.14999999999999</v>
      </c>
      <c r="D1294">
        <v>12.600100000000001</v>
      </c>
      <c r="E1294">
        <v>16.349999999999994</v>
      </c>
      <c r="F1294">
        <v>115.49999999999999</v>
      </c>
      <c r="G1294">
        <v>12.600100000000001</v>
      </c>
      <c r="H1294">
        <v>1.2</v>
      </c>
      <c r="I1294">
        <v>0.9</v>
      </c>
      <c r="J1294">
        <v>0.60616596121595478</v>
      </c>
      <c r="K1294">
        <v>1500</v>
      </c>
      <c r="L1294">
        <v>0</v>
      </c>
      <c r="N1294">
        <v>29</v>
      </c>
      <c r="O1294" s="60" t="s">
        <v>1755</v>
      </c>
      <c r="P1294" t="s">
        <v>825</v>
      </c>
      <c r="Q1294" t="s">
        <v>1036</v>
      </c>
    </row>
    <row r="1295" spans="1:17" x14ac:dyDescent="0.25">
      <c r="A1295" t="s">
        <v>19</v>
      </c>
      <c r="B1295">
        <v>16.349999999999994</v>
      </c>
      <c r="C1295">
        <v>115.49999999999999</v>
      </c>
      <c r="D1295">
        <v>12.600100000000001</v>
      </c>
      <c r="E1295">
        <v>141.35</v>
      </c>
      <c r="F1295">
        <v>115.49999999999999</v>
      </c>
      <c r="G1295">
        <v>12.600100000000001</v>
      </c>
      <c r="H1295">
        <v>1.2</v>
      </c>
      <c r="I1295">
        <v>0.9</v>
      </c>
      <c r="J1295">
        <v>56.126477890366417</v>
      </c>
      <c r="K1295">
        <v>1500</v>
      </c>
      <c r="L1295">
        <v>0</v>
      </c>
      <c r="N1295">
        <v>29</v>
      </c>
      <c r="O1295" s="60" t="s">
        <v>1756</v>
      </c>
      <c r="P1295" t="s">
        <v>755</v>
      </c>
      <c r="Q1295" t="s">
        <v>2394</v>
      </c>
    </row>
    <row r="1296" spans="1:17" x14ac:dyDescent="0.25">
      <c r="A1296" t="s">
        <v>19</v>
      </c>
      <c r="B1296">
        <v>141.35</v>
      </c>
      <c r="C1296">
        <v>115.49999999999999</v>
      </c>
      <c r="D1296">
        <v>12.600100000000001</v>
      </c>
      <c r="E1296">
        <v>141.35</v>
      </c>
      <c r="F1296">
        <v>119.54999999999998</v>
      </c>
      <c r="G1296">
        <v>12.600100000000001</v>
      </c>
      <c r="H1296">
        <v>1.2</v>
      </c>
      <c r="I1296">
        <v>0.9</v>
      </c>
      <c r="J1296">
        <v>1.8184978836478705</v>
      </c>
      <c r="K1296">
        <v>1500</v>
      </c>
      <c r="L1296">
        <v>0</v>
      </c>
      <c r="N1296">
        <v>29</v>
      </c>
      <c r="O1296" s="60" t="s">
        <v>1757</v>
      </c>
      <c r="P1296" t="s">
        <v>756</v>
      </c>
      <c r="Q1296" t="s">
        <v>1037</v>
      </c>
    </row>
    <row r="1297" spans="1:17" x14ac:dyDescent="0.25">
      <c r="A1297" t="s">
        <v>19</v>
      </c>
      <c r="B1297">
        <v>141.35</v>
      </c>
      <c r="C1297">
        <v>119.55</v>
      </c>
      <c r="D1297">
        <v>12.600100000000001</v>
      </c>
      <c r="E1297">
        <v>16.349999999999994</v>
      </c>
      <c r="F1297">
        <v>119.55</v>
      </c>
      <c r="G1297">
        <v>12.600100000000001</v>
      </c>
      <c r="H1297">
        <v>1.2</v>
      </c>
      <c r="I1297">
        <v>0.9</v>
      </c>
      <c r="J1297">
        <v>56.126477890366417</v>
      </c>
      <c r="K1297">
        <v>1500</v>
      </c>
      <c r="L1297">
        <v>0</v>
      </c>
      <c r="N1297">
        <v>29</v>
      </c>
      <c r="O1297" s="60" t="s">
        <v>2305</v>
      </c>
      <c r="P1297" t="s">
        <v>824</v>
      </c>
      <c r="Q1297" t="s">
        <v>2395</v>
      </c>
    </row>
    <row r="1298" spans="1:17" x14ac:dyDescent="0.25">
      <c r="A1298" t="s">
        <v>19</v>
      </c>
      <c r="B1298">
        <v>16.349999999999994</v>
      </c>
      <c r="C1298">
        <v>119.55</v>
      </c>
      <c r="D1298">
        <v>12.600100000000001</v>
      </c>
      <c r="E1298">
        <v>16.349999999999994</v>
      </c>
      <c r="F1298">
        <v>120.89999999999999</v>
      </c>
      <c r="G1298">
        <v>12.600100000000001</v>
      </c>
      <c r="H1298">
        <v>1.2</v>
      </c>
      <c r="I1298">
        <v>0.9</v>
      </c>
      <c r="J1298">
        <v>0.60616596121595478</v>
      </c>
      <c r="K1298">
        <v>1500</v>
      </c>
      <c r="L1298">
        <v>0</v>
      </c>
      <c r="N1298">
        <v>29</v>
      </c>
      <c r="O1298" s="60" t="s">
        <v>2306</v>
      </c>
      <c r="P1298" t="s">
        <v>825</v>
      </c>
      <c r="Q1298" t="s">
        <v>1935</v>
      </c>
    </row>
    <row r="1299" spans="1:17" x14ac:dyDescent="0.25">
      <c r="A1299" t="s">
        <v>19</v>
      </c>
      <c r="B1299">
        <v>16.349999999999994</v>
      </c>
      <c r="C1299">
        <v>120.89999999999999</v>
      </c>
      <c r="D1299">
        <v>12.600100000000001</v>
      </c>
      <c r="E1299">
        <v>141.35</v>
      </c>
      <c r="F1299">
        <v>120.89999999999999</v>
      </c>
      <c r="G1299">
        <v>12.600100000000001</v>
      </c>
      <c r="H1299">
        <v>1.2</v>
      </c>
      <c r="I1299">
        <v>0.9</v>
      </c>
      <c r="J1299">
        <v>56.126477890366417</v>
      </c>
      <c r="K1299">
        <v>1500</v>
      </c>
      <c r="L1299">
        <v>0</v>
      </c>
      <c r="N1299">
        <v>29</v>
      </c>
      <c r="O1299" s="60" t="s">
        <v>2307</v>
      </c>
      <c r="P1299" t="s">
        <v>755</v>
      </c>
      <c r="Q1299" t="s">
        <v>2394</v>
      </c>
    </row>
    <row r="1300" spans="1:17" x14ac:dyDescent="0.25">
      <c r="A1300" t="s">
        <v>19</v>
      </c>
      <c r="B1300">
        <v>141.35</v>
      </c>
      <c r="C1300">
        <v>120.89999999999999</v>
      </c>
      <c r="D1300">
        <v>12.600100000000001</v>
      </c>
      <c r="E1300">
        <v>141.35</v>
      </c>
      <c r="F1300">
        <v>124.94999999999999</v>
      </c>
      <c r="G1300">
        <v>12.600100000000001</v>
      </c>
      <c r="H1300">
        <v>1.2</v>
      </c>
      <c r="I1300">
        <v>0.9</v>
      </c>
      <c r="J1300">
        <v>1.8184978836478705</v>
      </c>
      <c r="K1300">
        <v>1500</v>
      </c>
      <c r="L1300">
        <v>0</v>
      </c>
      <c r="N1300">
        <v>29</v>
      </c>
      <c r="O1300" s="60" t="s">
        <v>2308</v>
      </c>
      <c r="P1300" t="s">
        <v>756</v>
      </c>
      <c r="Q1300" t="s">
        <v>1938</v>
      </c>
    </row>
    <row r="1301" spans="1:17" x14ac:dyDescent="0.25">
      <c r="A1301" t="s">
        <v>19</v>
      </c>
      <c r="B1301">
        <v>141.35</v>
      </c>
      <c r="C1301">
        <v>124.95</v>
      </c>
      <c r="D1301">
        <v>12.600100000000001</v>
      </c>
      <c r="E1301">
        <v>16.349999999999994</v>
      </c>
      <c r="F1301">
        <v>124.95</v>
      </c>
      <c r="G1301">
        <v>12.600100000000001</v>
      </c>
      <c r="H1301">
        <v>1.2</v>
      </c>
      <c r="I1301">
        <v>0.9</v>
      </c>
      <c r="J1301">
        <v>56.126477890366417</v>
      </c>
      <c r="K1301">
        <v>1500</v>
      </c>
      <c r="L1301">
        <v>0</v>
      </c>
      <c r="N1301">
        <v>29</v>
      </c>
      <c r="O1301" s="60" t="s">
        <v>2309</v>
      </c>
      <c r="P1301" t="s">
        <v>824</v>
      </c>
      <c r="Q1301" t="s">
        <v>2395</v>
      </c>
    </row>
    <row r="1302" spans="1:17" x14ac:dyDescent="0.25">
      <c r="A1302" t="s">
        <v>19</v>
      </c>
      <c r="B1302">
        <v>16.349999999999994</v>
      </c>
      <c r="C1302">
        <v>124.95</v>
      </c>
      <c r="D1302">
        <v>12.600100000000001</v>
      </c>
      <c r="E1302">
        <v>16.349999999999994</v>
      </c>
      <c r="F1302">
        <v>126.3</v>
      </c>
      <c r="G1302">
        <v>12.600100000000001</v>
      </c>
      <c r="H1302">
        <v>1.2</v>
      </c>
      <c r="I1302">
        <v>0.9</v>
      </c>
      <c r="J1302">
        <v>0.60616596121595478</v>
      </c>
      <c r="K1302">
        <v>1500</v>
      </c>
      <c r="L1302">
        <v>0</v>
      </c>
      <c r="N1302">
        <v>29</v>
      </c>
      <c r="O1302" s="60" t="s">
        <v>2310</v>
      </c>
      <c r="P1302" t="s">
        <v>825</v>
      </c>
      <c r="Q1302" t="s">
        <v>1941</v>
      </c>
    </row>
    <row r="1303" spans="1:17" x14ac:dyDescent="0.25">
      <c r="A1303" t="s">
        <v>19</v>
      </c>
      <c r="B1303">
        <v>16.349999999999994</v>
      </c>
      <c r="C1303">
        <v>126.3</v>
      </c>
      <c r="D1303">
        <v>12.600100000000001</v>
      </c>
      <c r="E1303">
        <v>141.35</v>
      </c>
      <c r="F1303">
        <v>126.3</v>
      </c>
      <c r="G1303">
        <v>12.600100000000001</v>
      </c>
      <c r="H1303">
        <v>1.2</v>
      </c>
      <c r="I1303">
        <v>0.9</v>
      </c>
      <c r="J1303">
        <v>56.126477890366417</v>
      </c>
      <c r="K1303">
        <v>1500</v>
      </c>
      <c r="L1303">
        <v>0</v>
      </c>
      <c r="N1303">
        <v>29</v>
      </c>
      <c r="O1303" s="60" t="s">
        <v>2311</v>
      </c>
      <c r="P1303" t="s">
        <v>755</v>
      </c>
      <c r="Q1303" t="s">
        <v>2394</v>
      </c>
    </row>
    <row r="1304" spans="1:17" x14ac:dyDescent="0.25">
      <c r="A1304" t="s">
        <v>19</v>
      </c>
      <c r="B1304">
        <v>141.35</v>
      </c>
      <c r="C1304">
        <v>126.3</v>
      </c>
      <c r="D1304">
        <v>12.600100000000001</v>
      </c>
      <c r="E1304">
        <v>141.35</v>
      </c>
      <c r="F1304">
        <v>130.35</v>
      </c>
      <c r="G1304">
        <v>12.600100000000001</v>
      </c>
      <c r="H1304">
        <v>1.2</v>
      </c>
      <c r="I1304">
        <v>0.9</v>
      </c>
      <c r="J1304">
        <v>1.8184978836478705</v>
      </c>
      <c r="K1304">
        <v>1500</v>
      </c>
      <c r="L1304">
        <v>0</v>
      </c>
      <c r="N1304">
        <v>29</v>
      </c>
      <c r="O1304" s="60" t="s">
        <v>2312</v>
      </c>
      <c r="P1304" t="s">
        <v>756</v>
      </c>
      <c r="Q1304" t="s">
        <v>1944</v>
      </c>
    </row>
    <row r="1305" spans="1:17" x14ac:dyDescent="0.25">
      <c r="A1305" t="s">
        <v>39</v>
      </c>
      <c r="B1305">
        <v>-1.25</v>
      </c>
      <c r="C1305">
        <v>2100</v>
      </c>
      <c r="N1305">
        <v>29</v>
      </c>
      <c r="O1305" s="60" t="s">
        <v>981</v>
      </c>
      <c r="P1305" t="s">
        <v>753</v>
      </c>
      <c r="Q1305" t="s">
        <v>845</v>
      </c>
    </row>
    <row r="1306" spans="1:17" x14ac:dyDescent="0.25">
      <c r="A1306" t="s">
        <v>660</v>
      </c>
      <c r="B1306">
        <v>0.9</v>
      </c>
      <c r="C1306">
        <v>10000</v>
      </c>
      <c r="N1306">
        <v>29</v>
      </c>
      <c r="O1306" s="60" t="s">
        <v>981</v>
      </c>
      <c r="P1306" t="s">
        <v>753</v>
      </c>
      <c r="Q1306" t="s">
        <v>841</v>
      </c>
    </row>
    <row r="1307" spans="1:17" x14ac:dyDescent="0.25">
      <c r="A1307" t="s">
        <v>23</v>
      </c>
      <c r="B1307">
        <v>141.35</v>
      </c>
      <c r="C1307">
        <v>130.35</v>
      </c>
      <c r="D1307">
        <v>12.600100000000001</v>
      </c>
      <c r="E1307">
        <v>141.35</v>
      </c>
      <c r="F1307">
        <v>76.349999999999994</v>
      </c>
      <c r="G1307">
        <v>13.5001</v>
      </c>
      <c r="H1307">
        <v>0</v>
      </c>
      <c r="I1307">
        <v>0</v>
      </c>
      <c r="K1307">
        <v>48000</v>
      </c>
      <c r="N1307">
        <v>0</v>
      </c>
      <c r="O1307" s="60">
        <v>0</v>
      </c>
      <c r="P1307" t="s">
        <v>661</v>
      </c>
      <c r="Q1307" t="s">
        <v>2313</v>
      </c>
    </row>
    <row r="1308" spans="1:17" x14ac:dyDescent="0.25">
      <c r="A1308" t="s">
        <v>19</v>
      </c>
      <c r="B1308">
        <v>141.35</v>
      </c>
      <c r="C1308">
        <v>76.349999999999994</v>
      </c>
      <c r="D1308">
        <v>13.5001</v>
      </c>
      <c r="E1308">
        <v>16.349999999999994</v>
      </c>
      <c r="F1308">
        <v>76.349999999999994</v>
      </c>
      <c r="G1308">
        <v>13.5001</v>
      </c>
      <c r="H1308">
        <v>1.2</v>
      </c>
      <c r="I1308">
        <v>0.9</v>
      </c>
      <c r="J1308">
        <v>56.126477890366417</v>
      </c>
      <c r="K1308">
        <v>1500</v>
      </c>
      <c r="L1308">
        <v>0</v>
      </c>
      <c r="N1308">
        <v>29</v>
      </c>
      <c r="O1308" s="60" t="s">
        <v>2314</v>
      </c>
      <c r="P1308" t="s">
        <v>2001</v>
      </c>
      <c r="Q1308" t="s">
        <v>2393</v>
      </c>
    </row>
    <row r="1309" spans="1:17" x14ac:dyDescent="0.25">
      <c r="A1309" t="s">
        <v>19</v>
      </c>
      <c r="B1309">
        <v>16.349999999999994</v>
      </c>
      <c r="C1309">
        <v>76.349999999999994</v>
      </c>
      <c r="D1309">
        <v>13.5001</v>
      </c>
      <c r="E1309">
        <v>16.349999999999994</v>
      </c>
      <c r="F1309">
        <v>77.699999999999989</v>
      </c>
      <c r="G1309">
        <v>13.5001</v>
      </c>
      <c r="H1309">
        <v>1.2</v>
      </c>
      <c r="I1309">
        <v>0.9</v>
      </c>
      <c r="J1309">
        <v>0.60616596121595478</v>
      </c>
      <c r="K1309">
        <v>1500</v>
      </c>
      <c r="L1309">
        <v>0</v>
      </c>
      <c r="N1309">
        <v>29</v>
      </c>
      <c r="O1309" s="60" t="s">
        <v>2315</v>
      </c>
      <c r="P1309" t="s">
        <v>2003</v>
      </c>
      <c r="Q1309" t="s">
        <v>876</v>
      </c>
    </row>
    <row r="1310" spans="1:17" x14ac:dyDescent="0.25">
      <c r="A1310" t="s">
        <v>19</v>
      </c>
      <c r="B1310">
        <v>16.349999999999994</v>
      </c>
      <c r="C1310">
        <v>77.699999999999989</v>
      </c>
      <c r="D1310">
        <v>13.5001</v>
      </c>
      <c r="E1310">
        <v>141.35</v>
      </c>
      <c r="F1310">
        <v>77.699999999999989</v>
      </c>
      <c r="G1310">
        <v>13.5001</v>
      </c>
      <c r="H1310">
        <v>1.2</v>
      </c>
      <c r="I1310">
        <v>0.9</v>
      </c>
      <c r="J1310">
        <v>56.126477890366417</v>
      </c>
      <c r="K1310">
        <v>1500</v>
      </c>
      <c r="L1310">
        <v>0</v>
      </c>
      <c r="N1310">
        <v>29</v>
      </c>
      <c r="O1310" s="60" t="s">
        <v>2316</v>
      </c>
      <c r="P1310" t="s">
        <v>2005</v>
      </c>
      <c r="Q1310" t="s">
        <v>2394</v>
      </c>
    </row>
    <row r="1311" spans="1:17" x14ac:dyDescent="0.25">
      <c r="A1311" t="s">
        <v>19</v>
      </c>
      <c r="B1311">
        <v>141.35</v>
      </c>
      <c r="C1311">
        <v>77.699999999999989</v>
      </c>
      <c r="D1311">
        <v>13.5001</v>
      </c>
      <c r="E1311">
        <v>141.35</v>
      </c>
      <c r="F1311">
        <v>81.749999999999986</v>
      </c>
      <c r="G1311">
        <v>13.5001</v>
      </c>
      <c r="H1311">
        <v>1.2</v>
      </c>
      <c r="I1311">
        <v>0.9</v>
      </c>
      <c r="J1311">
        <v>1.8184978836478705</v>
      </c>
      <c r="K1311">
        <v>1500</v>
      </c>
      <c r="L1311">
        <v>0</v>
      </c>
      <c r="N1311">
        <v>29</v>
      </c>
      <c r="O1311" s="60" t="s">
        <v>2317</v>
      </c>
      <c r="P1311" t="s">
        <v>2007</v>
      </c>
      <c r="Q1311" t="s">
        <v>877</v>
      </c>
    </row>
    <row r="1312" spans="1:17" x14ac:dyDescent="0.25">
      <c r="A1312" t="s">
        <v>19</v>
      </c>
      <c r="B1312">
        <v>141.35</v>
      </c>
      <c r="C1312">
        <v>81.75</v>
      </c>
      <c r="D1312">
        <v>13.5001</v>
      </c>
      <c r="E1312">
        <v>16.349999999999994</v>
      </c>
      <c r="F1312">
        <v>81.75</v>
      </c>
      <c r="G1312">
        <v>13.5001</v>
      </c>
      <c r="H1312">
        <v>1.2</v>
      </c>
      <c r="I1312">
        <v>0.9</v>
      </c>
      <c r="J1312">
        <v>56.126477890366417</v>
      </c>
      <c r="K1312">
        <v>1500</v>
      </c>
      <c r="L1312">
        <v>0</v>
      </c>
      <c r="N1312">
        <v>29</v>
      </c>
      <c r="O1312" s="60" t="s">
        <v>1758</v>
      </c>
      <c r="P1312" t="s">
        <v>805</v>
      </c>
      <c r="Q1312" t="s">
        <v>2395</v>
      </c>
    </row>
    <row r="1313" spans="1:17" x14ac:dyDescent="0.25">
      <c r="A1313" t="s">
        <v>19</v>
      </c>
      <c r="B1313">
        <v>16.349999999999994</v>
      </c>
      <c r="C1313">
        <v>81.75</v>
      </c>
      <c r="D1313">
        <v>13.5001</v>
      </c>
      <c r="E1313">
        <v>16.349999999999994</v>
      </c>
      <c r="F1313">
        <v>83.1</v>
      </c>
      <c r="G1313">
        <v>13.5001</v>
      </c>
      <c r="H1313">
        <v>1.2</v>
      </c>
      <c r="I1313">
        <v>0.9</v>
      </c>
      <c r="J1313">
        <v>0.60616596121595478</v>
      </c>
      <c r="K1313">
        <v>1500</v>
      </c>
      <c r="L1313">
        <v>0</v>
      </c>
      <c r="N1313">
        <v>29</v>
      </c>
      <c r="O1313" s="60" t="s">
        <v>1759</v>
      </c>
      <c r="P1313" t="s">
        <v>806</v>
      </c>
      <c r="Q1313" t="s">
        <v>1024</v>
      </c>
    </row>
    <row r="1314" spans="1:17" x14ac:dyDescent="0.25">
      <c r="A1314" t="s">
        <v>19</v>
      </c>
      <c r="B1314">
        <v>16.349999999999994</v>
      </c>
      <c r="C1314">
        <v>83.1</v>
      </c>
      <c r="D1314">
        <v>13.5001</v>
      </c>
      <c r="E1314">
        <v>141.35</v>
      </c>
      <c r="F1314">
        <v>83.1</v>
      </c>
      <c r="G1314">
        <v>13.5001</v>
      </c>
      <c r="H1314">
        <v>1.2</v>
      </c>
      <c r="I1314">
        <v>0.9</v>
      </c>
      <c r="J1314">
        <v>56.126477890366417</v>
      </c>
      <c r="K1314">
        <v>1500</v>
      </c>
      <c r="L1314">
        <v>0</v>
      </c>
      <c r="N1314">
        <v>29</v>
      </c>
      <c r="O1314" s="60" t="s">
        <v>1760</v>
      </c>
      <c r="P1314" t="s">
        <v>826</v>
      </c>
      <c r="Q1314" t="s">
        <v>2394</v>
      </c>
    </row>
    <row r="1315" spans="1:17" x14ac:dyDescent="0.25">
      <c r="A1315" t="s">
        <v>19</v>
      </c>
      <c r="B1315">
        <v>141.35</v>
      </c>
      <c r="C1315">
        <v>83.1</v>
      </c>
      <c r="D1315">
        <v>13.5001</v>
      </c>
      <c r="E1315">
        <v>141.35</v>
      </c>
      <c r="F1315">
        <v>87.149999999999991</v>
      </c>
      <c r="G1315">
        <v>13.5001</v>
      </c>
      <c r="H1315">
        <v>1.2</v>
      </c>
      <c r="I1315">
        <v>0.9</v>
      </c>
      <c r="J1315">
        <v>1.8184978836478705</v>
      </c>
      <c r="K1315">
        <v>1500</v>
      </c>
      <c r="L1315">
        <v>0</v>
      </c>
      <c r="N1315">
        <v>29</v>
      </c>
      <c r="O1315" s="60" t="s">
        <v>1761</v>
      </c>
      <c r="P1315" t="s">
        <v>761</v>
      </c>
      <c r="Q1315" t="s">
        <v>1025</v>
      </c>
    </row>
    <row r="1316" spans="1:17" x14ac:dyDescent="0.25">
      <c r="A1316" t="s">
        <v>19</v>
      </c>
      <c r="B1316">
        <v>141.35</v>
      </c>
      <c r="C1316">
        <v>87.149999999999991</v>
      </c>
      <c r="D1316">
        <v>13.5001</v>
      </c>
      <c r="E1316">
        <v>16.349999999999994</v>
      </c>
      <c r="F1316">
        <v>87.149999999999991</v>
      </c>
      <c r="G1316">
        <v>13.5001</v>
      </c>
      <c r="H1316">
        <v>1.2</v>
      </c>
      <c r="I1316">
        <v>0.9</v>
      </c>
      <c r="J1316">
        <v>56.126477890366417</v>
      </c>
      <c r="K1316">
        <v>1500</v>
      </c>
      <c r="L1316">
        <v>0</v>
      </c>
      <c r="N1316">
        <v>29</v>
      </c>
      <c r="O1316" s="60" t="s">
        <v>1762</v>
      </c>
      <c r="P1316" t="s">
        <v>805</v>
      </c>
      <c r="Q1316" t="s">
        <v>2395</v>
      </c>
    </row>
    <row r="1317" spans="1:17" x14ac:dyDescent="0.25">
      <c r="A1317" t="s">
        <v>19</v>
      </c>
      <c r="B1317">
        <v>16.349999999999994</v>
      </c>
      <c r="C1317">
        <v>87.149999999999991</v>
      </c>
      <c r="D1317">
        <v>13.5001</v>
      </c>
      <c r="E1317">
        <v>16.349999999999994</v>
      </c>
      <c r="F1317">
        <v>88.499999999999986</v>
      </c>
      <c r="G1317">
        <v>13.5001</v>
      </c>
      <c r="H1317">
        <v>1.2</v>
      </c>
      <c r="I1317">
        <v>0.9</v>
      </c>
      <c r="J1317">
        <v>0.60616596121595478</v>
      </c>
      <c r="K1317">
        <v>1500</v>
      </c>
      <c r="L1317">
        <v>0</v>
      </c>
      <c r="N1317">
        <v>29</v>
      </c>
      <c r="O1317" s="60" t="s">
        <v>1763</v>
      </c>
      <c r="P1317" t="s">
        <v>806</v>
      </c>
      <c r="Q1317" t="s">
        <v>1026</v>
      </c>
    </row>
    <row r="1318" spans="1:17" x14ac:dyDescent="0.25">
      <c r="A1318" t="s">
        <v>19</v>
      </c>
      <c r="B1318">
        <v>16.349999999999994</v>
      </c>
      <c r="C1318">
        <v>88.499999999999986</v>
      </c>
      <c r="D1318">
        <v>13.5001</v>
      </c>
      <c r="E1318">
        <v>141.35</v>
      </c>
      <c r="F1318">
        <v>88.499999999999986</v>
      </c>
      <c r="G1318">
        <v>13.5001</v>
      </c>
      <c r="H1318">
        <v>1.2</v>
      </c>
      <c r="I1318">
        <v>0.9</v>
      </c>
      <c r="J1318">
        <v>56.126477890366417</v>
      </c>
      <c r="K1318">
        <v>1500</v>
      </c>
      <c r="L1318">
        <v>0</v>
      </c>
      <c r="N1318">
        <v>29</v>
      </c>
      <c r="O1318" s="60" t="s">
        <v>1764</v>
      </c>
      <c r="P1318" t="s">
        <v>826</v>
      </c>
      <c r="Q1318" t="s">
        <v>2394</v>
      </c>
    </row>
    <row r="1319" spans="1:17" x14ac:dyDescent="0.25">
      <c r="A1319" t="s">
        <v>19</v>
      </c>
      <c r="B1319">
        <v>141.35</v>
      </c>
      <c r="C1319">
        <v>88.499999999999986</v>
      </c>
      <c r="D1319">
        <v>13.5001</v>
      </c>
      <c r="E1319">
        <v>141.35</v>
      </c>
      <c r="F1319">
        <v>92.549999999999983</v>
      </c>
      <c r="G1319">
        <v>13.5001</v>
      </c>
      <c r="H1319">
        <v>1.2</v>
      </c>
      <c r="I1319">
        <v>0.9</v>
      </c>
      <c r="J1319">
        <v>1.8184978836478705</v>
      </c>
      <c r="K1319">
        <v>1500</v>
      </c>
      <c r="L1319">
        <v>0</v>
      </c>
      <c r="N1319">
        <v>29</v>
      </c>
      <c r="O1319" s="60" t="s">
        <v>1765</v>
      </c>
      <c r="P1319" t="s">
        <v>761</v>
      </c>
      <c r="Q1319" t="s">
        <v>1027</v>
      </c>
    </row>
    <row r="1320" spans="1:17" x14ac:dyDescent="0.25">
      <c r="A1320" t="s">
        <v>19</v>
      </c>
      <c r="B1320">
        <v>141.35</v>
      </c>
      <c r="C1320">
        <v>92.55</v>
      </c>
      <c r="D1320">
        <v>13.5001</v>
      </c>
      <c r="E1320">
        <v>16.349999999999994</v>
      </c>
      <c r="F1320">
        <v>92.55</v>
      </c>
      <c r="G1320">
        <v>13.5001</v>
      </c>
      <c r="H1320">
        <v>1.2</v>
      </c>
      <c r="I1320">
        <v>0.9</v>
      </c>
      <c r="J1320">
        <v>56.126477890366417</v>
      </c>
      <c r="K1320">
        <v>1500</v>
      </c>
      <c r="L1320">
        <v>0</v>
      </c>
      <c r="N1320">
        <v>29</v>
      </c>
      <c r="O1320" s="60" t="s">
        <v>1766</v>
      </c>
      <c r="P1320" t="s">
        <v>805</v>
      </c>
      <c r="Q1320" t="s">
        <v>2395</v>
      </c>
    </row>
    <row r="1321" spans="1:17" x14ac:dyDescent="0.25">
      <c r="A1321" t="s">
        <v>19</v>
      </c>
      <c r="B1321">
        <v>16.349999999999994</v>
      </c>
      <c r="C1321">
        <v>92.55</v>
      </c>
      <c r="D1321">
        <v>13.5001</v>
      </c>
      <c r="E1321">
        <v>16.349999999999994</v>
      </c>
      <c r="F1321">
        <v>93.899999999999991</v>
      </c>
      <c r="G1321">
        <v>13.5001</v>
      </c>
      <c r="H1321">
        <v>1.2</v>
      </c>
      <c r="I1321">
        <v>0.9</v>
      </c>
      <c r="J1321">
        <v>0.60616596121595478</v>
      </c>
      <c r="K1321">
        <v>1500</v>
      </c>
      <c r="L1321">
        <v>0</v>
      </c>
      <c r="N1321">
        <v>29</v>
      </c>
      <c r="O1321" s="60" t="s">
        <v>1767</v>
      </c>
      <c r="P1321" t="s">
        <v>806</v>
      </c>
      <c r="Q1321" t="s">
        <v>1028</v>
      </c>
    </row>
    <row r="1322" spans="1:17" x14ac:dyDescent="0.25">
      <c r="A1322" t="s">
        <v>19</v>
      </c>
      <c r="B1322">
        <v>16.349999999999994</v>
      </c>
      <c r="C1322">
        <v>93.899999999999991</v>
      </c>
      <c r="D1322">
        <v>13.5001</v>
      </c>
      <c r="E1322">
        <v>141.35</v>
      </c>
      <c r="F1322">
        <v>93.899999999999991</v>
      </c>
      <c r="G1322">
        <v>13.5001</v>
      </c>
      <c r="H1322">
        <v>1.2</v>
      </c>
      <c r="I1322">
        <v>0.9</v>
      </c>
      <c r="J1322">
        <v>56.126477890366417</v>
      </c>
      <c r="K1322">
        <v>1500</v>
      </c>
      <c r="L1322">
        <v>0</v>
      </c>
      <c r="N1322">
        <v>29</v>
      </c>
      <c r="O1322" s="60" t="s">
        <v>1768</v>
      </c>
      <c r="P1322" t="s">
        <v>826</v>
      </c>
      <c r="Q1322" t="s">
        <v>2394</v>
      </c>
    </row>
    <row r="1323" spans="1:17" x14ac:dyDescent="0.25">
      <c r="A1323" t="s">
        <v>19</v>
      </c>
      <c r="B1323">
        <v>141.35</v>
      </c>
      <c r="C1323">
        <v>93.899999999999991</v>
      </c>
      <c r="D1323">
        <v>13.5001</v>
      </c>
      <c r="E1323">
        <v>141.35</v>
      </c>
      <c r="F1323">
        <v>97.949999999999989</v>
      </c>
      <c r="G1323">
        <v>13.5001</v>
      </c>
      <c r="H1323">
        <v>1.2</v>
      </c>
      <c r="I1323">
        <v>0.9</v>
      </c>
      <c r="J1323">
        <v>1.8184978836478705</v>
      </c>
      <c r="K1323">
        <v>1500</v>
      </c>
      <c r="L1323">
        <v>0</v>
      </c>
      <c r="N1323">
        <v>29</v>
      </c>
      <c r="O1323" s="60" t="s">
        <v>1769</v>
      </c>
      <c r="P1323" t="s">
        <v>761</v>
      </c>
      <c r="Q1323" t="s">
        <v>1029</v>
      </c>
    </row>
    <row r="1324" spans="1:17" x14ac:dyDescent="0.25">
      <c r="A1324" t="s">
        <v>19</v>
      </c>
      <c r="B1324">
        <v>141.35</v>
      </c>
      <c r="C1324">
        <v>97.949999999999989</v>
      </c>
      <c r="D1324">
        <v>13.5001</v>
      </c>
      <c r="E1324">
        <v>16.349999999999994</v>
      </c>
      <c r="F1324">
        <v>97.949999999999989</v>
      </c>
      <c r="G1324">
        <v>13.5001</v>
      </c>
      <c r="H1324">
        <v>1.2</v>
      </c>
      <c r="I1324">
        <v>0.9</v>
      </c>
      <c r="J1324">
        <v>56.126477890366417</v>
      </c>
      <c r="K1324">
        <v>1500</v>
      </c>
      <c r="L1324">
        <v>0</v>
      </c>
      <c r="N1324">
        <v>29</v>
      </c>
      <c r="O1324" s="60" t="s">
        <v>1770</v>
      </c>
      <c r="P1324" t="s">
        <v>805</v>
      </c>
      <c r="Q1324" t="s">
        <v>2395</v>
      </c>
    </row>
    <row r="1325" spans="1:17" x14ac:dyDescent="0.25">
      <c r="A1325" t="s">
        <v>19</v>
      </c>
      <c r="B1325">
        <v>16.349999999999994</v>
      </c>
      <c r="C1325">
        <v>97.949999999999989</v>
      </c>
      <c r="D1325">
        <v>13.5001</v>
      </c>
      <c r="E1325">
        <v>16.349999999999994</v>
      </c>
      <c r="F1325">
        <v>99.299999999999983</v>
      </c>
      <c r="G1325">
        <v>13.5001</v>
      </c>
      <c r="H1325">
        <v>1.2</v>
      </c>
      <c r="I1325">
        <v>0.9</v>
      </c>
      <c r="J1325">
        <v>0.60616596121595478</v>
      </c>
      <c r="K1325">
        <v>1500</v>
      </c>
      <c r="L1325">
        <v>0</v>
      </c>
      <c r="N1325">
        <v>29</v>
      </c>
      <c r="O1325" s="60" t="s">
        <v>1771</v>
      </c>
      <c r="P1325" t="s">
        <v>806</v>
      </c>
      <c r="Q1325" t="s">
        <v>1030</v>
      </c>
    </row>
    <row r="1326" spans="1:17" x14ac:dyDescent="0.25">
      <c r="A1326" t="s">
        <v>19</v>
      </c>
      <c r="B1326">
        <v>16.349999999999994</v>
      </c>
      <c r="C1326">
        <v>99.299999999999983</v>
      </c>
      <c r="D1326">
        <v>13.5001</v>
      </c>
      <c r="E1326">
        <v>141.35</v>
      </c>
      <c r="F1326">
        <v>99.299999999999983</v>
      </c>
      <c r="G1326">
        <v>13.5001</v>
      </c>
      <c r="H1326">
        <v>1.2</v>
      </c>
      <c r="I1326">
        <v>0.9</v>
      </c>
      <c r="J1326">
        <v>56.126477890366417</v>
      </c>
      <c r="K1326">
        <v>1500</v>
      </c>
      <c r="L1326">
        <v>0</v>
      </c>
      <c r="N1326">
        <v>29</v>
      </c>
      <c r="O1326" s="60" t="s">
        <v>1772</v>
      </c>
      <c r="P1326" t="s">
        <v>826</v>
      </c>
      <c r="Q1326" t="s">
        <v>2394</v>
      </c>
    </row>
    <row r="1327" spans="1:17" x14ac:dyDescent="0.25">
      <c r="A1327" t="s">
        <v>19</v>
      </c>
      <c r="B1327">
        <v>141.35</v>
      </c>
      <c r="C1327">
        <v>99.299999999999983</v>
      </c>
      <c r="D1327">
        <v>13.5001</v>
      </c>
      <c r="E1327">
        <v>141.35</v>
      </c>
      <c r="F1327">
        <v>103.35</v>
      </c>
      <c r="G1327">
        <v>13.5001</v>
      </c>
      <c r="H1327">
        <v>1.2</v>
      </c>
      <c r="I1327">
        <v>0.9</v>
      </c>
      <c r="J1327">
        <v>1.8184978836478705</v>
      </c>
      <c r="K1327">
        <v>1500</v>
      </c>
      <c r="L1327">
        <v>0</v>
      </c>
      <c r="N1327">
        <v>29</v>
      </c>
      <c r="O1327" s="60" t="s">
        <v>1773</v>
      </c>
      <c r="P1327" t="s">
        <v>761</v>
      </c>
      <c r="Q1327" t="s">
        <v>1031</v>
      </c>
    </row>
    <row r="1328" spans="1:17" x14ac:dyDescent="0.25">
      <c r="A1328" t="s">
        <v>19</v>
      </c>
      <c r="B1328">
        <v>141.35</v>
      </c>
      <c r="C1328">
        <v>103.35</v>
      </c>
      <c r="D1328">
        <v>13.5001</v>
      </c>
      <c r="E1328">
        <v>16.349999999999994</v>
      </c>
      <c r="F1328">
        <v>103.35</v>
      </c>
      <c r="G1328">
        <v>13.5001</v>
      </c>
      <c r="H1328">
        <v>1.2</v>
      </c>
      <c r="I1328">
        <v>0.9</v>
      </c>
      <c r="J1328">
        <v>56.126477890366417</v>
      </c>
      <c r="K1328">
        <v>1500</v>
      </c>
      <c r="L1328">
        <v>0</v>
      </c>
      <c r="N1328">
        <v>29</v>
      </c>
      <c r="O1328" s="60" t="s">
        <v>1774</v>
      </c>
      <c r="P1328" t="s">
        <v>805</v>
      </c>
      <c r="Q1328" t="s">
        <v>2395</v>
      </c>
    </row>
    <row r="1329" spans="1:17" x14ac:dyDescent="0.25">
      <c r="A1329" t="s">
        <v>19</v>
      </c>
      <c r="B1329">
        <v>16.349999999999994</v>
      </c>
      <c r="C1329">
        <v>103.35</v>
      </c>
      <c r="D1329">
        <v>13.5001</v>
      </c>
      <c r="E1329">
        <v>16.349999999999994</v>
      </c>
      <c r="F1329">
        <v>104.69999999999999</v>
      </c>
      <c r="G1329">
        <v>13.5001</v>
      </c>
      <c r="H1329">
        <v>1.2</v>
      </c>
      <c r="I1329">
        <v>0.9</v>
      </c>
      <c r="J1329">
        <v>0.60616596121595478</v>
      </c>
      <c r="K1329">
        <v>1500</v>
      </c>
      <c r="L1329">
        <v>0</v>
      </c>
      <c r="N1329">
        <v>29</v>
      </c>
      <c r="O1329" s="60" t="s">
        <v>1775</v>
      </c>
      <c r="P1329" t="s">
        <v>806</v>
      </c>
      <c r="Q1329" t="s">
        <v>1032</v>
      </c>
    </row>
    <row r="1330" spans="1:17" x14ac:dyDescent="0.25">
      <c r="A1330" t="s">
        <v>19</v>
      </c>
      <c r="B1330">
        <v>16.349999999999994</v>
      </c>
      <c r="C1330">
        <v>104.69999999999999</v>
      </c>
      <c r="D1330">
        <v>13.5001</v>
      </c>
      <c r="E1330">
        <v>141.35</v>
      </c>
      <c r="F1330">
        <v>104.69999999999999</v>
      </c>
      <c r="G1330">
        <v>13.5001</v>
      </c>
      <c r="H1330">
        <v>1.2</v>
      </c>
      <c r="I1330">
        <v>0.9</v>
      </c>
      <c r="J1330">
        <v>56.126477890366417</v>
      </c>
      <c r="K1330">
        <v>1500</v>
      </c>
      <c r="L1330">
        <v>0</v>
      </c>
      <c r="N1330">
        <v>29</v>
      </c>
      <c r="O1330" s="60" t="s">
        <v>1776</v>
      </c>
      <c r="P1330" t="s">
        <v>826</v>
      </c>
      <c r="Q1330" t="s">
        <v>2394</v>
      </c>
    </row>
    <row r="1331" spans="1:17" x14ac:dyDescent="0.25">
      <c r="A1331" t="s">
        <v>19</v>
      </c>
      <c r="B1331">
        <v>141.35</v>
      </c>
      <c r="C1331">
        <v>104.69999999999999</v>
      </c>
      <c r="D1331">
        <v>13.5001</v>
      </c>
      <c r="E1331">
        <v>141.35</v>
      </c>
      <c r="F1331">
        <v>108.74999999999999</v>
      </c>
      <c r="G1331">
        <v>13.5001</v>
      </c>
      <c r="H1331">
        <v>1.2</v>
      </c>
      <c r="I1331">
        <v>0.9</v>
      </c>
      <c r="J1331">
        <v>1.8184978836478705</v>
      </c>
      <c r="K1331">
        <v>1500</v>
      </c>
      <c r="L1331">
        <v>0</v>
      </c>
      <c r="N1331">
        <v>29</v>
      </c>
      <c r="O1331" s="60" t="s">
        <v>1777</v>
      </c>
      <c r="P1331" t="s">
        <v>761</v>
      </c>
      <c r="Q1331" t="s">
        <v>1033</v>
      </c>
    </row>
    <row r="1332" spans="1:17" x14ac:dyDescent="0.25">
      <c r="A1332" t="s">
        <v>19</v>
      </c>
      <c r="B1332">
        <v>141.35</v>
      </c>
      <c r="C1332">
        <v>108.75</v>
      </c>
      <c r="D1332">
        <v>13.5001</v>
      </c>
      <c r="E1332">
        <v>16.349999999999994</v>
      </c>
      <c r="F1332">
        <v>108.75</v>
      </c>
      <c r="G1332">
        <v>13.5001</v>
      </c>
      <c r="H1332">
        <v>1.2</v>
      </c>
      <c r="I1332">
        <v>0.9</v>
      </c>
      <c r="J1332">
        <v>56.126477890366417</v>
      </c>
      <c r="K1332">
        <v>1500</v>
      </c>
      <c r="L1332">
        <v>0</v>
      </c>
      <c r="N1332">
        <v>29</v>
      </c>
      <c r="O1332" s="60" t="s">
        <v>1778</v>
      </c>
      <c r="P1332" t="s">
        <v>805</v>
      </c>
      <c r="Q1332" t="s">
        <v>2395</v>
      </c>
    </row>
    <row r="1333" spans="1:17" x14ac:dyDescent="0.25">
      <c r="A1333" t="s">
        <v>19</v>
      </c>
      <c r="B1333">
        <v>16.349999999999994</v>
      </c>
      <c r="C1333">
        <v>108.75</v>
      </c>
      <c r="D1333">
        <v>13.5001</v>
      </c>
      <c r="E1333">
        <v>16.349999999999994</v>
      </c>
      <c r="F1333">
        <v>110.1</v>
      </c>
      <c r="G1333">
        <v>13.5001</v>
      </c>
      <c r="H1333">
        <v>1.2</v>
      </c>
      <c r="I1333">
        <v>0.9</v>
      </c>
      <c r="J1333">
        <v>0.60616596121595478</v>
      </c>
      <c r="K1333">
        <v>1500</v>
      </c>
      <c r="L1333">
        <v>0</v>
      </c>
      <c r="N1333">
        <v>29</v>
      </c>
      <c r="O1333" s="60" t="s">
        <v>1779</v>
      </c>
      <c r="P1333" t="s">
        <v>806</v>
      </c>
      <c r="Q1333" t="s">
        <v>1034</v>
      </c>
    </row>
    <row r="1334" spans="1:17" x14ac:dyDescent="0.25">
      <c r="A1334" t="s">
        <v>19</v>
      </c>
      <c r="B1334">
        <v>16.349999999999994</v>
      </c>
      <c r="C1334">
        <v>110.1</v>
      </c>
      <c r="D1334">
        <v>13.5001</v>
      </c>
      <c r="E1334">
        <v>141.35</v>
      </c>
      <c r="F1334">
        <v>110.1</v>
      </c>
      <c r="G1334">
        <v>13.5001</v>
      </c>
      <c r="H1334">
        <v>1.2</v>
      </c>
      <c r="I1334">
        <v>0.9</v>
      </c>
      <c r="J1334">
        <v>56.126477890366417</v>
      </c>
      <c r="K1334">
        <v>1500</v>
      </c>
      <c r="L1334">
        <v>0</v>
      </c>
      <c r="N1334">
        <v>29</v>
      </c>
      <c r="O1334" s="60" t="s">
        <v>1780</v>
      </c>
      <c r="P1334" t="s">
        <v>826</v>
      </c>
      <c r="Q1334" t="s">
        <v>2394</v>
      </c>
    </row>
    <row r="1335" spans="1:17" x14ac:dyDescent="0.25">
      <c r="A1335" t="s">
        <v>19</v>
      </c>
      <c r="B1335">
        <v>141.35</v>
      </c>
      <c r="C1335">
        <v>110.1</v>
      </c>
      <c r="D1335">
        <v>13.5001</v>
      </c>
      <c r="E1335">
        <v>141.35</v>
      </c>
      <c r="F1335">
        <v>114.14999999999999</v>
      </c>
      <c r="G1335">
        <v>13.5001</v>
      </c>
      <c r="H1335">
        <v>1.2</v>
      </c>
      <c r="I1335">
        <v>0.9</v>
      </c>
      <c r="J1335">
        <v>1.8184978836478705</v>
      </c>
      <c r="K1335">
        <v>1500</v>
      </c>
      <c r="L1335">
        <v>0</v>
      </c>
      <c r="N1335">
        <v>29</v>
      </c>
      <c r="O1335" s="60" t="s">
        <v>1781</v>
      </c>
      <c r="P1335" t="s">
        <v>761</v>
      </c>
      <c r="Q1335" t="s">
        <v>1035</v>
      </c>
    </row>
    <row r="1336" spans="1:17" x14ac:dyDescent="0.25">
      <c r="A1336" t="s">
        <v>19</v>
      </c>
      <c r="B1336">
        <v>141.35</v>
      </c>
      <c r="C1336">
        <v>114.14999999999999</v>
      </c>
      <c r="D1336">
        <v>13.5001</v>
      </c>
      <c r="E1336">
        <v>16.349999999999994</v>
      </c>
      <c r="F1336">
        <v>114.14999999999999</v>
      </c>
      <c r="G1336">
        <v>13.5001</v>
      </c>
      <c r="H1336">
        <v>1.2</v>
      </c>
      <c r="I1336">
        <v>0.9</v>
      </c>
      <c r="J1336">
        <v>56.126477890366417</v>
      </c>
      <c r="K1336">
        <v>1500</v>
      </c>
      <c r="L1336">
        <v>0</v>
      </c>
      <c r="N1336">
        <v>29</v>
      </c>
      <c r="O1336" s="60" t="s">
        <v>1782</v>
      </c>
      <c r="P1336" t="s">
        <v>805</v>
      </c>
      <c r="Q1336" t="s">
        <v>2395</v>
      </c>
    </row>
    <row r="1337" spans="1:17" x14ac:dyDescent="0.25">
      <c r="A1337" t="s">
        <v>19</v>
      </c>
      <c r="B1337">
        <v>16.349999999999994</v>
      </c>
      <c r="C1337">
        <v>114.14999999999999</v>
      </c>
      <c r="D1337">
        <v>13.5001</v>
      </c>
      <c r="E1337">
        <v>16.349999999999994</v>
      </c>
      <c r="F1337">
        <v>115.49999999999999</v>
      </c>
      <c r="G1337">
        <v>13.5001</v>
      </c>
      <c r="H1337">
        <v>1.2</v>
      </c>
      <c r="I1337">
        <v>0.9</v>
      </c>
      <c r="J1337">
        <v>0.60616596121595478</v>
      </c>
      <c r="K1337">
        <v>1500</v>
      </c>
      <c r="L1337">
        <v>0</v>
      </c>
      <c r="N1337">
        <v>29</v>
      </c>
      <c r="O1337" s="60" t="s">
        <v>1783</v>
      </c>
      <c r="P1337" t="s">
        <v>806</v>
      </c>
      <c r="Q1337" t="s">
        <v>1036</v>
      </c>
    </row>
    <row r="1338" spans="1:17" x14ac:dyDescent="0.25">
      <c r="A1338" t="s">
        <v>19</v>
      </c>
      <c r="B1338">
        <v>16.349999999999994</v>
      </c>
      <c r="C1338">
        <v>115.49999999999999</v>
      </c>
      <c r="D1338">
        <v>13.5001</v>
      </c>
      <c r="E1338">
        <v>141.35</v>
      </c>
      <c r="F1338">
        <v>115.49999999999999</v>
      </c>
      <c r="G1338">
        <v>13.5001</v>
      </c>
      <c r="H1338">
        <v>1.2</v>
      </c>
      <c r="I1338">
        <v>0.9</v>
      </c>
      <c r="J1338">
        <v>56.126477890366417</v>
      </c>
      <c r="K1338">
        <v>1500</v>
      </c>
      <c r="L1338">
        <v>0</v>
      </c>
      <c r="N1338">
        <v>29</v>
      </c>
      <c r="O1338" s="60" t="s">
        <v>1784</v>
      </c>
      <c r="P1338" t="s">
        <v>826</v>
      </c>
      <c r="Q1338" t="s">
        <v>2394</v>
      </c>
    </row>
    <row r="1339" spans="1:17" x14ac:dyDescent="0.25">
      <c r="A1339" t="s">
        <v>19</v>
      </c>
      <c r="B1339">
        <v>141.35</v>
      </c>
      <c r="C1339">
        <v>115.49999999999999</v>
      </c>
      <c r="D1339">
        <v>13.5001</v>
      </c>
      <c r="E1339">
        <v>141.35</v>
      </c>
      <c r="F1339">
        <v>119.54999999999998</v>
      </c>
      <c r="G1339">
        <v>13.5001</v>
      </c>
      <c r="H1339">
        <v>1.2</v>
      </c>
      <c r="I1339">
        <v>0.9</v>
      </c>
      <c r="J1339">
        <v>1.8184978836478705</v>
      </c>
      <c r="K1339">
        <v>1500</v>
      </c>
      <c r="L1339">
        <v>0</v>
      </c>
      <c r="N1339">
        <v>29</v>
      </c>
      <c r="O1339" s="60" t="s">
        <v>1785</v>
      </c>
      <c r="P1339" t="s">
        <v>761</v>
      </c>
      <c r="Q1339" t="s">
        <v>1037</v>
      </c>
    </row>
    <row r="1340" spans="1:17" x14ac:dyDescent="0.25">
      <c r="A1340" t="s">
        <v>19</v>
      </c>
      <c r="B1340">
        <v>141.35</v>
      </c>
      <c r="C1340">
        <v>119.55</v>
      </c>
      <c r="D1340">
        <v>13.5001</v>
      </c>
      <c r="E1340">
        <v>16.349999999999994</v>
      </c>
      <c r="F1340">
        <v>119.55</v>
      </c>
      <c r="G1340">
        <v>13.5001</v>
      </c>
      <c r="H1340">
        <v>1.2</v>
      </c>
      <c r="I1340">
        <v>0.9</v>
      </c>
      <c r="J1340">
        <v>56.126477890366417</v>
      </c>
      <c r="K1340">
        <v>1500</v>
      </c>
      <c r="L1340">
        <v>0</v>
      </c>
      <c r="N1340">
        <v>29</v>
      </c>
      <c r="O1340" s="60" t="s">
        <v>2318</v>
      </c>
      <c r="P1340" t="s">
        <v>805</v>
      </c>
      <c r="Q1340" t="s">
        <v>2395</v>
      </c>
    </row>
    <row r="1341" spans="1:17" x14ac:dyDescent="0.25">
      <c r="A1341" t="s">
        <v>19</v>
      </c>
      <c r="B1341">
        <v>16.349999999999994</v>
      </c>
      <c r="C1341">
        <v>119.55</v>
      </c>
      <c r="D1341">
        <v>13.5001</v>
      </c>
      <c r="E1341">
        <v>16.349999999999994</v>
      </c>
      <c r="F1341">
        <v>120.89999999999999</v>
      </c>
      <c r="G1341">
        <v>13.5001</v>
      </c>
      <c r="H1341">
        <v>1.2</v>
      </c>
      <c r="I1341">
        <v>0.9</v>
      </c>
      <c r="J1341">
        <v>0.60616596121595478</v>
      </c>
      <c r="K1341">
        <v>1500</v>
      </c>
      <c r="L1341">
        <v>0</v>
      </c>
      <c r="N1341">
        <v>29</v>
      </c>
      <c r="O1341" s="60" t="s">
        <v>2319</v>
      </c>
      <c r="P1341" t="s">
        <v>806</v>
      </c>
      <c r="Q1341" t="s">
        <v>1935</v>
      </c>
    </row>
    <row r="1342" spans="1:17" x14ac:dyDescent="0.25">
      <c r="A1342" t="s">
        <v>19</v>
      </c>
      <c r="B1342">
        <v>16.349999999999994</v>
      </c>
      <c r="C1342">
        <v>120.89999999999999</v>
      </c>
      <c r="D1342">
        <v>13.5001</v>
      </c>
      <c r="E1342">
        <v>141.35</v>
      </c>
      <c r="F1342">
        <v>120.89999999999999</v>
      </c>
      <c r="G1342">
        <v>13.5001</v>
      </c>
      <c r="H1342">
        <v>1.2</v>
      </c>
      <c r="I1342">
        <v>0.9</v>
      </c>
      <c r="J1342">
        <v>56.126477890366417</v>
      </c>
      <c r="K1342">
        <v>1500</v>
      </c>
      <c r="L1342">
        <v>0</v>
      </c>
      <c r="N1342">
        <v>29</v>
      </c>
      <c r="O1342" s="60" t="s">
        <v>2320</v>
      </c>
      <c r="P1342" t="s">
        <v>826</v>
      </c>
      <c r="Q1342" t="s">
        <v>2394</v>
      </c>
    </row>
    <row r="1343" spans="1:17" x14ac:dyDescent="0.25">
      <c r="A1343" t="s">
        <v>19</v>
      </c>
      <c r="B1343">
        <v>141.35</v>
      </c>
      <c r="C1343">
        <v>120.89999999999999</v>
      </c>
      <c r="D1343">
        <v>13.5001</v>
      </c>
      <c r="E1343">
        <v>141.35</v>
      </c>
      <c r="F1343">
        <v>124.94999999999999</v>
      </c>
      <c r="G1343">
        <v>13.5001</v>
      </c>
      <c r="H1343">
        <v>1.2</v>
      </c>
      <c r="I1343">
        <v>0.9</v>
      </c>
      <c r="J1343">
        <v>1.8184978836478705</v>
      </c>
      <c r="K1343">
        <v>1500</v>
      </c>
      <c r="L1343">
        <v>0</v>
      </c>
      <c r="N1343">
        <v>29</v>
      </c>
      <c r="O1343" s="60" t="s">
        <v>2321</v>
      </c>
      <c r="P1343" t="s">
        <v>761</v>
      </c>
      <c r="Q1343" t="s">
        <v>1938</v>
      </c>
    </row>
    <row r="1344" spans="1:17" x14ac:dyDescent="0.25">
      <c r="A1344" t="s">
        <v>19</v>
      </c>
      <c r="B1344">
        <v>141.35</v>
      </c>
      <c r="C1344">
        <v>124.95</v>
      </c>
      <c r="D1344">
        <v>13.5001</v>
      </c>
      <c r="E1344">
        <v>16.349999999999994</v>
      </c>
      <c r="F1344">
        <v>124.95</v>
      </c>
      <c r="G1344">
        <v>13.5001</v>
      </c>
      <c r="H1344">
        <v>1.2</v>
      </c>
      <c r="I1344">
        <v>0.9</v>
      </c>
      <c r="J1344">
        <v>56.126477890366417</v>
      </c>
      <c r="K1344">
        <v>1500</v>
      </c>
      <c r="L1344">
        <v>0</v>
      </c>
      <c r="N1344">
        <v>29</v>
      </c>
      <c r="O1344" s="60" t="s">
        <v>2322</v>
      </c>
      <c r="P1344" t="s">
        <v>805</v>
      </c>
      <c r="Q1344" t="s">
        <v>2395</v>
      </c>
    </row>
    <row r="1345" spans="1:17" x14ac:dyDescent="0.25">
      <c r="A1345" t="s">
        <v>19</v>
      </c>
      <c r="B1345">
        <v>16.349999999999994</v>
      </c>
      <c r="C1345">
        <v>124.95</v>
      </c>
      <c r="D1345">
        <v>13.5001</v>
      </c>
      <c r="E1345">
        <v>16.349999999999994</v>
      </c>
      <c r="F1345">
        <v>126.3</v>
      </c>
      <c r="G1345">
        <v>13.5001</v>
      </c>
      <c r="H1345">
        <v>1.2</v>
      </c>
      <c r="I1345">
        <v>0.9</v>
      </c>
      <c r="J1345">
        <v>0.60616596121595478</v>
      </c>
      <c r="K1345">
        <v>1500</v>
      </c>
      <c r="L1345">
        <v>0</v>
      </c>
      <c r="N1345">
        <v>29</v>
      </c>
      <c r="O1345" s="60" t="s">
        <v>2323</v>
      </c>
      <c r="P1345" t="s">
        <v>806</v>
      </c>
      <c r="Q1345" t="s">
        <v>1941</v>
      </c>
    </row>
    <row r="1346" spans="1:17" x14ac:dyDescent="0.25">
      <c r="A1346" t="s">
        <v>19</v>
      </c>
      <c r="B1346">
        <v>16.349999999999994</v>
      </c>
      <c r="C1346">
        <v>126.3</v>
      </c>
      <c r="D1346">
        <v>13.5001</v>
      </c>
      <c r="E1346">
        <v>141.35</v>
      </c>
      <c r="F1346">
        <v>126.3</v>
      </c>
      <c r="G1346">
        <v>13.5001</v>
      </c>
      <c r="H1346">
        <v>1.2</v>
      </c>
      <c r="I1346">
        <v>0.9</v>
      </c>
      <c r="J1346">
        <v>56.126477890366417</v>
      </c>
      <c r="K1346">
        <v>1500</v>
      </c>
      <c r="L1346">
        <v>0</v>
      </c>
      <c r="N1346">
        <v>29</v>
      </c>
      <c r="O1346" s="60" t="s">
        <v>2324</v>
      </c>
      <c r="P1346" t="s">
        <v>826</v>
      </c>
      <c r="Q1346" t="s">
        <v>2394</v>
      </c>
    </row>
    <row r="1347" spans="1:17" x14ac:dyDescent="0.25">
      <c r="A1347" t="s">
        <v>19</v>
      </c>
      <c r="B1347">
        <v>141.35</v>
      </c>
      <c r="C1347">
        <v>126.3</v>
      </c>
      <c r="D1347">
        <v>13.5001</v>
      </c>
      <c r="E1347">
        <v>141.35</v>
      </c>
      <c r="F1347">
        <v>130.35</v>
      </c>
      <c r="G1347">
        <v>13.5001</v>
      </c>
      <c r="H1347">
        <v>1.2</v>
      </c>
      <c r="I1347">
        <v>0.9</v>
      </c>
      <c r="J1347">
        <v>1.8184978836478705</v>
      </c>
      <c r="K1347">
        <v>1500</v>
      </c>
      <c r="L1347">
        <v>0</v>
      </c>
      <c r="N1347">
        <v>29</v>
      </c>
      <c r="O1347" s="60" t="s">
        <v>2325</v>
      </c>
      <c r="P1347" t="s">
        <v>761</v>
      </c>
      <c r="Q1347" t="s">
        <v>1944</v>
      </c>
    </row>
    <row r="1348" spans="1:17" x14ac:dyDescent="0.25">
      <c r="A1348" t="s">
        <v>49</v>
      </c>
      <c r="B1348" t="s">
        <v>811</v>
      </c>
      <c r="N1348">
        <v>29</v>
      </c>
      <c r="O1348" s="60" t="s">
        <v>982</v>
      </c>
      <c r="P1348" t="s">
        <v>759</v>
      </c>
      <c r="Q1348" t="s">
        <v>811</v>
      </c>
    </row>
    <row r="1349" spans="1:17" x14ac:dyDescent="0.25">
      <c r="A1349" t="s">
        <v>49</v>
      </c>
      <c r="B1349" t="s">
        <v>203</v>
      </c>
      <c r="C1349">
        <v>0</v>
      </c>
      <c r="N1349">
        <v>29</v>
      </c>
      <c r="O1349" s="60" t="s">
        <v>983</v>
      </c>
      <c r="P1349" t="s">
        <v>764</v>
      </c>
      <c r="Q1349" t="s">
        <v>467</v>
      </c>
    </row>
    <row r="1350" spans="1:17" x14ac:dyDescent="0.25">
      <c r="A1350" t="s">
        <v>49</v>
      </c>
      <c r="B1350" t="s">
        <v>634</v>
      </c>
      <c r="N1350">
        <v>29</v>
      </c>
      <c r="O1350" s="60" t="s">
        <v>984</v>
      </c>
      <c r="P1350" t="s">
        <v>813</v>
      </c>
      <c r="Q1350" t="s">
        <v>634</v>
      </c>
    </row>
    <row r="1351" spans="1:17" x14ac:dyDescent="0.25">
      <c r="A1351" t="s">
        <v>23</v>
      </c>
      <c r="B1351">
        <v>141.35</v>
      </c>
      <c r="C1351">
        <v>130.35</v>
      </c>
      <c r="D1351">
        <v>13.5001</v>
      </c>
      <c r="E1351">
        <v>15</v>
      </c>
      <c r="F1351">
        <v>75</v>
      </c>
      <c r="G1351">
        <v>13.5</v>
      </c>
      <c r="H1351">
        <v>0</v>
      </c>
      <c r="I1351">
        <v>0</v>
      </c>
      <c r="K1351">
        <v>48000</v>
      </c>
      <c r="N1351">
        <v>0</v>
      </c>
      <c r="O1351" s="60">
        <v>0</v>
      </c>
      <c r="P1351" t="s">
        <v>661</v>
      </c>
      <c r="Q1351" t="s">
        <v>2326</v>
      </c>
    </row>
    <row r="1352" spans="1:17" x14ac:dyDescent="0.25">
      <c r="A1352" t="s">
        <v>19</v>
      </c>
      <c r="B1352">
        <v>15</v>
      </c>
      <c r="C1352">
        <v>75</v>
      </c>
      <c r="D1352">
        <v>13.5</v>
      </c>
      <c r="E1352">
        <v>15</v>
      </c>
      <c r="F1352">
        <v>79.05</v>
      </c>
      <c r="G1352">
        <v>13.5</v>
      </c>
      <c r="H1352">
        <v>1.2</v>
      </c>
      <c r="I1352">
        <v>0.9</v>
      </c>
      <c r="J1352">
        <v>1.8184978836478705</v>
      </c>
      <c r="K1352">
        <v>1500</v>
      </c>
      <c r="L1352">
        <v>0</v>
      </c>
      <c r="N1352">
        <v>29</v>
      </c>
      <c r="O1352" s="60" t="s">
        <v>2327</v>
      </c>
      <c r="P1352" t="s">
        <v>2018</v>
      </c>
      <c r="Q1352" t="s">
        <v>879</v>
      </c>
    </row>
    <row r="1353" spans="1:17" x14ac:dyDescent="0.25">
      <c r="A1353" t="s">
        <v>19</v>
      </c>
      <c r="B1353">
        <v>15</v>
      </c>
      <c r="C1353">
        <v>79.05</v>
      </c>
      <c r="D1353">
        <v>13.5</v>
      </c>
      <c r="E1353">
        <v>140</v>
      </c>
      <c r="F1353">
        <v>79.05</v>
      </c>
      <c r="G1353">
        <v>13.5</v>
      </c>
      <c r="H1353">
        <v>1.2</v>
      </c>
      <c r="I1353">
        <v>0.9</v>
      </c>
      <c r="J1353">
        <v>56.126477890366417</v>
      </c>
      <c r="K1353">
        <v>1500</v>
      </c>
      <c r="L1353">
        <v>0</v>
      </c>
      <c r="N1353">
        <v>29</v>
      </c>
      <c r="O1353" s="60" t="s">
        <v>2328</v>
      </c>
      <c r="P1353" t="s">
        <v>2020</v>
      </c>
      <c r="Q1353" t="s">
        <v>2396</v>
      </c>
    </row>
    <row r="1354" spans="1:17" x14ac:dyDescent="0.25">
      <c r="A1354" t="s">
        <v>19</v>
      </c>
      <c r="B1354">
        <v>140</v>
      </c>
      <c r="C1354">
        <v>79.05</v>
      </c>
      <c r="D1354">
        <v>13.5</v>
      </c>
      <c r="E1354">
        <v>140</v>
      </c>
      <c r="F1354">
        <v>80.399999999999991</v>
      </c>
      <c r="G1354">
        <v>13.5</v>
      </c>
      <c r="H1354">
        <v>1.2</v>
      </c>
      <c r="I1354">
        <v>0.9</v>
      </c>
      <c r="J1354">
        <v>0.60616596121595478</v>
      </c>
      <c r="K1354">
        <v>1500</v>
      </c>
      <c r="L1354">
        <v>0</v>
      </c>
      <c r="N1354">
        <v>29</v>
      </c>
      <c r="O1354" s="60" t="s">
        <v>2329</v>
      </c>
      <c r="P1354" t="s">
        <v>2022</v>
      </c>
      <c r="Q1354" t="s">
        <v>880</v>
      </c>
    </row>
    <row r="1355" spans="1:17" x14ac:dyDescent="0.25">
      <c r="A1355" t="s">
        <v>19</v>
      </c>
      <c r="B1355">
        <v>140</v>
      </c>
      <c r="C1355">
        <v>80.399999999999991</v>
      </c>
      <c r="D1355">
        <v>13.5</v>
      </c>
      <c r="E1355">
        <v>15</v>
      </c>
      <c r="F1355">
        <v>80.399999999999991</v>
      </c>
      <c r="G1355">
        <v>13.5</v>
      </c>
      <c r="H1355">
        <v>1.2</v>
      </c>
      <c r="I1355">
        <v>0.9</v>
      </c>
      <c r="J1355">
        <v>56.126477890366417</v>
      </c>
      <c r="K1355">
        <v>1500</v>
      </c>
      <c r="L1355">
        <v>0</v>
      </c>
      <c r="N1355">
        <v>29</v>
      </c>
      <c r="O1355" s="60" t="s">
        <v>2330</v>
      </c>
      <c r="P1355" t="s">
        <v>2024</v>
      </c>
      <c r="Q1355" t="s">
        <v>2397</v>
      </c>
    </row>
    <row r="1356" spans="1:17" x14ac:dyDescent="0.25">
      <c r="A1356" t="s">
        <v>19</v>
      </c>
      <c r="B1356">
        <v>15</v>
      </c>
      <c r="C1356">
        <v>80.400000000000006</v>
      </c>
      <c r="D1356">
        <v>13.5</v>
      </c>
      <c r="E1356">
        <v>15</v>
      </c>
      <c r="F1356">
        <v>84.45</v>
      </c>
      <c r="G1356">
        <v>13.5</v>
      </c>
      <c r="H1356">
        <v>1.2</v>
      </c>
      <c r="I1356">
        <v>0.9</v>
      </c>
      <c r="J1356">
        <v>1.8184978836478705</v>
      </c>
      <c r="K1356">
        <v>1500</v>
      </c>
      <c r="L1356">
        <v>0</v>
      </c>
      <c r="N1356">
        <v>29</v>
      </c>
      <c r="O1356" s="60" t="s">
        <v>1786</v>
      </c>
      <c r="P1356" t="s">
        <v>827</v>
      </c>
      <c r="Q1356" t="s">
        <v>1065</v>
      </c>
    </row>
    <row r="1357" spans="1:17" x14ac:dyDescent="0.25">
      <c r="A1357" t="s">
        <v>19</v>
      </c>
      <c r="B1357">
        <v>15</v>
      </c>
      <c r="C1357">
        <v>84.45</v>
      </c>
      <c r="D1357">
        <v>13.5</v>
      </c>
      <c r="E1357">
        <v>140</v>
      </c>
      <c r="F1357">
        <v>84.45</v>
      </c>
      <c r="G1357">
        <v>13.5</v>
      </c>
      <c r="H1357">
        <v>1.2</v>
      </c>
      <c r="I1357">
        <v>0.9</v>
      </c>
      <c r="J1357">
        <v>56.126477890366417</v>
      </c>
      <c r="K1357">
        <v>1500</v>
      </c>
      <c r="L1357">
        <v>0</v>
      </c>
      <c r="N1357">
        <v>29</v>
      </c>
      <c r="O1357" s="60" t="s">
        <v>1787</v>
      </c>
      <c r="P1357" t="s">
        <v>828</v>
      </c>
      <c r="Q1357" t="s">
        <v>2396</v>
      </c>
    </row>
    <row r="1358" spans="1:17" x14ac:dyDescent="0.25">
      <c r="A1358" t="s">
        <v>19</v>
      </c>
      <c r="B1358">
        <v>140</v>
      </c>
      <c r="C1358">
        <v>84.45</v>
      </c>
      <c r="D1358">
        <v>13.5</v>
      </c>
      <c r="E1358">
        <v>140</v>
      </c>
      <c r="F1358">
        <v>85.8</v>
      </c>
      <c r="G1358">
        <v>13.5</v>
      </c>
      <c r="H1358">
        <v>1.2</v>
      </c>
      <c r="I1358">
        <v>0.9</v>
      </c>
      <c r="J1358">
        <v>0.60616596121595478</v>
      </c>
      <c r="K1358">
        <v>1500</v>
      </c>
      <c r="L1358">
        <v>0</v>
      </c>
      <c r="N1358">
        <v>29</v>
      </c>
      <c r="O1358" s="60" t="s">
        <v>1788</v>
      </c>
      <c r="P1358" t="s">
        <v>829</v>
      </c>
      <c r="Q1358" t="s">
        <v>1066</v>
      </c>
    </row>
    <row r="1359" spans="1:17" x14ac:dyDescent="0.25">
      <c r="A1359" t="s">
        <v>19</v>
      </c>
      <c r="B1359">
        <v>140</v>
      </c>
      <c r="C1359">
        <v>85.8</v>
      </c>
      <c r="D1359">
        <v>13.5</v>
      </c>
      <c r="E1359">
        <v>15</v>
      </c>
      <c r="F1359">
        <v>85.8</v>
      </c>
      <c r="G1359">
        <v>13.5</v>
      </c>
      <c r="H1359">
        <v>1.2</v>
      </c>
      <c r="I1359">
        <v>0.9</v>
      </c>
      <c r="J1359">
        <v>56.126477890366417</v>
      </c>
      <c r="K1359">
        <v>1500</v>
      </c>
      <c r="L1359">
        <v>0</v>
      </c>
      <c r="N1359">
        <v>29</v>
      </c>
      <c r="O1359" s="60" t="s">
        <v>1789</v>
      </c>
      <c r="P1359" t="s">
        <v>814</v>
      </c>
      <c r="Q1359" t="s">
        <v>2397</v>
      </c>
    </row>
    <row r="1360" spans="1:17" x14ac:dyDescent="0.25">
      <c r="A1360" t="s">
        <v>19</v>
      </c>
      <c r="B1360">
        <v>15</v>
      </c>
      <c r="C1360">
        <v>85.8</v>
      </c>
      <c r="D1360">
        <v>13.5</v>
      </c>
      <c r="E1360">
        <v>15</v>
      </c>
      <c r="F1360">
        <v>89.85</v>
      </c>
      <c r="G1360">
        <v>13.5</v>
      </c>
      <c r="H1360">
        <v>1.2</v>
      </c>
      <c r="I1360">
        <v>0.9</v>
      </c>
      <c r="J1360">
        <v>1.8184978836478705</v>
      </c>
      <c r="K1360">
        <v>1500</v>
      </c>
      <c r="L1360">
        <v>0</v>
      </c>
      <c r="N1360">
        <v>29</v>
      </c>
      <c r="O1360" s="60" t="s">
        <v>1790</v>
      </c>
      <c r="P1360" t="s">
        <v>827</v>
      </c>
      <c r="Q1360" t="s">
        <v>1067</v>
      </c>
    </row>
    <row r="1361" spans="1:17" x14ac:dyDescent="0.25">
      <c r="A1361" t="s">
        <v>19</v>
      </c>
      <c r="B1361">
        <v>15</v>
      </c>
      <c r="C1361">
        <v>89.85</v>
      </c>
      <c r="D1361">
        <v>13.5</v>
      </c>
      <c r="E1361">
        <v>140</v>
      </c>
      <c r="F1361">
        <v>89.85</v>
      </c>
      <c r="G1361">
        <v>13.5</v>
      </c>
      <c r="H1361">
        <v>1.2</v>
      </c>
      <c r="I1361">
        <v>0.9</v>
      </c>
      <c r="J1361">
        <v>56.126477890366417</v>
      </c>
      <c r="K1361">
        <v>1500</v>
      </c>
      <c r="L1361">
        <v>0</v>
      </c>
      <c r="N1361">
        <v>29</v>
      </c>
      <c r="O1361" s="60" t="s">
        <v>1791</v>
      </c>
      <c r="P1361" t="s">
        <v>828</v>
      </c>
      <c r="Q1361" t="s">
        <v>2396</v>
      </c>
    </row>
    <row r="1362" spans="1:17" x14ac:dyDescent="0.25">
      <c r="A1362" t="s">
        <v>19</v>
      </c>
      <c r="B1362">
        <v>140</v>
      </c>
      <c r="C1362">
        <v>89.85</v>
      </c>
      <c r="D1362">
        <v>13.5</v>
      </c>
      <c r="E1362">
        <v>140</v>
      </c>
      <c r="F1362">
        <v>91.199999999999989</v>
      </c>
      <c r="G1362">
        <v>13.5</v>
      </c>
      <c r="H1362">
        <v>1.2</v>
      </c>
      <c r="I1362">
        <v>0.9</v>
      </c>
      <c r="J1362">
        <v>0.60616596121595478</v>
      </c>
      <c r="K1362">
        <v>1500</v>
      </c>
      <c r="L1362">
        <v>0</v>
      </c>
      <c r="N1362">
        <v>29</v>
      </c>
      <c r="O1362" s="60" t="s">
        <v>1792</v>
      </c>
      <c r="P1362" t="s">
        <v>829</v>
      </c>
      <c r="Q1362" t="s">
        <v>1068</v>
      </c>
    </row>
    <row r="1363" spans="1:17" x14ac:dyDescent="0.25">
      <c r="A1363" t="s">
        <v>19</v>
      </c>
      <c r="B1363">
        <v>140</v>
      </c>
      <c r="C1363">
        <v>91.199999999999989</v>
      </c>
      <c r="D1363">
        <v>13.5</v>
      </c>
      <c r="E1363">
        <v>15</v>
      </c>
      <c r="F1363">
        <v>91.199999999999989</v>
      </c>
      <c r="G1363">
        <v>13.5</v>
      </c>
      <c r="H1363">
        <v>1.2</v>
      </c>
      <c r="I1363">
        <v>0.9</v>
      </c>
      <c r="J1363">
        <v>56.126477890366417</v>
      </c>
      <c r="K1363">
        <v>1500</v>
      </c>
      <c r="L1363">
        <v>0</v>
      </c>
      <c r="N1363">
        <v>29</v>
      </c>
      <c r="O1363" s="60" t="s">
        <v>1793</v>
      </c>
      <c r="P1363" t="s">
        <v>814</v>
      </c>
      <c r="Q1363" t="s">
        <v>2397</v>
      </c>
    </row>
    <row r="1364" spans="1:17" x14ac:dyDescent="0.25">
      <c r="A1364" t="s">
        <v>19</v>
      </c>
      <c r="B1364">
        <v>15</v>
      </c>
      <c r="C1364">
        <v>91.2</v>
      </c>
      <c r="D1364">
        <v>13.5</v>
      </c>
      <c r="E1364">
        <v>15</v>
      </c>
      <c r="F1364">
        <v>95.25</v>
      </c>
      <c r="G1364">
        <v>13.5</v>
      </c>
      <c r="H1364">
        <v>1.2</v>
      </c>
      <c r="I1364">
        <v>0.9</v>
      </c>
      <c r="J1364">
        <v>1.8184978836478705</v>
      </c>
      <c r="K1364">
        <v>1500</v>
      </c>
      <c r="L1364">
        <v>0</v>
      </c>
      <c r="N1364">
        <v>29</v>
      </c>
      <c r="O1364" s="60" t="s">
        <v>1794</v>
      </c>
      <c r="P1364" t="s">
        <v>827</v>
      </c>
      <c r="Q1364" t="s">
        <v>1069</v>
      </c>
    </row>
    <row r="1365" spans="1:17" x14ac:dyDescent="0.25">
      <c r="A1365" t="s">
        <v>19</v>
      </c>
      <c r="B1365">
        <v>15</v>
      </c>
      <c r="C1365">
        <v>95.25</v>
      </c>
      <c r="D1365">
        <v>13.5</v>
      </c>
      <c r="E1365">
        <v>140</v>
      </c>
      <c r="F1365">
        <v>95.25</v>
      </c>
      <c r="G1365">
        <v>13.5</v>
      </c>
      <c r="H1365">
        <v>1.2</v>
      </c>
      <c r="I1365">
        <v>0.9</v>
      </c>
      <c r="J1365">
        <v>56.126477890366417</v>
      </c>
      <c r="K1365">
        <v>1500</v>
      </c>
      <c r="L1365">
        <v>0</v>
      </c>
      <c r="N1365">
        <v>29</v>
      </c>
      <c r="O1365" s="60" t="s">
        <v>1795</v>
      </c>
      <c r="P1365" t="s">
        <v>828</v>
      </c>
      <c r="Q1365" t="s">
        <v>2396</v>
      </c>
    </row>
    <row r="1366" spans="1:17" x14ac:dyDescent="0.25">
      <c r="A1366" t="s">
        <v>19</v>
      </c>
      <c r="B1366">
        <v>140</v>
      </c>
      <c r="C1366">
        <v>95.25</v>
      </c>
      <c r="D1366">
        <v>13.5</v>
      </c>
      <c r="E1366">
        <v>140</v>
      </c>
      <c r="F1366">
        <v>96.6</v>
      </c>
      <c r="G1366">
        <v>13.5</v>
      </c>
      <c r="H1366">
        <v>1.2</v>
      </c>
      <c r="I1366">
        <v>0.9</v>
      </c>
      <c r="J1366">
        <v>0.60616596121595478</v>
      </c>
      <c r="K1366">
        <v>1500</v>
      </c>
      <c r="L1366">
        <v>0</v>
      </c>
      <c r="N1366">
        <v>29</v>
      </c>
      <c r="O1366" s="60" t="s">
        <v>1796</v>
      </c>
      <c r="P1366" t="s">
        <v>829</v>
      </c>
      <c r="Q1366" t="s">
        <v>1070</v>
      </c>
    </row>
    <row r="1367" spans="1:17" x14ac:dyDescent="0.25">
      <c r="A1367" t="s">
        <v>19</v>
      </c>
      <c r="B1367">
        <v>140</v>
      </c>
      <c r="C1367">
        <v>96.6</v>
      </c>
      <c r="D1367">
        <v>13.5</v>
      </c>
      <c r="E1367">
        <v>15</v>
      </c>
      <c r="F1367">
        <v>96.6</v>
      </c>
      <c r="G1367">
        <v>13.5</v>
      </c>
      <c r="H1367">
        <v>1.2</v>
      </c>
      <c r="I1367">
        <v>0.9</v>
      </c>
      <c r="J1367">
        <v>56.126477890366417</v>
      </c>
      <c r="K1367">
        <v>1500</v>
      </c>
      <c r="L1367">
        <v>0</v>
      </c>
      <c r="N1367">
        <v>29</v>
      </c>
      <c r="O1367" s="60" t="s">
        <v>1797</v>
      </c>
      <c r="P1367" t="s">
        <v>814</v>
      </c>
      <c r="Q1367" t="s">
        <v>2397</v>
      </c>
    </row>
    <row r="1368" spans="1:17" x14ac:dyDescent="0.25">
      <c r="A1368" t="s">
        <v>19</v>
      </c>
      <c r="B1368">
        <v>15</v>
      </c>
      <c r="C1368">
        <v>96.6</v>
      </c>
      <c r="D1368">
        <v>13.5</v>
      </c>
      <c r="E1368">
        <v>15</v>
      </c>
      <c r="F1368">
        <v>100.65</v>
      </c>
      <c r="G1368">
        <v>13.5</v>
      </c>
      <c r="H1368">
        <v>1.2</v>
      </c>
      <c r="I1368">
        <v>0.9</v>
      </c>
      <c r="J1368">
        <v>1.8184978836478705</v>
      </c>
      <c r="K1368">
        <v>1500</v>
      </c>
      <c r="L1368">
        <v>0</v>
      </c>
      <c r="N1368">
        <v>29</v>
      </c>
      <c r="O1368" s="60" t="s">
        <v>1798</v>
      </c>
      <c r="P1368" t="s">
        <v>827</v>
      </c>
      <c r="Q1368" t="s">
        <v>1071</v>
      </c>
    </row>
    <row r="1369" spans="1:17" x14ac:dyDescent="0.25">
      <c r="A1369" t="s">
        <v>19</v>
      </c>
      <c r="B1369">
        <v>15</v>
      </c>
      <c r="C1369">
        <v>100.65</v>
      </c>
      <c r="D1369">
        <v>13.5</v>
      </c>
      <c r="E1369">
        <v>140</v>
      </c>
      <c r="F1369">
        <v>100.65</v>
      </c>
      <c r="G1369">
        <v>13.5</v>
      </c>
      <c r="H1369">
        <v>1.2</v>
      </c>
      <c r="I1369">
        <v>0.9</v>
      </c>
      <c r="J1369">
        <v>56.126477890366417</v>
      </c>
      <c r="K1369">
        <v>1500</v>
      </c>
      <c r="L1369">
        <v>0</v>
      </c>
      <c r="N1369">
        <v>29</v>
      </c>
      <c r="O1369" s="60" t="s">
        <v>1799</v>
      </c>
      <c r="P1369" t="s">
        <v>828</v>
      </c>
      <c r="Q1369" t="s">
        <v>2396</v>
      </c>
    </row>
    <row r="1370" spans="1:17" x14ac:dyDescent="0.25">
      <c r="A1370" t="s">
        <v>19</v>
      </c>
      <c r="B1370">
        <v>140</v>
      </c>
      <c r="C1370">
        <v>100.65</v>
      </c>
      <c r="D1370">
        <v>13.5</v>
      </c>
      <c r="E1370">
        <v>140</v>
      </c>
      <c r="F1370">
        <v>102</v>
      </c>
      <c r="G1370">
        <v>13.5</v>
      </c>
      <c r="H1370">
        <v>1.2</v>
      </c>
      <c r="I1370">
        <v>0.9</v>
      </c>
      <c r="J1370">
        <v>0.60616596121595478</v>
      </c>
      <c r="K1370">
        <v>1500</v>
      </c>
      <c r="L1370">
        <v>0</v>
      </c>
      <c r="N1370">
        <v>29</v>
      </c>
      <c r="O1370" s="60" t="s">
        <v>1800</v>
      </c>
      <c r="P1370" t="s">
        <v>829</v>
      </c>
      <c r="Q1370" t="s">
        <v>1072</v>
      </c>
    </row>
    <row r="1371" spans="1:17" x14ac:dyDescent="0.25">
      <c r="A1371" t="s">
        <v>19</v>
      </c>
      <c r="B1371">
        <v>140</v>
      </c>
      <c r="C1371">
        <v>102</v>
      </c>
      <c r="D1371">
        <v>13.5</v>
      </c>
      <c r="E1371">
        <v>15</v>
      </c>
      <c r="F1371">
        <v>102</v>
      </c>
      <c r="G1371">
        <v>13.5</v>
      </c>
      <c r="H1371">
        <v>1.2</v>
      </c>
      <c r="I1371">
        <v>0.9</v>
      </c>
      <c r="J1371">
        <v>56.126477890366417</v>
      </c>
      <c r="K1371">
        <v>1500</v>
      </c>
      <c r="L1371">
        <v>0</v>
      </c>
      <c r="N1371">
        <v>29</v>
      </c>
      <c r="O1371" s="60" t="s">
        <v>1801</v>
      </c>
      <c r="P1371" t="s">
        <v>814</v>
      </c>
      <c r="Q1371" t="s">
        <v>2397</v>
      </c>
    </row>
    <row r="1372" spans="1:17" x14ac:dyDescent="0.25">
      <c r="A1372" t="s">
        <v>19</v>
      </c>
      <c r="B1372">
        <v>15</v>
      </c>
      <c r="C1372">
        <v>102</v>
      </c>
      <c r="D1372">
        <v>13.5</v>
      </c>
      <c r="E1372">
        <v>15</v>
      </c>
      <c r="F1372">
        <v>106.05</v>
      </c>
      <c r="G1372">
        <v>13.5</v>
      </c>
      <c r="H1372">
        <v>1.2</v>
      </c>
      <c r="I1372">
        <v>0.9</v>
      </c>
      <c r="J1372">
        <v>1.8184978836478705</v>
      </c>
      <c r="K1372">
        <v>1500</v>
      </c>
      <c r="L1372">
        <v>0</v>
      </c>
      <c r="N1372">
        <v>29</v>
      </c>
      <c r="O1372" s="60" t="s">
        <v>1802</v>
      </c>
      <c r="P1372" t="s">
        <v>827</v>
      </c>
      <c r="Q1372" t="s">
        <v>1073</v>
      </c>
    </row>
    <row r="1373" spans="1:17" x14ac:dyDescent="0.25">
      <c r="A1373" t="s">
        <v>19</v>
      </c>
      <c r="B1373">
        <v>15</v>
      </c>
      <c r="C1373">
        <v>106.05</v>
      </c>
      <c r="D1373">
        <v>13.5</v>
      </c>
      <c r="E1373">
        <v>140</v>
      </c>
      <c r="F1373">
        <v>106.05</v>
      </c>
      <c r="G1373">
        <v>13.5</v>
      </c>
      <c r="H1373">
        <v>1.2</v>
      </c>
      <c r="I1373">
        <v>0.9</v>
      </c>
      <c r="J1373">
        <v>56.126477890366417</v>
      </c>
      <c r="K1373">
        <v>1500</v>
      </c>
      <c r="L1373">
        <v>0</v>
      </c>
      <c r="N1373">
        <v>29</v>
      </c>
      <c r="O1373" s="60" t="s">
        <v>1803</v>
      </c>
      <c r="P1373" t="s">
        <v>828</v>
      </c>
      <c r="Q1373" t="s">
        <v>2396</v>
      </c>
    </row>
    <row r="1374" spans="1:17" x14ac:dyDescent="0.25">
      <c r="A1374" t="s">
        <v>19</v>
      </c>
      <c r="B1374">
        <v>140</v>
      </c>
      <c r="C1374">
        <v>106.05</v>
      </c>
      <c r="D1374">
        <v>13.5</v>
      </c>
      <c r="E1374">
        <v>140</v>
      </c>
      <c r="F1374">
        <v>107.39999999999999</v>
      </c>
      <c r="G1374">
        <v>13.5</v>
      </c>
      <c r="H1374">
        <v>1.2</v>
      </c>
      <c r="I1374">
        <v>0.9</v>
      </c>
      <c r="J1374">
        <v>0.60616596121595478</v>
      </c>
      <c r="K1374">
        <v>1500</v>
      </c>
      <c r="L1374">
        <v>0</v>
      </c>
      <c r="N1374">
        <v>29</v>
      </c>
      <c r="O1374" s="60" t="s">
        <v>1804</v>
      </c>
      <c r="P1374" t="s">
        <v>829</v>
      </c>
      <c r="Q1374" t="s">
        <v>1074</v>
      </c>
    </row>
    <row r="1375" spans="1:17" x14ac:dyDescent="0.25">
      <c r="A1375" t="s">
        <v>19</v>
      </c>
      <c r="B1375">
        <v>140</v>
      </c>
      <c r="C1375">
        <v>107.39999999999999</v>
      </c>
      <c r="D1375">
        <v>13.5</v>
      </c>
      <c r="E1375">
        <v>15</v>
      </c>
      <c r="F1375">
        <v>107.39999999999999</v>
      </c>
      <c r="G1375">
        <v>13.5</v>
      </c>
      <c r="H1375">
        <v>1.2</v>
      </c>
      <c r="I1375">
        <v>0.9</v>
      </c>
      <c r="J1375">
        <v>56.126477890366417</v>
      </c>
      <c r="K1375">
        <v>1500</v>
      </c>
      <c r="L1375">
        <v>0</v>
      </c>
      <c r="N1375">
        <v>29</v>
      </c>
      <c r="O1375" s="60" t="s">
        <v>1805</v>
      </c>
      <c r="P1375" t="s">
        <v>814</v>
      </c>
      <c r="Q1375" t="s">
        <v>2397</v>
      </c>
    </row>
    <row r="1376" spans="1:17" x14ac:dyDescent="0.25">
      <c r="A1376" t="s">
        <v>19</v>
      </c>
      <c r="B1376">
        <v>15</v>
      </c>
      <c r="C1376">
        <v>107.4</v>
      </c>
      <c r="D1376">
        <v>13.5</v>
      </c>
      <c r="E1376">
        <v>15</v>
      </c>
      <c r="F1376">
        <v>111.45</v>
      </c>
      <c r="G1376">
        <v>13.5</v>
      </c>
      <c r="H1376">
        <v>1.2</v>
      </c>
      <c r="I1376">
        <v>0.9</v>
      </c>
      <c r="J1376">
        <v>1.8184978836478705</v>
      </c>
      <c r="K1376">
        <v>1500</v>
      </c>
      <c r="L1376">
        <v>0</v>
      </c>
      <c r="N1376">
        <v>29</v>
      </c>
      <c r="O1376" s="60" t="s">
        <v>1806</v>
      </c>
      <c r="P1376" t="s">
        <v>827</v>
      </c>
      <c r="Q1376" t="s">
        <v>1075</v>
      </c>
    </row>
    <row r="1377" spans="1:17" x14ac:dyDescent="0.25">
      <c r="A1377" t="s">
        <v>19</v>
      </c>
      <c r="B1377">
        <v>15</v>
      </c>
      <c r="C1377">
        <v>111.45</v>
      </c>
      <c r="D1377">
        <v>13.5</v>
      </c>
      <c r="E1377">
        <v>140</v>
      </c>
      <c r="F1377">
        <v>111.45</v>
      </c>
      <c r="G1377">
        <v>13.5</v>
      </c>
      <c r="H1377">
        <v>1.2</v>
      </c>
      <c r="I1377">
        <v>0.9</v>
      </c>
      <c r="J1377">
        <v>56.126477890366417</v>
      </c>
      <c r="K1377">
        <v>1500</v>
      </c>
      <c r="L1377">
        <v>0</v>
      </c>
      <c r="N1377">
        <v>29</v>
      </c>
      <c r="O1377" s="60" t="s">
        <v>1807</v>
      </c>
      <c r="P1377" t="s">
        <v>828</v>
      </c>
      <c r="Q1377" t="s">
        <v>2396</v>
      </c>
    </row>
    <row r="1378" spans="1:17" x14ac:dyDescent="0.25">
      <c r="A1378" t="s">
        <v>19</v>
      </c>
      <c r="B1378">
        <v>140</v>
      </c>
      <c r="C1378">
        <v>111.45</v>
      </c>
      <c r="D1378">
        <v>13.5</v>
      </c>
      <c r="E1378">
        <v>140</v>
      </c>
      <c r="F1378">
        <v>112.8</v>
      </c>
      <c r="G1378">
        <v>13.5</v>
      </c>
      <c r="H1378">
        <v>1.2</v>
      </c>
      <c r="I1378">
        <v>0.9</v>
      </c>
      <c r="J1378">
        <v>0.60616596121595478</v>
      </c>
      <c r="K1378">
        <v>1500</v>
      </c>
      <c r="L1378">
        <v>0</v>
      </c>
      <c r="N1378">
        <v>29</v>
      </c>
      <c r="O1378" s="60" t="s">
        <v>1808</v>
      </c>
      <c r="P1378" t="s">
        <v>829</v>
      </c>
      <c r="Q1378" t="s">
        <v>1076</v>
      </c>
    </row>
    <row r="1379" spans="1:17" x14ac:dyDescent="0.25">
      <c r="A1379" t="s">
        <v>19</v>
      </c>
      <c r="B1379">
        <v>140</v>
      </c>
      <c r="C1379">
        <v>112.8</v>
      </c>
      <c r="D1379">
        <v>13.5</v>
      </c>
      <c r="E1379">
        <v>15</v>
      </c>
      <c r="F1379">
        <v>112.8</v>
      </c>
      <c r="G1379">
        <v>13.5</v>
      </c>
      <c r="H1379">
        <v>1.2</v>
      </c>
      <c r="I1379">
        <v>0.9</v>
      </c>
      <c r="J1379">
        <v>56.126477890366417</v>
      </c>
      <c r="K1379">
        <v>1500</v>
      </c>
      <c r="L1379">
        <v>0</v>
      </c>
      <c r="N1379">
        <v>29</v>
      </c>
      <c r="O1379" s="60" t="s">
        <v>1809</v>
      </c>
      <c r="P1379" t="s">
        <v>814</v>
      </c>
      <c r="Q1379" t="s">
        <v>2397</v>
      </c>
    </row>
    <row r="1380" spans="1:17" x14ac:dyDescent="0.25">
      <c r="A1380" t="s">
        <v>19</v>
      </c>
      <c r="B1380">
        <v>15</v>
      </c>
      <c r="C1380">
        <v>112.8</v>
      </c>
      <c r="D1380">
        <v>13.5</v>
      </c>
      <c r="E1380">
        <v>15</v>
      </c>
      <c r="F1380">
        <v>116.85</v>
      </c>
      <c r="G1380">
        <v>13.5</v>
      </c>
      <c r="H1380">
        <v>1.2</v>
      </c>
      <c r="I1380">
        <v>0.9</v>
      </c>
      <c r="J1380">
        <v>1.8184978836478705</v>
      </c>
      <c r="K1380">
        <v>1500</v>
      </c>
      <c r="L1380">
        <v>0</v>
      </c>
      <c r="N1380">
        <v>29</v>
      </c>
      <c r="O1380" s="60" t="s">
        <v>1810</v>
      </c>
      <c r="P1380" t="s">
        <v>827</v>
      </c>
      <c r="Q1380" t="s">
        <v>1077</v>
      </c>
    </row>
    <row r="1381" spans="1:17" x14ac:dyDescent="0.25">
      <c r="A1381" t="s">
        <v>19</v>
      </c>
      <c r="B1381">
        <v>15</v>
      </c>
      <c r="C1381">
        <v>116.85</v>
      </c>
      <c r="D1381">
        <v>13.5</v>
      </c>
      <c r="E1381">
        <v>140</v>
      </c>
      <c r="F1381">
        <v>116.85</v>
      </c>
      <c r="G1381">
        <v>13.5</v>
      </c>
      <c r="H1381">
        <v>1.2</v>
      </c>
      <c r="I1381">
        <v>0.9</v>
      </c>
      <c r="J1381">
        <v>56.126477890366417</v>
      </c>
      <c r="K1381">
        <v>1500</v>
      </c>
      <c r="L1381">
        <v>0</v>
      </c>
      <c r="N1381">
        <v>29</v>
      </c>
      <c r="O1381" s="60" t="s">
        <v>1811</v>
      </c>
      <c r="P1381" t="s">
        <v>828</v>
      </c>
      <c r="Q1381" t="s">
        <v>2396</v>
      </c>
    </row>
    <row r="1382" spans="1:17" x14ac:dyDescent="0.25">
      <c r="A1382" t="s">
        <v>19</v>
      </c>
      <c r="B1382">
        <v>140</v>
      </c>
      <c r="C1382">
        <v>116.85</v>
      </c>
      <c r="D1382">
        <v>13.5</v>
      </c>
      <c r="E1382">
        <v>140</v>
      </c>
      <c r="F1382">
        <v>118.19999999999999</v>
      </c>
      <c r="G1382">
        <v>13.5</v>
      </c>
      <c r="H1382">
        <v>1.2</v>
      </c>
      <c r="I1382">
        <v>0.9</v>
      </c>
      <c r="J1382">
        <v>0.60616596121595478</v>
      </c>
      <c r="K1382">
        <v>1500</v>
      </c>
      <c r="L1382">
        <v>0</v>
      </c>
      <c r="N1382">
        <v>29</v>
      </c>
      <c r="O1382" s="60" t="s">
        <v>1812</v>
      </c>
      <c r="P1382" t="s">
        <v>829</v>
      </c>
      <c r="Q1382" t="s">
        <v>1078</v>
      </c>
    </row>
    <row r="1383" spans="1:17" x14ac:dyDescent="0.25">
      <c r="A1383" t="s">
        <v>19</v>
      </c>
      <c r="B1383">
        <v>140</v>
      </c>
      <c r="C1383">
        <v>118.19999999999999</v>
      </c>
      <c r="D1383">
        <v>13.5</v>
      </c>
      <c r="E1383">
        <v>15</v>
      </c>
      <c r="F1383">
        <v>118.19999999999999</v>
      </c>
      <c r="G1383">
        <v>13.5</v>
      </c>
      <c r="H1383">
        <v>1.2</v>
      </c>
      <c r="I1383">
        <v>0.9</v>
      </c>
      <c r="J1383">
        <v>56.126477890366417</v>
      </c>
      <c r="K1383">
        <v>1500</v>
      </c>
      <c r="L1383">
        <v>0</v>
      </c>
      <c r="N1383">
        <v>29</v>
      </c>
      <c r="O1383" s="60" t="s">
        <v>1813</v>
      </c>
      <c r="P1383" t="s">
        <v>814</v>
      </c>
      <c r="Q1383" t="s">
        <v>2397</v>
      </c>
    </row>
    <row r="1384" spans="1:17" x14ac:dyDescent="0.25">
      <c r="A1384" t="s">
        <v>19</v>
      </c>
      <c r="B1384">
        <v>15</v>
      </c>
      <c r="C1384">
        <v>118.2</v>
      </c>
      <c r="D1384">
        <v>13.5</v>
      </c>
      <c r="E1384">
        <v>15</v>
      </c>
      <c r="F1384">
        <v>122.25</v>
      </c>
      <c r="G1384">
        <v>13.5</v>
      </c>
      <c r="H1384">
        <v>1.2</v>
      </c>
      <c r="I1384">
        <v>0.9</v>
      </c>
      <c r="J1384">
        <v>1.8184978836478705</v>
      </c>
      <c r="K1384">
        <v>1500</v>
      </c>
      <c r="L1384">
        <v>0</v>
      </c>
      <c r="N1384">
        <v>29</v>
      </c>
      <c r="O1384" s="60" t="s">
        <v>2331</v>
      </c>
      <c r="P1384" t="s">
        <v>827</v>
      </c>
      <c r="Q1384" t="s">
        <v>1955</v>
      </c>
    </row>
    <row r="1385" spans="1:17" x14ac:dyDescent="0.25">
      <c r="A1385" t="s">
        <v>19</v>
      </c>
      <c r="B1385">
        <v>15</v>
      </c>
      <c r="C1385">
        <v>122.25</v>
      </c>
      <c r="D1385">
        <v>13.5</v>
      </c>
      <c r="E1385">
        <v>140</v>
      </c>
      <c r="F1385">
        <v>122.25</v>
      </c>
      <c r="G1385">
        <v>13.5</v>
      </c>
      <c r="H1385">
        <v>1.2</v>
      </c>
      <c r="I1385">
        <v>0.9</v>
      </c>
      <c r="J1385">
        <v>56.126477890366417</v>
      </c>
      <c r="K1385">
        <v>1500</v>
      </c>
      <c r="L1385">
        <v>0</v>
      </c>
      <c r="N1385">
        <v>29</v>
      </c>
      <c r="O1385" s="60" t="s">
        <v>2332</v>
      </c>
      <c r="P1385" t="s">
        <v>828</v>
      </c>
      <c r="Q1385" t="s">
        <v>2396</v>
      </c>
    </row>
    <row r="1386" spans="1:17" x14ac:dyDescent="0.25">
      <c r="A1386" t="s">
        <v>19</v>
      </c>
      <c r="B1386">
        <v>140</v>
      </c>
      <c r="C1386">
        <v>122.25</v>
      </c>
      <c r="D1386">
        <v>13.5</v>
      </c>
      <c r="E1386">
        <v>140</v>
      </c>
      <c r="F1386">
        <v>123.6</v>
      </c>
      <c r="G1386">
        <v>13.5</v>
      </c>
      <c r="H1386">
        <v>1.2</v>
      </c>
      <c r="I1386">
        <v>0.9</v>
      </c>
      <c r="J1386">
        <v>0.60616596121595478</v>
      </c>
      <c r="K1386">
        <v>1500</v>
      </c>
      <c r="L1386">
        <v>0</v>
      </c>
      <c r="N1386">
        <v>29</v>
      </c>
      <c r="O1386" s="60" t="s">
        <v>2333</v>
      </c>
      <c r="P1386" t="s">
        <v>829</v>
      </c>
      <c r="Q1386" t="s">
        <v>1958</v>
      </c>
    </row>
    <row r="1387" spans="1:17" x14ac:dyDescent="0.25">
      <c r="A1387" t="s">
        <v>19</v>
      </c>
      <c r="B1387">
        <v>140</v>
      </c>
      <c r="C1387">
        <v>123.6</v>
      </c>
      <c r="D1387">
        <v>13.5</v>
      </c>
      <c r="E1387">
        <v>15</v>
      </c>
      <c r="F1387">
        <v>123.6</v>
      </c>
      <c r="G1387">
        <v>13.5</v>
      </c>
      <c r="H1387">
        <v>1.2</v>
      </c>
      <c r="I1387">
        <v>0.9</v>
      </c>
      <c r="J1387">
        <v>56.126477890366417</v>
      </c>
      <c r="K1387">
        <v>1500</v>
      </c>
      <c r="L1387">
        <v>0</v>
      </c>
      <c r="N1387">
        <v>29</v>
      </c>
      <c r="O1387" s="60" t="s">
        <v>2334</v>
      </c>
      <c r="P1387" t="s">
        <v>814</v>
      </c>
      <c r="Q1387" t="s">
        <v>2397</v>
      </c>
    </row>
    <row r="1388" spans="1:17" x14ac:dyDescent="0.25">
      <c r="A1388" t="s">
        <v>19</v>
      </c>
      <c r="B1388">
        <v>15</v>
      </c>
      <c r="C1388">
        <v>123.60000000000001</v>
      </c>
      <c r="D1388">
        <v>13.5</v>
      </c>
      <c r="E1388">
        <v>15</v>
      </c>
      <c r="F1388">
        <v>127.65</v>
      </c>
      <c r="G1388">
        <v>13.5</v>
      </c>
      <c r="H1388">
        <v>1.2</v>
      </c>
      <c r="I1388">
        <v>0.9</v>
      </c>
      <c r="J1388">
        <v>1.8184978836478705</v>
      </c>
      <c r="K1388">
        <v>1500</v>
      </c>
      <c r="L1388">
        <v>0</v>
      </c>
      <c r="N1388">
        <v>29</v>
      </c>
      <c r="O1388" s="60" t="s">
        <v>2335</v>
      </c>
      <c r="P1388" t="s">
        <v>827</v>
      </c>
      <c r="Q1388" t="s">
        <v>1961</v>
      </c>
    </row>
    <row r="1389" spans="1:17" x14ac:dyDescent="0.25">
      <c r="A1389" t="s">
        <v>19</v>
      </c>
      <c r="B1389">
        <v>15</v>
      </c>
      <c r="C1389">
        <v>127.65</v>
      </c>
      <c r="D1389">
        <v>13.5</v>
      </c>
      <c r="E1389">
        <v>140</v>
      </c>
      <c r="F1389">
        <v>127.65</v>
      </c>
      <c r="G1389">
        <v>13.5</v>
      </c>
      <c r="H1389">
        <v>1.2</v>
      </c>
      <c r="I1389">
        <v>0.9</v>
      </c>
      <c r="J1389">
        <v>56.126477890366417</v>
      </c>
      <c r="K1389">
        <v>1500</v>
      </c>
      <c r="L1389">
        <v>0</v>
      </c>
      <c r="N1389">
        <v>29</v>
      </c>
      <c r="O1389" s="60" t="s">
        <v>2336</v>
      </c>
      <c r="P1389" t="s">
        <v>828</v>
      </c>
      <c r="Q1389" t="s">
        <v>2396</v>
      </c>
    </row>
    <row r="1390" spans="1:17" x14ac:dyDescent="0.25">
      <c r="A1390" t="s">
        <v>19</v>
      </c>
      <c r="B1390">
        <v>140</v>
      </c>
      <c r="C1390">
        <v>127.65</v>
      </c>
      <c r="D1390">
        <v>13.5</v>
      </c>
      <c r="E1390">
        <v>140</v>
      </c>
      <c r="F1390">
        <v>129</v>
      </c>
      <c r="G1390">
        <v>13.5</v>
      </c>
      <c r="H1390">
        <v>1.2</v>
      </c>
      <c r="I1390">
        <v>0.9</v>
      </c>
      <c r="J1390">
        <v>0.60616596121595478</v>
      </c>
      <c r="K1390">
        <v>1500</v>
      </c>
      <c r="L1390">
        <v>0</v>
      </c>
      <c r="N1390">
        <v>29</v>
      </c>
      <c r="O1390" s="60" t="s">
        <v>2337</v>
      </c>
      <c r="P1390" t="s">
        <v>829</v>
      </c>
      <c r="Q1390" t="s">
        <v>1964</v>
      </c>
    </row>
    <row r="1391" spans="1:17" x14ac:dyDescent="0.25">
      <c r="A1391" t="s">
        <v>19</v>
      </c>
      <c r="B1391">
        <v>140</v>
      </c>
      <c r="C1391">
        <v>129</v>
      </c>
      <c r="D1391">
        <v>13.5</v>
      </c>
      <c r="E1391">
        <v>15</v>
      </c>
      <c r="F1391">
        <v>129</v>
      </c>
      <c r="G1391">
        <v>13.5</v>
      </c>
      <c r="H1391">
        <v>1.2</v>
      </c>
      <c r="I1391">
        <v>0.9</v>
      </c>
      <c r="J1391">
        <v>56.126477890366417</v>
      </c>
      <c r="K1391">
        <v>1500</v>
      </c>
      <c r="L1391">
        <v>0</v>
      </c>
      <c r="N1391">
        <v>29</v>
      </c>
      <c r="O1391" s="60" t="s">
        <v>2338</v>
      </c>
      <c r="P1391" t="s">
        <v>814</v>
      </c>
      <c r="Q1391" t="s">
        <v>2397</v>
      </c>
    </row>
    <row r="1392" spans="1:17" x14ac:dyDescent="0.25">
      <c r="A1392" t="s">
        <v>39</v>
      </c>
      <c r="B1392">
        <v>-1.25</v>
      </c>
      <c r="C1392">
        <v>2100</v>
      </c>
      <c r="N1392">
        <v>29</v>
      </c>
      <c r="O1392" s="60" t="s">
        <v>985</v>
      </c>
      <c r="P1392" t="s">
        <v>757</v>
      </c>
      <c r="Q1392" t="s">
        <v>845</v>
      </c>
    </row>
    <row r="1393" spans="1:17" x14ac:dyDescent="0.25">
      <c r="A1393" t="s">
        <v>660</v>
      </c>
      <c r="B1393">
        <v>0.9</v>
      </c>
      <c r="C1393">
        <v>10000</v>
      </c>
      <c r="N1393">
        <v>29</v>
      </c>
      <c r="O1393" s="60" t="s">
        <v>985</v>
      </c>
      <c r="P1393" t="s">
        <v>757</v>
      </c>
      <c r="Q1393" t="s">
        <v>842</v>
      </c>
    </row>
    <row r="1394" spans="1:17" x14ac:dyDescent="0.25">
      <c r="A1394" t="s">
        <v>23</v>
      </c>
      <c r="B1394">
        <v>15</v>
      </c>
      <c r="C1394">
        <v>129</v>
      </c>
      <c r="D1394">
        <v>13.5</v>
      </c>
      <c r="E1394">
        <v>15</v>
      </c>
      <c r="F1394">
        <v>75</v>
      </c>
      <c r="G1394">
        <v>14.4</v>
      </c>
      <c r="H1394">
        <v>0</v>
      </c>
      <c r="I1394">
        <v>0</v>
      </c>
      <c r="K1394">
        <v>48000</v>
      </c>
      <c r="N1394">
        <v>0</v>
      </c>
      <c r="O1394" s="60">
        <v>0</v>
      </c>
      <c r="P1394" t="s">
        <v>661</v>
      </c>
      <c r="Q1394" t="s">
        <v>2339</v>
      </c>
    </row>
    <row r="1395" spans="1:17" x14ac:dyDescent="0.25">
      <c r="A1395" t="s">
        <v>19</v>
      </c>
      <c r="B1395">
        <v>15</v>
      </c>
      <c r="C1395">
        <v>75</v>
      </c>
      <c r="D1395">
        <v>14.4</v>
      </c>
      <c r="E1395">
        <v>15</v>
      </c>
      <c r="F1395">
        <v>79.05</v>
      </c>
      <c r="G1395">
        <v>14.4</v>
      </c>
      <c r="H1395">
        <v>1.2</v>
      </c>
      <c r="I1395">
        <v>0.9</v>
      </c>
      <c r="J1395">
        <v>1.8184978836478705</v>
      </c>
      <c r="K1395">
        <v>1500</v>
      </c>
      <c r="L1395">
        <v>0</v>
      </c>
      <c r="N1395">
        <v>29</v>
      </c>
      <c r="O1395" s="60" t="s">
        <v>2340</v>
      </c>
      <c r="P1395" t="s">
        <v>1968</v>
      </c>
      <c r="Q1395" t="s">
        <v>879</v>
      </c>
    </row>
    <row r="1396" spans="1:17" x14ac:dyDescent="0.25">
      <c r="A1396" t="s">
        <v>19</v>
      </c>
      <c r="B1396">
        <v>15</v>
      </c>
      <c r="C1396">
        <v>79.05</v>
      </c>
      <c r="D1396">
        <v>14.4</v>
      </c>
      <c r="E1396">
        <v>140</v>
      </c>
      <c r="F1396">
        <v>79.05</v>
      </c>
      <c r="G1396">
        <v>14.4</v>
      </c>
      <c r="H1396">
        <v>1.2</v>
      </c>
      <c r="I1396">
        <v>0.9</v>
      </c>
      <c r="J1396">
        <v>56.126477890366417</v>
      </c>
      <c r="K1396">
        <v>1500</v>
      </c>
      <c r="L1396">
        <v>0</v>
      </c>
      <c r="N1396">
        <v>29</v>
      </c>
      <c r="O1396" s="60" t="s">
        <v>2341</v>
      </c>
      <c r="P1396" t="s">
        <v>1970</v>
      </c>
      <c r="Q1396" t="s">
        <v>2396</v>
      </c>
    </row>
    <row r="1397" spans="1:17" x14ac:dyDescent="0.25">
      <c r="A1397" t="s">
        <v>19</v>
      </c>
      <c r="B1397">
        <v>140</v>
      </c>
      <c r="C1397">
        <v>79.05</v>
      </c>
      <c r="D1397">
        <v>14.4</v>
      </c>
      <c r="E1397">
        <v>140</v>
      </c>
      <c r="F1397">
        <v>80.399999999999991</v>
      </c>
      <c r="G1397">
        <v>14.4</v>
      </c>
      <c r="H1397">
        <v>1.2</v>
      </c>
      <c r="I1397">
        <v>0.9</v>
      </c>
      <c r="J1397">
        <v>0.60616596121595478</v>
      </c>
      <c r="K1397">
        <v>1500</v>
      </c>
      <c r="L1397">
        <v>0</v>
      </c>
      <c r="N1397">
        <v>29</v>
      </c>
      <c r="O1397" s="60" t="s">
        <v>2342</v>
      </c>
      <c r="P1397" t="s">
        <v>1972</v>
      </c>
      <c r="Q1397" t="s">
        <v>880</v>
      </c>
    </row>
    <row r="1398" spans="1:17" x14ac:dyDescent="0.25">
      <c r="A1398" t="s">
        <v>19</v>
      </c>
      <c r="B1398">
        <v>140</v>
      </c>
      <c r="C1398">
        <v>80.399999999999991</v>
      </c>
      <c r="D1398">
        <v>14.4</v>
      </c>
      <c r="E1398">
        <v>15</v>
      </c>
      <c r="F1398">
        <v>80.399999999999991</v>
      </c>
      <c r="G1398">
        <v>14.4</v>
      </c>
      <c r="H1398">
        <v>1.2</v>
      </c>
      <c r="I1398">
        <v>0.9</v>
      </c>
      <c r="J1398">
        <v>56.126477890366417</v>
      </c>
      <c r="K1398">
        <v>1500</v>
      </c>
      <c r="L1398">
        <v>0</v>
      </c>
      <c r="N1398">
        <v>29</v>
      </c>
      <c r="O1398" s="60" t="s">
        <v>2343</v>
      </c>
      <c r="P1398" t="s">
        <v>1974</v>
      </c>
      <c r="Q1398" t="s">
        <v>2397</v>
      </c>
    </row>
    <row r="1399" spans="1:17" x14ac:dyDescent="0.25">
      <c r="A1399" t="s">
        <v>19</v>
      </c>
      <c r="B1399">
        <v>15</v>
      </c>
      <c r="C1399">
        <v>80.400000000000006</v>
      </c>
      <c r="D1399">
        <v>14.4</v>
      </c>
      <c r="E1399">
        <v>15</v>
      </c>
      <c r="F1399">
        <v>84.45</v>
      </c>
      <c r="G1399">
        <v>14.4</v>
      </c>
      <c r="H1399">
        <v>1.2</v>
      </c>
      <c r="I1399">
        <v>0.9</v>
      </c>
      <c r="J1399">
        <v>1.8184978836478705</v>
      </c>
      <c r="K1399">
        <v>1500</v>
      </c>
      <c r="L1399">
        <v>0</v>
      </c>
      <c r="N1399">
        <v>29</v>
      </c>
      <c r="O1399" s="60" t="s">
        <v>1814</v>
      </c>
      <c r="P1399" t="s">
        <v>823</v>
      </c>
      <c r="Q1399" t="s">
        <v>1065</v>
      </c>
    </row>
    <row r="1400" spans="1:17" x14ac:dyDescent="0.25">
      <c r="A1400" t="s">
        <v>19</v>
      </c>
      <c r="B1400">
        <v>15</v>
      </c>
      <c r="C1400">
        <v>84.45</v>
      </c>
      <c r="D1400">
        <v>14.4</v>
      </c>
      <c r="E1400">
        <v>140</v>
      </c>
      <c r="F1400">
        <v>84.45</v>
      </c>
      <c r="G1400">
        <v>14.4</v>
      </c>
      <c r="H1400">
        <v>1.2</v>
      </c>
      <c r="I1400">
        <v>0.9</v>
      </c>
      <c r="J1400">
        <v>56.126477890366417</v>
      </c>
      <c r="K1400">
        <v>1500</v>
      </c>
      <c r="L1400">
        <v>0</v>
      </c>
      <c r="N1400">
        <v>29</v>
      </c>
      <c r="O1400" s="60" t="s">
        <v>1815</v>
      </c>
      <c r="P1400" t="s">
        <v>750</v>
      </c>
      <c r="Q1400" t="s">
        <v>2396</v>
      </c>
    </row>
    <row r="1401" spans="1:17" x14ac:dyDescent="0.25">
      <c r="A1401" t="s">
        <v>19</v>
      </c>
      <c r="B1401">
        <v>140</v>
      </c>
      <c r="C1401">
        <v>84.45</v>
      </c>
      <c r="D1401">
        <v>14.4</v>
      </c>
      <c r="E1401">
        <v>140</v>
      </c>
      <c r="F1401">
        <v>85.8</v>
      </c>
      <c r="G1401">
        <v>14.4</v>
      </c>
      <c r="H1401">
        <v>1.2</v>
      </c>
      <c r="I1401">
        <v>0.9</v>
      </c>
      <c r="J1401">
        <v>0.60616596121595478</v>
      </c>
      <c r="K1401">
        <v>1500</v>
      </c>
      <c r="L1401">
        <v>0</v>
      </c>
      <c r="N1401">
        <v>29</v>
      </c>
      <c r="O1401" s="60" t="s">
        <v>1816</v>
      </c>
      <c r="P1401" t="s">
        <v>751</v>
      </c>
      <c r="Q1401" t="s">
        <v>1066</v>
      </c>
    </row>
    <row r="1402" spans="1:17" x14ac:dyDescent="0.25">
      <c r="A1402" t="s">
        <v>19</v>
      </c>
      <c r="B1402">
        <v>140</v>
      </c>
      <c r="C1402">
        <v>85.8</v>
      </c>
      <c r="D1402">
        <v>14.4</v>
      </c>
      <c r="E1402">
        <v>15</v>
      </c>
      <c r="F1402">
        <v>85.8</v>
      </c>
      <c r="G1402">
        <v>14.4</v>
      </c>
      <c r="H1402">
        <v>1.2</v>
      </c>
      <c r="I1402">
        <v>0.9</v>
      </c>
      <c r="J1402">
        <v>56.126477890366417</v>
      </c>
      <c r="K1402">
        <v>1500</v>
      </c>
      <c r="L1402">
        <v>0</v>
      </c>
      <c r="N1402">
        <v>29</v>
      </c>
      <c r="O1402" s="60" t="s">
        <v>986</v>
      </c>
      <c r="P1402" t="s">
        <v>752</v>
      </c>
      <c r="Q1402" t="s">
        <v>2397</v>
      </c>
    </row>
    <row r="1403" spans="1:17" x14ac:dyDescent="0.25">
      <c r="A1403" t="s">
        <v>19</v>
      </c>
      <c r="B1403">
        <v>15</v>
      </c>
      <c r="C1403">
        <v>85.8</v>
      </c>
      <c r="D1403">
        <v>14.4</v>
      </c>
      <c r="E1403">
        <v>15</v>
      </c>
      <c r="F1403">
        <v>89.85</v>
      </c>
      <c r="G1403">
        <v>14.4</v>
      </c>
      <c r="H1403">
        <v>1.2</v>
      </c>
      <c r="I1403">
        <v>0.9</v>
      </c>
      <c r="J1403">
        <v>1.8184978836478705</v>
      </c>
      <c r="K1403">
        <v>1500</v>
      </c>
      <c r="L1403">
        <v>0</v>
      </c>
      <c r="N1403">
        <v>29</v>
      </c>
      <c r="O1403" s="60" t="s">
        <v>1817</v>
      </c>
      <c r="P1403" t="s">
        <v>823</v>
      </c>
      <c r="Q1403" t="s">
        <v>1067</v>
      </c>
    </row>
    <row r="1404" spans="1:17" x14ac:dyDescent="0.25">
      <c r="A1404" t="s">
        <v>19</v>
      </c>
      <c r="B1404">
        <v>15</v>
      </c>
      <c r="C1404">
        <v>89.85</v>
      </c>
      <c r="D1404">
        <v>14.4</v>
      </c>
      <c r="E1404">
        <v>140</v>
      </c>
      <c r="F1404">
        <v>89.85</v>
      </c>
      <c r="G1404">
        <v>14.4</v>
      </c>
      <c r="H1404">
        <v>1.2</v>
      </c>
      <c r="I1404">
        <v>0.9</v>
      </c>
      <c r="J1404">
        <v>56.126477890366417</v>
      </c>
      <c r="K1404">
        <v>1500</v>
      </c>
      <c r="L1404">
        <v>0</v>
      </c>
      <c r="N1404">
        <v>29</v>
      </c>
      <c r="O1404" s="60" t="s">
        <v>1818</v>
      </c>
      <c r="P1404" t="s">
        <v>750</v>
      </c>
      <c r="Q1404" t="s">
        <v>2396</v>
      </c>
    </row>
    <row r="1405" spans="1:17" x14ac:dyDescent="0.25">
      <c r="A1405" t="s">
        <v>19</v>
      </c>
      <c r="B1405">
        <v>140</v>
      </c>
      <c r="C1405">
        <v>89.85</v>
      </c>
      <c r="D1405">
        <v>14.4</v>
      </c>
      <c r="E1405">
        <v>140</v>
      </c>
      <c r="F1405">
        <v>91.199999999999989</v>
      </c>
      <c r="G1405">
        <v>14.4</v>
      </c>
      <c r="H1405">
        <v>1.2</v>
      </c>
      <c r="I1405">
        <v>0.9</v>
      </c>
      <c r="J1405">
        <v>0.60616596121595478</v>
      </c>
      <c r="K1405">
        <v>1500</v>
      </c>
      <c r="L1405">
        <v>0</v>
      </c>
      <c r="N1405">
        <v>29</v>
      </c>
      <c r="O1405" s="60" t="s">
        <v>1819</v>
      </c>
      <c r="P1405" t="s">
        <v>751</v>
      </c>
      <c r="Q1405" t="s">
        <v>1068</v>
      </c>
    </row>
    <row r="1406" spans="1:17" x14ac:dyDescent="0.25">
      <c r="A1406" t="s">
        <v>19</v>
      </c>
      <c r="B1406">
        <v>140</v>
      </c>
      <c r="C1406">
        <v>91.199999999999989</v>
      </c>
      <c r="D1406">
        <v>14.4</v>
      </c>
      <c r="E1406">
        <v>15</v>
      </c>
      <c r="F1406">
        <v>91.199999999999989</v>
      </c>
      <c r="G1406">
        <v>14.4</v>
      </c>
      <c r="H1406">
        <v>1.2</v>
      </c>
      <c r="I1406">
        <v>0.9</v>
      </c>
      <c r="J1406">
        <v>56.126477890366417</v>
      </c>
      <c r="K1406">
        <v>1500</v>
      </c>
      <c r="L1406">
        <v>0</v>
      </c>
      <c r="N1406">
        <v>29</v>
      </c>
      <c r="O1406" s="60" t="s">
        <v>987</v>
      </c>
      <c r="P1406" t="s">
        <v>752</v>
      </c>
      <c r="Q1406" t="s">
        <v>2397</v>
      </c>
    </row>
    <row r="1407" spans="1:17" x14ac:dyDescent="0.25">
      <c r="A1407" t="s">
        <v>19</v>
      </c>
      <c r="B1407">
        <v>15</v>
      </c>
      <c r="C1407">
        <v>91.2</v>
      </c>
      <c r="D1407">
        <v>14.4</v>
      </c>
      <c r="E1407">
        <v>15</v>
      </c>
      <c r="F1407">
        <v>95.25</v>
      </c>
      <c r="G1407">
        <v>14.4</v>
      </c>
      <c r="H1407">
        <v>1.2</v>
      </c>
      <c r="I1407">
        <v>0.9</v>
      </c>
      <c r="J1407">
        <v>1.8184978836478705</v>
      </c>
      <c r="K1407">
        <v>1500</v>
      </c>
      <c r="L1407">
        <v>0</v>
      </c>
      <c r="N1407">
        <v>29</v>
      </c>
      <c r="O1407" s="60" t="s">
        <v>1820</v>
      </c>
      <c r="P1407" t="s">
        <v>823</v>
      </c>
      <c r="Q1407" t="s">
        <v>1069</v>
      </c>
    </row>
    <row r="1408" spans="1:17" x14ac:dyDescent="0.25">
      <c r="A1408" t="s">
        <v>19</v>
      </c>
      <c r="B1408">
        <v>15</v>
      </c>
      <c r="C1408">
        <v>95.25</v>
      </c>
      <c r="D1408">
        <v>14.4</v>
      </c>
      <c r="E1408">
        <v>140</v>
      </c>
      <c r="F1408">
        <v>95.25</v>
      </c>
      <c r="G1408">
        <v>14.4</v>
      </c>
      <c r="H1408">
        <v>1.2</v>
      </c>
      <c r="I1408">
        <v>0.9</v>
      </c>
      <c r="J1408">
        <v>56.126477890366417</v>
      </c>
      <c r="K1408">
        <v>1500</v>
      </c>
      <c r="L1408">
        <v>0</v>
      </c>
      <c r="N1408">
        <v>29</v>
      </c>
      <c r="O1408" s="60" t="s">
        <v>1821</v>
      </c>
      <c r="P1408" t="s">
        <v>750</v>
      </c>
      <c r="Q1408" t="s">
        <v>2396</v>
      </c>
    </row>
    <row r="1409" spans="1:17" x14ac:dyDescent="0.25">
      <c r="A1409" t="s">
        <v>19</v>
      </c>
      <c r="B1409">
        <v>140</v>
      </c>
      <c r="C1409">
        <v>95.25</v>
      </c>
      <c r="D1409">
        <v>14.4</v>
      </c>
      <c r="E1409">
        <v>140</v>
      </c>
      <c r="F1409">
        <v>96.6</v>
      </c>
      <c r="G1409">
        <v>14.4</v>
      </c>
      <c r="H1409">
        <v>1.2</v>
      </c>
      <c r="I1409">
        <v>0.9</v>
      </c>
      <c r="J1409">
        <v>0.60616596121595478</v>
      </c>
      <c r="K1409">
        <v>1500</v>
      </c>
      <c r="L1409">
        <v>0</v>
      </c>
      <c r="N1409">
        <v>29</v>
      </c>
      <c r="O1409" s="60" t="s">
        <v>1822</v>
      </c>
      <c r="P1409" t="s">
        <v>751</v>
      </c>
      <c r="Q1409" t="s">
        <v>1070</v>
      </c>
    </row>
    <row r="1410" spans="1:17" x14ac:dyDescent="0.25">
      <c r="A1410" t="s">
        <v>19</v>
      </c>
      <c r="B1410">
        <v>140</v>
      </c>
      <c r="C1410">
        <v>96.6</v>
      </c>
      <c r="D1410">
        <v>14.4</v>
      </c>
      <c r="E1410">
        <v>15</v>
      </c>
      <c r="F1410">
        <v>96.6</v>
      </c>
      <c r="G1410">
        <v>14.4</v>
      </c>
      <c r="H1410">
        <v>1.2</v>
      </c>
      <c r="I1410">
        <v>0.9</v>
      </c>
      <c r="J1410">
        <v>56.126477890366417</v>
      </c>
      <c r="K1410">
        <v>1500</v>
      </c>
      <c r="L1410">
        <v>0</v>
      </c>
      <c r="N1410">
        <v>29</v>
      </c>
      <c r="O1410" s="60" t="s">
        <v>988</v>
      </c>
      <c r="P1410" t="s">
        <v>752</v>
      </c>
      <c r="Q1410" t="s">
        <v>2397</v>
      </c>
    </row>
    <row r="1411" spans="1:17" x14ac:dyDescent="0.25">
      <c r="A1411" t="s">
        <v>19</v>
      </c>
      <c r="B1411">
        <v>15</v>
      </c>
      <c r="C1411">
        <v>96.6</v>
      </c>
      <c r="D1411">
        <v>14.4</v>
      </c>
      <c r="E1411">
        <v>15</v>
      </c>
      <c r="F1411">
        <v>100.65</v>
      </c>
      <c r="G1411">
        <v>14.4</v>
      </c>
      <c r="H1411">
        <v>1.2</v>
      </c>
      <c r="I1411">
        <v>0.9</v>
      </c>
      <c r="J1411">
        <v>1.8184978836478705</v>
      </c>
      <c r="K1411">
        <v>1500</v>
      </c>
      <c r="L1411">
        <v>0</v>
      </c>
      <c r="N1411">
        <v>29</v>
      </c>
      <c r="O1411" s="60" t="s">
        <v>1823</v>
      </c>
      <c r="P1411" t="s">
        <v>823</v>
      </c>
      <c r="Q1411" t="s">
        <v>1071</v>
      </c>
    </row>
    <row r="1412" spans="1:17" x14ac:dyDescent="0.25">
      <c r="A1412" t="s">
        <v>19</v>
      </c>
      <c r="B1412">
        <v>15</v>
      </c>
      <c r="C1412">
        <v>100.65</v>
      </c>
      <c r="D1412">
        <v>14.4</v>
      </c>
      <c r="E1412">
        <v>140</v>
      </c>
      <c r="F1412">
        <v>100.65</v>
      </c>
      <c r="G1412">
        <v>14.4</v>
      </c>
      <c r="H1412">
        <v>1.2</v>
      </c>
      <c r="I1412">
        <v>0.9</v>
      </c>
      <c r="J1412">
        <v>56.126477890366417</v>
      </c>
      <c r="K1412">
        <v>1500</v>
      </c>
      <c r="L1412">
        <v>0</v>
      </c>
      <c r="N1412">
        <v>29</v>
      </c>
      <c r="O1412" s="60" t="s">
        <v>1824</v>
      </c>
      <c r="P1412" t="s">
        <v>750</v>
      </c>
      <c r="Q1412" t="s">
        <v>2396</v>
      </c>
    </row>
    <row r="1413" spans="1:17" x14ac:dyDescent="0.25">
      <c r="A1413" t="s">
        <v>19</v>
      </c>
      <c r="B1413">
        <v>140</v>
      </c>
      <c r="C1413">
        <v>100.65</v>
      </c>
      <c r="D1413">
        <v>14.4</v>
      </c>
      <c r="E1413">
        <v>140</v>
      </c>
      <c r="F1413">
        <v>102</v>
      </c>
      <c r="G1413">
        <v>14.4</v>
      </c>
      <c r="H1413">
        <v>1.2</v>
      </c>
      <c r="I1413">
        <v>0.9</v>
      </c>
      <c r="J1413">
        <v>0.60616596121595478</v>
      </c>
      <c r="K1413">
        <v>1500</v>
      </c>
      <c r="L1413">
        <v>0</v>
      </c>
      <c r="N1413">
        <v>29</v>
      </c>
      <c r="O1413" s="60" t="s">
        <v>1825</v>
      </c>
      <c r="P1413" t="s">
        <v>751</v>
      </c>
      <c r="Q1413" t="s">
        <v>1072</v>
      </c>
    </row>
    <row r="1414" spans="1:17" x14ac:dyDescent="0.25">
      <c r="A1414" t="s">
        <v>19</v>
      </c>
      <c r="B1414">
        <v>140</v>
      </c>
      <c r="C1414">
        <v>102</v>
      </c>
      <c r="D1414">
        <v>14.4</v>
      </c>
      <c r="E1414">
        <v>15</v>
      </c>
      <c r="F1414">
        <v>102</v>
      </c>
      <c r="G1414">
        <v>14.4</v>
      </c>
      <c r="H1414">
        <v>1.2</v>
      </c>
      <c r="I1414">
        <v>0.9</v>
      </c>
      <c r="J1414">
        <v>56.126477890366417</v>
      </c>
      <c r="K1414">
        <v>1500</v>
      </c>
      <c r="L1414">
        <v>0</v>
      </c>
      <c r="N1414">
        <v>29</v>
      </c>
      <c r="O1414" s="60" t="s">
        <v>989</v>
      </c>
      <c r="P1414" t="s">
        <v>752</v>
      </c>
      <c r="Q1414" t="s">
        <v>2397</v>
      </c>
    </row>
    <row r="1415" spans="1:17" x14ac:dyDescent="0.25">
      <c r="A1415" t="s">
        <v>19</v>
      </c>
      <c r="B1415">
        <v>15</v>
      </c>
      <c r="C1415">
        <v>102</v>
      </c>
      <c r="D1415">
        <v>14.4</v>
      </c>
      <c r="E1415">
        <v>15</v>
      </c>
      <c r="F1415">
        <v>106.05</v>
      </c>
      <c r="G1415">
        <v>14.4</v>
      </c>
      <c r="H1415">
        <v>1.2</v>
      </c>
      <c r="I1415">
        <v>0.9</v>
      </c>
      <c r="J1415">
        <v>1.8184978836478705</v>
      </c>
      <c r="K1415">
        <v>1500</v>
      </c>
      <c r="L1415">
        <v>0</v>
      </c>
      <c r="N1415">
        <v>29</v>
      </c>
      <c r="O1415" s="60" t="s">
        <v>1826</v>
      </c>
      <c r="P1415" t="s">
        <v>823</v>
      </c>
      <c r="Q1415" t="s">
        <v>1073</v>
      </c>
    </row>
    <row r="1416" spans="1:17" x14ac:dyDescent="0.25">
      <c r="A1416" t="s">
        <v>19</v>
      </c>
      <c r="B1416">
        <v>15</v>
      </c>
      <c r="C1416">
        <v>106.05</v>
      </c>
      <c r="D1416">
        <v>14.4</v>
      </c>
      <c r="E1416">
        <v>140</v>
      </c>
      <c r="F1416">
        <v>106.05</v>
      </c>
      <c r="G1416">
        <v>14.4</v>
      </c>
      <c r="H1416">
        <v>1.2</v>
      </c>
      <c r="I1416">
        <v>0.9</v>
      </c>
      <c r="J1416">
        <v>56.126477890366417</v>
      </c>
      <c r="K1416">
        <v>1500</v>
      </c>
      <c r="L1416">
        <v>0</v>
      </c>
      <c r="N1416">
        <v>29</v>
      </c>
      <c r="O1416" s="60" t="s">
        <v>1827</v>
      </c>
      <c r="P1416" t="s">
        <v>750</v>
      </c>
      <c r="Q1416" t="s">
        <v>2396</v>
      </c>
    </row>
    <row r="1417" spans="1:17" x14ac:dyDescent="0.25">
      <c r="A1417" t="s">
        <v>19</v>
      </c>
      <c r="B1417">
        <v>140</v>
      </c>
      <c r="C1417">
        <v>106.05</v>
      </c>
      <c r="D1417">
        <v>14.4</v>
      </c>
      <c r="E1417">
        <v>140</v>
      </c>
      <c r="F1417">
        <v>107.39999999999999</v>
      </c>
      <c r="G1417">
        <v>14.4</v>
      </c>
      <c r="H1417">
        <v>1.2</v>
      </c>
      <c r="I1417">
        <v>0.9</v>
      </c>
      <c r="J1417">
        <v>0.60616596121595478</v>
      </c>
      <c r="K1417">
        <v>1500</v>
      </c>
      <c r="L1417">
        <v>0</v>
      </c>
      <c r="N1417">
        <v>29</v>
      </c>
      <c r="O1417" s="60" t="s">
        <v>1828</v>
      </c>
      <c r="P1417" t="s">
        <v>751</v>
      </c>
      <c r="Q1417" t="s">
        <v>1074</v>
      </c>
    </row>
    <row r="1418" spans="1:17" x14ac:dyDescent="0.25">
      <c r="A1418" t="s">
        <v>19</v>
      </c>
      <c r="B1418">
        <v>140</v>
      </c>
      <c r="C1418">
        <v>107.39999999999999</v>
      </c>
      <c r="D1418">
        <v>14.4</v>
      </c>
      <c r="E1418">
        <v>15</v>
      </c>
      <c r="F1418">
        <v>107.39999999999999</v>
      </c>
      <c r="G1418">
        <v>14.4</v>
      </c>
      <c r="H1418">
        <v>1.2</v>
      </c>
      <c r="I1418">
        <v>0.9</v>
      </c>
      <c r="J1418">
        <v>56.126477890366417</v>
      </c>
      <c r="K1418">
        <v>1500</v>
      </c>
      <c r="L1418">
        <v>0</v>
      </c>
      <c r="N1418">
        <v>29</v>
      </c>
      <c r="O1418" s="60" t="s">
        <v>990</v>
      </c>
      <c r="P1418" t="s">
        <v>752</v>
      </c>
      <c r="Q1418" t="s">
        <v>2397</v>
      </c>
    </row>
    <row r="1419" spans="1:17" x14ac:dyDescent="0.25">
      <c r="A1419" t="s">
        <v>19</v>
      </c>
      <c r="B1419">
        <v>15</v>
      </c>
      <c r="C1419">
        <v>107.4</v>
      </c>
      <c r="D1419">
        <v>14.4</v>
      </c>
      <c r="E1419">
        <v>15</v>
      </c>
      <c r="F1419">
        <v>111.45</v>
      </c>
      <c r="G1419">
        <v>14.4</v>
      </c>
      <c r="H1419">
        <v>1.2</v>
      </c>
      <c r="I1419">
        <v>0.9</v>
      </c>
      <c r="J1419">
        <v>1.8184978836478705</v>
      </c>
      <c r="K1419">
        <v>1500</v>
      </c>
      <c r="L1419">
        <v>0</v>
      </c>
      <c r="N1419">
        <v>29</v>
      </c>
      <c r="O1419" s="60" t="s">
        <v>1829</v>
      </c>
      <c r="P1419" t="s">
        <v>823</v>
      </c>
      <c r="Q1419" t="s">
        <v>1075</v>
      </c>
    </row>
    <row r="1420" spans="1:17" x14ac:dyDescent="0.25">
      <c r="A1420" t="s">
        <v>19</v>
      </c>
      <c r="B1420">
        <v>15</v>
      </c>
      <c r="C1420">
        <v>111.45</v>
      </c>
      <c r="D1420">
        <v>14.4</v>
      </c>
      <c r="E1420">
        <v>140</v>
      </c>
      <c r="F1420">
        <v>111.45</v>
      </c>
      <c r="G1420">
        <v>14.4</v>
      </c>
      <c r="H1420">
        <v>1.2</v>
      </c>
      <c r="I1420">
        <v>0.9</v>
      </c>
      <c r="J1420">
        <v>56.126477890366417</v>
      </c>
      <c r="K1420">
        <v>1500</v>
      </c>
      <c r="L1420">
        <v>0</v>
      </c>
      <c r="N1420">
        <v>29</v>
      </c>
      <c r="O1420" s="60" t="s">
        <v>1830</v>
      </c>
      <c r="P1420" t="s">
        <v>750</v>
      </c>
      <c r="Q1420" t="s">
        <v>2396</v>
      </c>
    </row>
    <row r="1421" spans="1:17" x14ac:dyDescent="0.25">
      <c r="A1421" t="s">
        <v>19</v>
      </c>
      <c r="B1421">
        <v>140</v>
      </c>
      <c r="C1421">
        <v>111.45</v>
      </c>
      <c r="D1421">
        <v>14.4</v>
      </c>
      <c r="E1421">
        <v>140</v>
      </c>
      <c r="F1421">
        <v>112.8</v>
      </c>
      <c r="G1421">
        <v>14.4</v>
      </c>
      <c r="H1421">
        <v>1.2</v>
      </c>
      <c r="I1421">
        <v>0.9</v>
      </c>
      <c r="J1421">
        <v>0.60616596121595478</v>
      </c>
      <c r="K1421">
        <v>1500</v>
      </c>
      <c r="L1421">
        <v>0</v>
      </c>
      <c r="N1421">
        <v>29</v>
      </c>
      <c r="O1421" s="60" t="s">
        <v>1831</v>
      </c>
      <c r="P1421" t="s">
        <v>751</v>
      </c>
      <c r="Q1421" t="s">
        <v>1076</v>
      </c>
    </row>
    <row r="1422" spans="1:17" x14ac:dyDescent="0.25">
      <c r="A1422" t="s">
        <v>19</v>
      </c>
      <c r="B1422">
        <v>140</v>
      </c>
      <c r="C1422">
        <v>112.8</v>
      </c>
      <c r="D1422">
        <v>14.4</v>
      </c>
      <c r="E1422">
        <v>15</v>
      </c>
      <c r="F1422">
        <v>112.8</v>
      </c>
      <c r="G1422">
        <v>14.4</v>
      </c>
      <c r="H1422">
        <v>1.2</v>
      </c>
      <c r="I1422">
        <v>0.9</v>
      </c>
      <c r="J1422">
        <v>56.126477890366417</v>
      </c>
      <c r="K1422">
        <v>1500</v>
      </c>
      <c r="L1422">
        <v>0</v>
      </c>
      <c r="N1422">
        <v>29</v>
      </c>
      <c r="O1422" s="60" t="s">
        <v>991</v>
      </c>
      <c r="P1422" t="s">
        <v>752</v>
      </c>
      <c r="Q1422" t="s">
        <v>2397</v>
      </c>
    </row>
    <row r="1423" spans="1:17" x14ac:dyDescent="0.25">
      <c r="A1423" t="s">
        <v>19</v>
      </c>
      <c r="B1423">
        <v>15</v>
      </c>
      <c r="C1423">
        <v>112.8</v>
      </c>
      <c r="D1423">
        <v>14.4</v>
      </c>
      <c r="E1423">
        <v>15</v>
      </c>
      <c r="F1423">
        <v>116.85</v>
      </c>
      <c r="G1423">
        <v>14.4</v>
      </c>
      <c r="H1423">
        <v>1.2</v>
      </c>
      <c r="I1423">
        <v>0.9</v>
      </c>
      <c r="J1423">
        <v>1.8184978836478705</v>
      </c>
      <c r="K1423">
        <v>1500</v>
      </c>
      <c r="L1423">
        <v>0</v>
      </c>
      <c r="N1423">
        <v>29</v>
      </c>
      <c r="O1423" s="60" t="s">
        <v>1832</v>
      </c>
      <c r="P1423" t="s">
        <v>823</v>
      </c>
      <c r="Q1423" t="s">
        <v>1077</v>
      </c>
    </row>
    <row r="1424" spans="1:17" x14ac:dyDescent="0.25">
      <c r="A1424" t="s">
        <v>19</v>
      </c>
      <c r="B1424">
        <v>15</v>
      </c>
      <c r="C1424">
        <v>116.85</v>
      </c>
      <c r="D1424">
        <v>14.4</v>
      </c>
      <c r="E1424">
        <v>140</v>
      </c>
      <c r="F1424">
        <v>116.85</v>
      </c>
      <c r="G1424">
        <v>14.4</v>
      </c>
      <c r="H1424">
        <v>1.2</v>
      </c>
      <c r="I1424">
        <v>0.9</v>
      </c>
      <c r="J1424">
        <v>56.126477890366417</v>
      </c>
      <c r="K1424">
        <v>1500</v>
      </c>
      <c r="L1424">
        <v>0</v>
      </c>
      <c r="N1424">
        <v>29</v>
      </c>
      <c r="O1424" s="60" t="s">
        <v>1833</v>
      </c>
      <c r="P1424" t="s">
        <v>750</v>
      </c>
      <c r="Q1424" t="s">
        <v>2396</v>
      </c>
    </row>
    <row r="1425" spans="1:17" x14ac:dyDescent="0.25">
      <c r="A1425" t="s">
        <v>19</v>
      </c>
      <c r="B1425">
        <v>140</v>
      </c>
      <c r="C1425">
        <v>116.85</v>
      </c>
      <c r="D1425">
        <v>14.4</v>
      </c>
      <c r="E1425">
        <v>140</v>
      </c>
      <c r="F1425">
        <v>118.19999999999999</v>
      </c>
      <c r="G1425">
        <v>14.4</v>
      </c>
      <c r="H1425">
        <v>1.2</v>
      </c>
      <c r="I1425">
        <v>0.9</v>
      </c>
      <c r="J1425">
        <v>0.60616596121595478</v>
      </c>
      <c r="K1425">
        <v>1500</v>
      </c>
      <c r="L1425">
        <v>0</v>
      </c>
      <c r="N1425">
        <v>29</v>
      </c>
      <c r="O1425" s="60" t="s">
        <v>1834</v>
      </c>
      <c r="P1425" t="s">
        <v>751</v>
      </c>
      <c r="Q1425" t="s">
        <v>1078</v>
      </c>
    </row>
    <row r="1426" spans="1:17" x14ac:dyDescent="0.25">
      <c r="A1426" t="s">
        <v>19</v>
      </c>
      <c r="B1426">
        <v>140</v>
      </c>
      <c r="C1426">
        <v>118.19999999999999</v>
      </c>
      <c r="D1426">
        <v>14.4</v>
      </c>
      <c r="E1426">
        <v>15</v>
      </c>
      <c r="F1426">
        <v>118.19999999999999</v>
      </c>
      <c r="G1426">
        <v>14.4</v>
      </c>
      <c r="H1426">
        <v>1.2</v>
      </c>
      <c r="I1426">
        <v>0.9</v>
      </c>
      <c r="J1426">
        <v>56.126477890366417</v>
      </c>
      <c r="K1426">
        <v>1500</v>
      </c>
      <c r="L1426">
        <v>0</v>
      </c>
      <c r="N1426">
        <v>29</v>
      </c>
      <c r="O1426" s="60" t="s">
        <v>992</v>
      </c>
      <c r="P1426" t="s">
        <v>752</v>
      </c>
      <c r="Q1426" t="s">
        <v>2397</v>
      </c>
    </row>
    <row r="1427" spans="1:17" x14ac:dyDescent="0.25">
      <c r="A1427" t="s">
        <v>19</v>
      </c>
      <c r="B1427">
        <v>15</v>
      </c>
      <c r="C1427">
        <v>118.2</v>
      </c>
      <c r="D1427">
        <v>14.4</v>
      </c>
      <c r="E1427">
        <v>15</v>
      </c>
      <c r="F1427">
        <v>122.25</v>
      </c>
      <c r="G1427">
        <v>14.4</v>
      </c>
      <c r="H1427">
        <v>1.2</v>
      </c>
      <c r="I1427">
        <v>0.9</v>
      </c>
      <c r="J1427">
        <v>1.8184978836478705</v>
      </c>
      <c r="K1427">
        <v>1500</v>
      </c>
      <c r="L1427">
        <v>0</v>
      </c>
      <c r="N1427">
        <v>29</v>
      </c>
      <c r="O1427" s="60" t="s">
        <v>2344</v>
      </c>
      <c r="P1427" t="s">
        <v>823</v>
      </c>
      <c r="Q1427" t="s">
        <v>1955</v>
      </c>
    </row>
    <row r="1428" spans="1:17" x14ac:dyDescent="0.25">
      <c r="A1428" t="s">
        <v>19</v>
      </c>
      <c r="B1428">
        <v>15</v>
      </c>
      <c r="C1428">
        <v>122.25</v>
      </c>
      <c r="D1428">
        <v>14.4</v>
      </c>
      <c r="E1428">
        <v>140</v>
      </c>
      <c r="F1428">
        <v>122.25</v>
      </c>
      <c r="G1428">
        <v>14.4</v>
      </c>
      <c r="H1428">
        <v>1.2</v>
      </c>
      <c r="I1428">
        <v>0.9</v>
      </c>
      <c r="J1428">
        <v>56.126477890366417</v>
      </c>
      <c r="K1428">
        <v>1500</v>
      </c>
      <c r="L1428">
        <v>0</v>
      </c>
      <c r="N1428">
        <v>29</v>
      </c>
      <c r="O1428" s="60" t="s">
        <v>2345</v>
      </c>
      <c r="P1428" t="s">
        <v>750</v>
      </c>
      <c r="Q1428" t="s">
        <v>2396</v>
      </c>
    </row>
    <row r="1429" spans="1:17" x14ac:dyDescent="0.25">
      <c r="A1429" t="s">
        <v>19</v>
      </c>
      <c r="B1429">
        <v>140</v>
      </c>
      <c r="C1429">
        <v>122.25</v>
      </c>
      <c r="D1429">
        <v>14.4</v>
      </c>
      <c r="E1429">
        <v>140</v>
      </c>
      <c r="F1429">
        <v>123.6</v>
      </c>
      <c r="G1429">
        <v>14.4</v>
      </c>
      <c r="H1429">
        <v>1.2</v>
      </c>
      <c r="I1429">
        <v>0.9</v>
      </c>
      <c r="J1429">
        <v>0.60616596121595478</v>
      </c>
      <c r="K1429">
        <v>1500</v>
      </c>
      <c r="L1429">
        <v>0</v>
      </c>
      <c r="N1429">
        <v>29</v>
      </c>
      <c r="O1429" s="60" t="s">
        <v>2346</v>
      </c>
      <c r="P1429" t="s">
        <v>751</v>
      </c>
      <c r="Q1429" t="s">
        <v>1958</v>
      </c>
    </row>
    <row r="1430" spans="1:17" x14ac:dyDescent="0.25">
      <c r="A1430" t="s">
        <v>19</v>
      </c>
      <c r="B1430">
        <v>140</v>
      </c>
      <c r="C1430">
        <v>123.6</v>
      </c>
      <c r="D1430">
        <v>14.4</v>
      </c>
      <c r="E1430">
        <v>15</v>
      </c>
      <c r="F1430">
        <v>123.6</v>
      </c>
      <c r="G1430">
        <v>14.4</v>
      </c>
      <c r="H1430">
        <v>1.2</v>
      </c>
      <c r="I1430">
        <v>0.9</v>
      </c>
      <c r="J1430">
        <v>56.126477890366417</v>
      </c>
      <c r="K1430">
        <v>1500</v>
      </c>
      <c r="L1430">
        <v>0</v>
      </c>
      <c r="N1430">
        <v>29</v>
      </c>
      <c r="O1430" s="60" t="s">
        <v>2347</v>
      </c>
      <c r="P1430" t="s">
        <v>752</v>
      </c>
      <c r="Q1430" t="s">
        <v>2397</v>
      </c>
    </row>
    <row r="1431" spans="1:17" x14ac:dyDescent="0.25">
      <c r="A1431" t="s">
        <v>19</v>
      </c>
      <c r="B1431">
        <v>15</v>
      </c>
      <c r="C1431">
        <v>123.60000000000001</v>
      </c>
      <c r="D1431">
        <v>14.4</v>
      </c>
      <c r="E1431">
        <v>15</v>
      </c>
      <c r="F1431">
        <v>127.65</v>
      </c>
      <c r="G1431">
        <v>14.4</v>
      </c>
      <c r="H1431">
        <v>1.2</v>
      </c>
      <c r="I1431">
        <v>0.9</v>
      </c>
      <c r="J1431">
        <v>1.8184978836478705</v>
      </c>
      <c r="K1431">
        <v>1500</v>
      </c>
      <c r="L1431">
        <v>0</v>
      </c>
      <c r="N1431">
        <v>29</v>
      </c>
      <c r="O1431" s="60" t="s">
        <v>2348</v>
      </c>
      <c r="P1431" t="s">
        <v>823</v>
      </c>
      <c r="Q1431" t="s">
        <v>1961</v>
      </c>
    </row>
    <row r="1432" spans="1:17" x14ac:dyDescent="0.25">
      <c r="A1432" t="s">
        <v>19</v>
      </c>
      <c r="B1432">
        <v>15</v>
      </c>
      <c r="C1432">
        <v>127.65</v>
      </c>
      <c r="D1432">
        <v>14.4</v>
      </c>
      <c r="E1432">
        <v>140</v>
      </c>
      <c r="F1432">
        <v>127.65</v>
      </c>
      <c r="G1432">
        <v>14.4</v>
      </c>
      <c r="H1432">
        <v>1.2</v>
      </c>
      <c r="I1432">
        <v>0.9</v>
      </c>
      <c r="J1432">
        <v>56.126477890366417</v>
      </c>
      <c r="K1432">
        <v>1500</v>
      </c>
      <c r="L1432">
        <v>0</v>
      </c>
      <c r="N1432">
        <v>29</v>
      </c>
      <c r="O1432" s="60" t="s">
        <v>2349</v>
      </c>
      <c r="P1432" t="s">
        <v>750</v>
      </c>
      <c r="Q1432" t="s">
        <v>2396</v>
      </c>
    </row>
    <row r="1433" spans="1:17" x14ac:dyDescent="0.25">
      <c r="A1433" t="s">
        <v>19</v>
      </c>
      <c r="B1433">
        <v>140</v>
      </c>
      <c r="C1433">
        <v>127.65</v>
      </c>
      <c r="D1433">
        <v>14.4</v>
      </c>
      <c r="E1433">
        <v>140</v>
      </c>
      <c r="F1433">
        <v>129</v>
      </c>
      <c r="G1433">
        <v>14.4</v>
      </c>
      <c r="H1433">
        <v>1.2</v>
      </c>
      <c r="I1433">
        <v>0.9</v>
      </c>
      <c r="J1433">
        <v>0.60616596121595478</v>
      </c>
      <c r="K1433">
        <v>1500</v>
      </c>
      <c r="L1433">
        <v>0</v>
      </c>
      <c r="N1433">
        <v>29</v>
      </c>
      <c r="O1433" s="60" t="s">
        <v>2350</v>
      </c>
      <c r="P1433" t="s">
        <v>751</v>
      </c>
      <c r="Q1433" t="s">
        <v>1964</v>
      </c>
    </row>
    <row r="1434" spans="1:17" x14ac:dyDescent="0.25">
      <c r="A1434" t="s">
        <v>19</v>
      </c>
      <c r="B1434">
        <v>140</v>
      </c>
      <c r="C1434">
        <v>129</v>
      </c>
      <c r="D1434">
        <v>14.4</v>
      </c>
      <c r="E1434">
        <v>15</v>
      </c>
      <c r="F1434">
        <v>129</v>
      </c>
      <c r="G1434">
        <v>14.4</v>
      </c>
      <c r="H1434">
        <v>1.2</v>
      </c>
      <c r="I1434">
        <v>0.9</v>
      </c>
      <c r="J1434">
        <v>56.126477890366417</v>
      </c>
      <c r="K1434">
        <v>1500</v>
      </c>
      <c r="L1434">
        <v>0</v>
      </c>
      <c r="N1434">
        <v>29</v>
      </c>
      <c r="O1434" s="60" t="s">
        <v>2351</v>
      </c>
      <c r="P1434" t="s">
        <v>752</v>
      </c>
      <c r="Q1434" t="s">
        <v>2397</v>
      </c>
    </row>
    <row r="1435" spans="1:17" x14ac:dyDescent="0.25">
      <c r="A1435" t="s">
        <v>49</v>
      </c>
      <c r="B1435" t="s">
        <v>811</v>
      </c>
      <c r="N1435">
        <v>29</v>
      </c>
      <c r="O1435" s="60" t="s">
        <v>993</v>
      </c>
      <c r="P1435" t="s">
        <v>749</v>
      </c>
      <c r="Q1435" t="s">
        <v>811</v>
      </c>
    </row>
    <row r="1436" spans="1:17" x14ac:dyDescent="0.25">
      <c r="A1436" t="s">
        <v>49</v>
      </c>
      <c r="B1436" t="s">
        <v>203</v>
      </c>
      <c r="C1436">
        <v>1</v>
      </c>
      <c r="N1436">
        <v>29</v>
      </c>
      <c r="O1436" s="60" t="s">
        <v>994</v>
      </c>
      <c r="P1436" t="s">
        <v>754</v>
      </c>
      <c r="Q1436" t="s">
        <v>468</v>
      </c>
    </row>
    <row r="1437" spans="1:17" x14ac:dyDescent="0.25">
      <c r="A1437" t="s">
        <v>49</v>
      </c>
      <c r="B1437" t="s">
        <v>634</v>
      </c>
      <c r="N1437">
        <v>29</v>
      </c>
      <c r="O1437" s="60" t="s">
        <v>995</v>
      </c>
      <c r="P1437" t="s">
        <v>758</v>
      </c>
      <c r="Q1437" t="s">
        <v>634</v>
      </c>
    </row>
    <row r="1438" spans="1:17" x14ac:dyDescent="0.25">
      <c r="A1438" t="s">
        <v>23</v>
      </c>
      <c r="B1438">
        <v>15</v>
      </c>
      <c r="C1438">
        <v>129</v>
      </c>
      <c r="D1438">
        <v>14.4</v>
      </c>
      <c r="E1438">
        <v>141.35</v>
      </c>
      <c r="F1438">
        <v>76.349999999999994</v>
      </c>
      <c r="G1438">
        <v>14.4001</v>
      </c>
      <c r="H1438">
        <v>0</v>
      </c>
      <c r="I1438">
        <v>0</v>
      </c>
      <c r="K1438">
        <v>48000</v>
      </c>
      <c r="N1438">
        <v>0</v>
      </c>
      <c r="O1438" s="60">
        <v>0</v>
      </c>
      <c r="P1438" t="s">
        <v>661</v>
      </c>
      <c r="Q1438" t="s">
        <v>2405</v>
      </c>
    </row>
    <row r="1439" spans="1:17" x14ac:dyDescent="0.25">
      <c r="A1439" t="s">
        <v>19</v>
      </c>
      <c r="B1439">
        <v>141.35</v>
      </c>
      <c r="C1439">
        <v>76.349999999999994</v>
      </c>
      <c r="D1439">
        <v>14.4001</v>
      </c>
      <c r="E1439">
        <v>16.349999999999994</v>
      </c>
      <c r="F1439">
        <v>76.349999999999994</v>
      </c>
      <c r="G1439">
        <v>14.4001</v>
      </c>
      <c r="H1439">
        <v>1.2</v>
      </c>
      <c r="I1439">
        <v>0.9</v>
      </c>
      <c r="J1439">
        <v>56.126477890366417</v>
      </c>
      <c r="K1439">
        <v>1500</v>
      </c>
      <c r="L1439">
        <v>0</v>
      </c>
      <c r="N1439">
        <v>29</v>
      </c>
      <c r="O1439" s="60" t="s">
        <v>2352</v>
      </c>
      <c r="P1439" t="s">
        <v>1984</v>
      </c>
      <c r="Q1439" t="s">
        <v>2393</v>
      </c>
    </row>
    <row r="1440" spans="1:17" x14ac:dyDescent="0.25">
      <c r="A1440" t="s">
        <v>19</v>
      </c>
      <c r="B1440">
        <v>16.349999999999994</v>
      </c>
      <c r="C1440">
        <v>76.349999999999994</v>
      </c>
      <c r="D1440">
        <v>14.4001</v>
      </c>
      <c r="E1440">
        <v>16.349999999999994</v>
      </c>
      <c r="F1440">
        <v>77.699999999999989</v>
      </c>
      <c r="G1440">
        <v>14.4001</v>
      </c>
      <c r="H1440">
        <v>1.2</v>
      </c>
      <c r="I1440">
        <v>0.9</v>
      </c>
      <c r="J1440">
        <v>0.60616596121595478</v>
      </c>
      <c r="K1440">
        <v>1500</v>
      </c>
      <c r="L1440">
        <v>0</v>
      </c>
      <c r="N1440">
        <v>29</v>
      </c>
      <c r="O1440" s="60" t="s">
        <v>2353</v>
      </c>
      <c r="P1440" t="s">
        <v>1986</v>
      </c>
      <c r="Q1440" t="s">
        <v>876</v>
      </c>
    </row>
    <row r="1441" spans="1:17" x14ac:dyDescent="0.25">
      <c r="A1441" t="s">
        <v>19</v>
      </c>
      <c r="B1441">
        <v>16.349999999999994</v>
      </c>
      <c r="C1441">
        <v>77.699999999999989</v>
      </c>
      <c r="D1441">
        <v>14.4001</v>
      </c>
      <c r="E1441">
        <v>141.35</v>
      </c>
      <c r="F1441">
        <v>77.699999999999989</v>
      </c>
      <c r="G1441">
        <v>14.4001</v>
      </c>
      <c r="H1441">
        <v>1.2</v>
      </c>
      <c r="I1441">
        <v>0.9</v>
      </c>
      <c r="J1441">
        <v>56.126477890366417</v>
      </c>
      <c r="K1441">
        <v>1500</v>
      </c>
      <c r="L1441">
        <v>0</v>
      </c>
      <c r="N1441">
        <v>29</v>
      </c>
      <c r="O1441" s="60" t="s">
        <v>2354</v>
      </c>
      <c r="P1441" t="s">
        <v>1988</v>
      </c>
      <c r="Q1441" t="s">
        <v>2394</v>
      </c>
    </row>
    <row r="1442" spans="1:17" x14ac:dyDescent="0.25">
      <c r="A1442" t="s">
        <v>19</v>
      </c>
      <c r="B1442">
        <v>141.35</v>
      </c>
      <c r="C1442">
        <v>77.699999999999989</v>
      </c>
      <c r="D1442">
        <v>14.4001</v>
      </c>
      <c r="E1442">
        <v>141.35</v>
      </c>
      <c r="F1442">
        <v>81.749999999999986</v>
      </c>
      <c r="G1442">
        <v>14.4001</v>
      </c>
      <c r="H1442">
        <v>1.2</v>
      </c>
      <c r="I1442">
        <v>0.9</v>
      </c>
      <c r="J1442">
        <v>1.8184978836478705</v>
      </c>
      <c r="K1442">
        <v>1500</v>
      </c>
      <c r="L1442">
        <v>0</v>
      </c>
      <c r="N1442">
        <v>29</v>
      </c>
      <c r="O1442" s="60" t="s">
        <v>2355</v>
      </c>
      <c r="P1442" t="s">
        <v>1990</v>
      </c>
      <c r="Q1442" t="s">
        <v>877</v>
      </c>
    </row>
    <row r="1443" spans="1:17" x14ac:dyDescent="0.25">
      <c r="A1443" t="s">
        <v>19</v>
      </c>
      <c r="B1443">
        <v>141.35</v>
      </c>
      <c r="C1443">
        <v>81.75</v>
      </c>
      <c r="D1443">
        <v>14.4001</v>
      </c>
      <c r="E1443">
        <v>16.349999999999994</v>
      </c>
      <c r="F1443">
        <v>81.75</v>
      </c>
      <c r="G1443">
        <v>14.4001</v>
      </c>
      <c r="H1443">
        <v>1.2</v>
      </c>
      <c r="I1443">
        <v>0.9</v>
      </c>
      <c r="J1443">
        <v>56.126477890366417</v>
      </c>
      <c r="K1443">
        <v>1500</v>
      </c>
      <c r="L1443">
        <v>0</v>
      </c>
      <c r="N1443">
        <v>29</v>
      </c>
      <c r="O1443" s="60" t="s">
        <v>1835</v>
      </c>
      <c r="P1443" t="s">
        <v>824</v>
      </c>
      <c r="Q1443" t="s">
        <v>2395</v>
      </c>
    </row>
    <row r="1444" spans="1:17" x14ac:dyDescent="0.25">
      <c r="A1444" t="s">
        <v>19</v>
      </c>
      <c r="B1444">
        <v>16.349999999999994</v>
      </c>
      <c r="C1444">
        <v>81.75</v>
      </c>
      <c r="D1444">
        <v>14.4001</v>
      </c>
      <c r="E1444">
        <v>16.349999999999994</v>
      </c>
      <c r="F1444">
        <v>83.1</v>
      </c>
      <c r="G1444">
        <v>14.4001</v>
      </c>
      <c r="H1444">
        <v>1.2</v>
      </c>
      <c r="I1444">
        <v>0.9</v>
      </c>
      <c r="J1444">
        <v>0.60616596121595478</v>
      </c>
      <c r="K1444">
        <v>1500</v>
      </c>
      <c r="L1444">
        <v>0</v>
      </c>
      <c r="N1444">
        <v>29</v>
      </c>
      <c r="O1444" s="60" t="s">
        <v>1836</v>
      </c>
      <c r="P1444" t="s">
        <v>825</v>
      </c>
      <c r="Q1444" t="s">
        <v>1024</v>
      </c>
    </row>
    <row r="1445" spans="1:17" x14ac:dyDescent="0.25">
      <c r="A1445" t="s">
        <v>19</v>
      </c>
      <c r="B1445">
        <v>16.349999999999994</v>
      </c>
      <c r="C1445">
        <v>83.1</v>
      </c>
      <c r="D1445">
        <v>14.4001</v>
      </c>
      <c r="E1445">
        <v>141.35</v>
      </c>
      <c r="F1445">
        <v>83.1</v>
      </c>
      <c r="G1445">
        <v>14.4001</v>
      </c>
      <c r="H1445">
        <v>1.2</v>
      </c>
      <c r="I1445">
        <v>0.9</v>
      </c>
      <c r="J1445">
        <v>56.126477890366417</v>
      </c>
      <c r="K1445">
        <v>1500</v>
      </c>
      <c r="L1445">
        <v>0</v>
      </c>
      <c r="N1445">
        <v>29</v>
      </c>
      <c r="O1445" s="60" t="s">
        <v>1837</v>
      </c>
      <c r="P1445" t="s">
        <v>755</v>
      </c>
      <c r="Q1445" t="s">
        <v>2394</v>
      </c>
    </row>
    <row r="1446" spans="1:17" x14ac:dyDescent="0.25">
      <c r="A1446" t="s">
        <v>19</v>
      </c>
      <c r="B1446">
        <v>141.35</v>
      </c>
      <c r="C1446">
        <v>83.1</v>
      </c>
      <c r="D1446">
        <v>14.4001</v>
      </c>
      <c r="E1446">
        <v>141.35</v>
      </c>
      <c r="F1446">
        <v>87.149999999999991</v>
      </c>
      <c r="G1446">
        <v>14.4001</v>
      </c>
      <c r="H1446">
        <v>1.2</v>
      </c>
      <c r="I1446">
        <v>0.9</v>
      </c>
      <c r="J1446">
        <v>1.8184978836478705</v>
      </c>
      <c r="K1446">
        <v>1500</v>
      </c>
      <c r="L1446">
        <v>0</v>
      </c>
      <c r="N1446">
        <v>29</v>
      </c>
      <c r="O1446" s="60" t="s">
        <v>1838</v>
      </c>
      <c r="P1446" t="s">
        <v>756</v>
      </c>
      <c r="Q1446" t="s">
        <v>1025</v>
      </c>
    </row>
    <row r="1447" spans="1:17" x14ac:dyDescent="0.25">
      <c r="A1447" t="s">
        <v>19</v>
      </c>
      <c r="B1447">
        <v>141.35</v>
      </c>
      <c r="C1447">
        <v>87.149999999999991</v>
      </c>
      <c r="D1447">
        <v>14.4001</v>
      </c>
      <c r="E1447">
        <v>16.349999999999994</v>
      </c>
      <c r="F1447">
        <v>87.149999999999991</v>
      </c>
      <c r="G1447">
        <v>14.4001</v>
      </c>
      <c r="H1447">
        <v>1.2</v>
      </c>
      <c r="I1447">
        <v>0.9</v>
      </c>
      <c r="J1447">
        <v>56.126477890366417</v>
      </c>
      <c r="K1447">
        <v>1500</v>
      </c>
      <c r="L1447">
        <v>0</v>
      </c>
      <c r="N1447">
        <v>29</v>
      </c>
      <c r="O1447" s="60" t="s">
        <v>1839</v>
      </c>
      <c r="P1447" t="s">
        <v>824</v>
      </c>
      <c r="Q1447" t="s">
        <v>2395</v>
      </c>
    </row>
    <row r="1448" spans="1:17" x14ac:dyDescent="0.25">
      <c r="A1448" t="s">
        <v>19</v>
      </c>
      <c r="B1448">
        <v>16.349999999999994</v>
      </c>
      <c r="C1448">
        <v>87.149999999999991</v>
      </c>
      <c r="D1448">
        <v>14.4001</v>
      </c>
      <c r="E1448">
        <v>16.349999999999994</v>
      </c>
      <c r="F1448">
        <v>88.499999999999986</v>
      </c>
      <c r="G1448">
        <v>14.4001</v>
      </c>
      <c r="H1448">
        <v>1.2</v>
      </c>
      <c r="I1448">
        <v>0.9</v>
      </c>
      <c r="J1448">
        <v>0.60616596121595478</v>
      </c>
      <c r="K1448">
        <v>1500</v>
      </c>
      <c r="L1448">
        <v>0</v>
      </c>
      <c r="N1448">
        <v>29</v>
      </c>
      <c r="O1448" s="60" t="s">
        <v>1840</v>
      </c>
      <c r="P1448" t="s">
        <v>825</v>
      </c>
      <c r="Q1448" t="s">
        <v>1026</v>
      </c>
    </row>
    <row r="1449" spans="1:17" x14ac:dyDescent="0.25">
      <c r="A1449" t="s">
        <v>19</v>
      </c>
      <c r="B1449">
        <v>16.349999999999994</v>
      </c>
      <c r="C1449">
        <v>88.499999999999986</v>
      </c>
      <c r="D1449">
        <v>14.4001</v>
      </c>
      <c r="E1449">
        <v>141.35</v>
      </c>
      <c r="F1449">
        <v>88.499999999999986</v>
      </c>
      <c r="G1449">
        <v>14.4001</v>
      </c>
      <c r="H1449">
        <v>1.2</v>
      </c>
      <c r="I1449">
        <v>0.9</v>
      </c>
      <c r="J1449">
        <v>56.126477890366417</v>
      </c>
      <c r="K1449">
        <v>1500</v>
      </c>
      <c r="L1449">
        <v>0</v>
      </c>
      <c r="N1449">
        <v>29</v>
      </c>
      <c r="O1449" s="60" t="s">
        <v>1841</v>
      </c>
      <c r="P1449" t="s">
        <v>755</v>
      </c>
      <c r="Q1449" t="s">
        <v>2394</v>
      </c>
    </row>
    <row r="1450" spans="1:17" x14ac:dyDescent="0.25">
      <c r="A1450" t="s">
        <v>19</v>
      </c>
      <c r="B1450">
        <v>141.35</v>
      </c>
      <c r="C1450">
        <v>88.499999999999986</v>
      </c>
      <c r="D1450">
        <v>14.4001</v>
      </c>
      <c r="E1450">
        <v>141.35</v>
      </c>
      <c r="F1450">
        <v>92.549999999999983</v>
      </c>
      <c r="G1450">
        <v>14.4001</v>
      </c>
      <c r="H1450">
        <v>1.2</v>
      </c>
      <c r="I1450">
        <v>0.9</v>
      </c>
      <c r="J1450">
        <v>1.8184978836478705</v>
      </c>
      <c r="K1450">
        <v>1500</v>
      </c>
      <c r="L1450">
        <v>0</v>
      </c>
      <c r="N1450">
        <v>29</v>
      </c>
      <c r="O1450" s="60" t="s">
        <v>1842</v>
      </c>
      <c r="P1450" t="s">
        <v>756</v>
      </c>
      <c r="Q1450" t="s">
        <v>1027</v>
      </c>
    </row>
    <row r="1451" spans="1:17" x14ac:dyDescent="0.25">
      <c r="A1451" t="s">
        <v>19</v>
      </c>
      <c r="B1451">
        <v>141.35</v>
      </c>
      <c r="C1451">
        <v>92.55</v>
      </c>
      <c r="D1451">
        <v>14.4001</v>
      </c>
      <c r="E1451">
        <v>16.349999999999994</v>
      </c>
      <c r="F1451">
        <v>92.55</v>
      </c>
      <c r="G1451">
        <v>14.4001</v>
      </c>
      <c r="H1451">
        <v>1.2</v>
      </c>
      <c r="I1451">
        <v>0.9</v>
      </c>
      <c r="J1451">
        <v>56.126477890366417</v>
      </c>
      <c r="K1451">
        <v>1500</v>
      </c>
      <c r="L1451">
        <v>0</v>
      </c>
      <c r="N1451">
        <v>29</v>
      </c>
      <c r="O1451" s="60" t="s">
        <v>1843</v>
      </c>
      <c r="P1451" t="s">
        <v>824</v>
      </c>
      <c r="Q1451" t="s">
        <v>2395</v>
      </c>
    </row>
    <row r="1452" spans="1:17" x14ac:dyDescent="0.25">
      <c r="A1452" t="s">
        <v>19</v>
      </c>
      <c r="B1452">
        <v>16.349999999999994</v>
      </c>
      <c r="C1452">
        <v>92.55</v>
      </c>
      <c r="D1452">
        <v>14.4001</v>
      </c>
      <c r="E1452">
        <v>16.349999999999994</v>
      </c>
      <c r="F1452">
        <v>93.899999999999991</v>
      </c>
      <c r="G1452">
        <v>14.4001</v>
      </c>
      <c r="H1452">
        <v>1.2</v>
      </c>
      <c r="I1452">
        <v>0.9</v>
      </c>
      <c r="J1452">
        <v>0.60616596121595478</v>
      </c>
      <c r="K1452">
        <v>1500</v>
      </c>
      <c r="L1452">
        <v>0</v>
      </c>
      <c r="N1452">
        <v>29</v>
      </c>
      <c r="O1452" s="60" t="s">
        <v>1844</v>
      </c>
      <c r="P1452" t="s">
        <v>825</v>
      </c>
      <c r="Q1452" t="s">
        <v>1028</v>
      </c>
    </row>
    <row r="1453" spans="1:17" x14ac:dyDescent="0.25">
      <c r="A1453" t="s">
        <v>19</v>
      </c>
      <c r="B1453">
        <v>16.349999999999994</v>
      </c>
      <c r="C1453">
        <v>93.899999999999991</v>
      </c>
      <c r="D1453">
        <v>14.4001</v>
      </c>
      <c r="E1453">
        <v>141.35</v>
      </c>
      <c r="F1453">
        <v>93.899999999999991</v>
      </c>
      <c r="G1453">
        <v>14.4001</v>
      </c>
      <c r="H1453">
        <v>1.2</v>
      </c>
      <c r="I1453">
        <v>0.9</v>
      </c>
      <c r="J1453">
        <v>56.126477890366417</v>
      </c>
      <c r="K1453">
        <v>1500</v>
      </c>
      <c r="L1453">
        <v>0</v>
      </c>
      <c r="N1453">
        <v>29</v>
      </c>
      <c r="O1453" s="60" t="s">
        <v>1845</v>
      </c>
      <c r="P1453" t="s">
        <v>755</v>
      </c>
      <c r="Q1453" t="s">
        <v>2394</v>
      </c>
    </row>
    <row r="1454" spans="1:17" x14ac:dyDescent="0.25">
      <c r="A1454" t="s">
        <v>19</v>
      </c>
      <c r="B1454">
        <v>141.35</v>
      </c>
      <c r="C1454">
        <v>93.899999999999991</v>
      </c>
      <c r="D1454">
        <v>14.4001</v>
      </c>
      <c r="E1454">
        <v>141.35</v>
      </c>
      <c r="F1454">
        <v>97.949999999999989</v>
      </c>
      <c r="G1454">
        <v>14.4001</v>
      </c>
      <c r="H1454">
        <v>1.2</v>
      </c>
      <c r="I1454">
        <v>0.9</v>
      </c>
      <c r="J1454">
        <v>1.8184978836478705</v>
      </c>
      <c r="K1454">
        <v>1500</v>
      </c>
      <c r="L1454">
        <v>0</v>
      </c>
      <c r="N1454">
        <v>29</v>
      </c>
      <c r="O1454" s="60" t="s">
        <v>1846</v>
      </c>
      <c r="P1454" t="s">
        <v>756</v>
      </c>
      <c r="Q1454" t="s">
        <v>1029</v>
      </c>
    </row>
    <row r="1455" spans="1:17" x14ac:dyDescent="0.25">
      <c r="A1455" t="s">
        <v>19</v>
      </c>
      <c r="B1455">
        <v>141.35</v>
      </c>
      <c r="C1455">
        <v>97.949999999999989</v>
      </c>
      <c r="D1455">
        <v>14.4001</v>
      </c>
      <c r="E1455">
        <v>16.349999999999994</v>
      </c>
      <c r="F1455">
        <v>97.949999999999989</v>
      </c>
      <c r="G1455">
        <v>14.4001</v>
      </c>
      <c r="H1455">
        <v>1.2</v>
      </c>
      <c r="I1455">
        <v>0.9</v>
      </c>
      <c r="J1455">
        <v>56.126477890366417</v>
      </c>
      <c r="K1455">
        <v>1500</v>
      </c>
      <c r="L1455">
        <v>0</v>
      </c>
      <c r="N1455">
        <v>29</v>
      </c>
      <c r="O1455" s="60" t="s">
        <v>1847</v>
      </c>
      <c r="P1455" t="s">
        <v>824</v>
      </c>
      <c r="Q1455" t="s">
        <v>2395</v>
      </c>
    </row>
    <row r="1456" spans="1:17" x14ac:dyDescent="0.25">
      <c r="A1456" t="s">
        <v>19</v>
      </c>
      <c r="B1456">
        <v>16.349999999999994</v>
      </c>
      <c r="C1456">
        <v>97.949999999999989</v>
      </c>
      <c r="D1456">
        <v>14.4001</v>
      </c>
      <c r="E1456">
        <v>16.349999999999994</v>
      </c>
      <c r="F1456">
        <v>99.299999999999983</v>
      </c>
      <c r="G1456">
        <v>14.4001</v>
      </c>
      <c r="H1456">
        <v>1.2</v>
      </c>
      <c r="I1456">
        <v>0.9</v>
      </c>
      <c r="J1456">
        <v>0.60616596121595478</v>
      </c>
      <c r="K1456">
        <v>1500</v>
      </c>
      <c r="L1456">
        <v>0</v>
      </c>
      <c r="N1456">
        <v>29</v>
      </c>
      <c r="O1456" s="60" t="s">
        <v>1848</v>
      </c>
      <c r="P1456" t="s">
        <v>825</v>
      </c>
      <c r="Q1456" t="s">
        <v>1030</v>
      </c>
    </row>
    <row r="1457" spans="1:17" x14ac:dyDescent="0.25">
      <c r="A1457" t="s">
        <v>19</v>
      </c>
      <c r="B1457">
        <v>16.349999999999994</v>
      </c>
      <c r="C1457">
        <v>99.299999999999983</v>
      </c>
      <c r="D1457">
        <v>14.4001</v>
      </c>
      <c r="E1457">
        <v>141.35</v>
      </c>
      <c r="F1457">
        <v>99.299999999999983</v>
      </c>
      <c r="G1457">
        <v>14.4001</v>
      </c>
      <c r="H1457">
        <v>1.2</v>
      </c>
      <c r="I1457">
        <v>0.9</v>
      </c>
      <c r="J1457">
        <v>56.126477890366417</v>
      </c>
      <c r="K1457">
        <v>1500</v>
      </c>
      <c r="L1457">
        <v>0</v>
      </c>
      <c r="N1457">
        <v>29</v>
      </c>
      <c r="O1457" s="60" t="s">
        <v>1849</v>
      </c>
      <c r="P1457" t="s">
        <v>755</v>
      </c>
      <c r="Q1457" t="s">
        <v>2394</v>
      </c>
    </row>
    <row r="1458" spans="1:17" x14ac:dyDescent="0.25">
      <c r="A1458" t="s">
        <v>19</v>
      </c>
      <c r="B1458">
        <v>141.35</v>
      </c>
      <c r="C1458">
        <v>99.299999999999983</v>
      </c>
      <c r="D1458">
        <v>14.4001</v>
      </c>
      <c r="E1458">
        <v>141.35</v>
      </c>
      <c r="F1458">
        <v>103.35</v>
      </c>
      <c r="G1458">
        <v>14.4001</v>
      </c>
      <c r="H1458">
        <v>1.2</v>
      </c>
      <c r="I1458">
        <v>0.9</v>
      </c>
      <c r="J1458">
        <v>1.8184978836478705</v>
      </c>
      <c r="K1458">
        <v>1500</v>
      </c>
      <c r="L1458">
        <v>0</v>
      </c>
      <c r="N1458">
        <v>29</v>
      </c>
      <c r="O1458" s="60" t="s">
        <v>1850</v>
      </c>
      <c r="P1458" t="s">
        <v>756</v>
      </c>
      <c r="Q1458" t="s">
        <v>1031</v>
      </c>
    </row>
    <row r="1459" spans="1:17" x14ac:dyDescent="0.25">
      <c r="A1459" t="s">
        <v>19</v>
      </c>
      <c r="B1459">
        <v>141.35</v>
      </c>
      <c r="C1459">
        <v>103.35</v>
      </c>
      <c r="D1459">
        <v>14.4001</v>
      </c>
      <c r="E1459">
        <v>16.349999999999994</v>
      </c>
      <c r="F1459">
        <v>103.35</v>
      </c>
      <c r="G1459">
        <v>14.4001</v>
      </c>
      <c r="H1459">
        <v>1.2</v>
      </c>
      <c r="I1459">
        <v>0.9</v>
      </c>
      <c r="J1459">
        <v>56.126477890366417</v>
      </c>
      <c r="K1459">
        <v>1500</v>
      </c>
      <c r="L1459">
        <v>0</v>
      </c>
      <c r="N1459">
        <v>29</v>
      </c>
      <c r="O1459" s="60" t="s">
        <v>1851</v>
      </c>
      <c r="P1459" t="s">
        <v>824</v>
      </c>
      <c r="Q1459" t="s">
        <v>2395</v>
      </c>
    </row>
    <row r="1460" spans="1:17" x14ac:dyDescent="0.25">
      <c r="A1460" t="s">
        <v>19</v>
      </c>
      <c r="B1460">
        <v>16.349999999999994</v>
      </c>
      <c r="C1460">
        <v>103.35</v>
      </c>
      <c r="D1460">
        <v>14.4001</v>
      </c>
      <c r="E1460">
        <v>16.349999999999994</v>
      </c>
      <c r="F1460">
        <v>104.69999999999999</v>
      </c>
      <c r="G1460">
        <v>14.4001</v>
      </c>
      <c r="H1460">
        <v>1.2</v>
      </c>
      <c r="I1460">
        <v>0.9</v>
      </c>
      <c r="J1460">
        <v>0.60616596121595478</v>
      </c>
      <c r="K1460">
        <v>1500</v>
      </c>
      <c r="L1460">
        <v>0</v>
      </c>
      <c r="N1460">
        <v>29</v>
      </c>
      <c r="O1460" s="60" t="s">
        <v>1852</v>
      </c>
      <c r="P1460" t="s">
        <v>825</v>
      </c>
      <c r="Q1460" t="s">
        <v>1032</v>
      </c>
    </row>
    <row r="1461" spans="1:17" x14ac:dyDescent="0.25">
      <c r="A1461" t="s">
        <v>19</v>
      </c>
      <c r="B1461">
        <v>16.349999999999994</v>
      </c>
      <c r="C1461">
        <v>104.69999999999999</v>
      </c>
      <c r="D1461">
        <v>14.4001</v>
      </c>
      <c r="E1461">
        <v>141.35</v>
      </c>
      <c r="F1461">
        <v>104.69999999999999</v>
      </c>
      <c r="G1461">
        <v>14.4001</v>
      </c>
      <c r="H1461">
        <v>1.2</v>
      </c>
      <c r="I1461">
        <v>0.9</v>
      </c>
      <c r="J1461">
        <v>56.126477890366417</v>
      </c>
      <c r="K1461">
        <v>1500</v>
      </c>
      <c r="L1461">
        <v>0</v>
      </c>
      <c r="N1461">
        <v>29</v>
      </c>
      <c r="O1461" s="60" t="s">
        <v>1853</v>
      </c>
      <c r="P1461" t="s">
        <v>755</v>
      </c>
      <c r="Q1461" t="s">
        <v>2394</v>
      </c>
    </row>
    <row r="1462" spans="1:17" x14ac:dyDescent="0.25">
      <c r="A1462" t="s">
        <v>19</v>
      </c>
      <c r="B1462">
        <v>141.35</v>
      </c>
      <c r="C1462">
        <v>104.69999999999999</v>
      </c>
      <c r="D1462">
        <v>14.4001</v>
      </c>
      <c r="E1462">
        <v>141.35</v>
      </c>
      <c r="F1462">
        <v>108.74999999999999</v>
      </c>
      <c r="G1462">
        <v>14.4001</v>
      </c>
      <c r="H1462">
        <v>1.2</v>
      </c>
      <c r="I1462">
        <v>0.9</v>
      </c>
      <c r="J1462">
        <v>1.8184978836478705</v>
      </c>
      <c r="K1462">
        <v>1500</v>
      </c>
      <c r="L1462">
        <v>0</v>
      </c>
      <c r="N1462">
        <v>29</v>
      </c>
      <c r="O1462" s="60" t="s">
        <v>1854</v>
      </c>
      <c r="P1462" t="s">
        <v>756</v>
      </c>
      <c r="Q1462" t="s">
        <v>1033</v>
      </c>
    </row>
    <row r="1463" spans="1:17" x14ac:dyDescent="0.25">
      <c r="A1463" t="s">
        <v>19</v>
      </c>
      <c r="B1463">
        <v>141.35</v>
      </c>
      <c r="C1463">
        <v>108.75</v>
      </c>
      <c r="D1463">
        <v>14.4001</v>
      </c>
      <c r="E1463">
        <v>16.349999999999994</v>
      </c>
      <c r="F1463">
        <v>108.75</v>
      </c>
      <c r="G1463">
        <v>14.4001</v>
      </c>
      <c r="H1463">
        <v>1.2</v>
      </c>
      <c r="I1463">
        <v>0.9</v>
      </c>
      <c r="J1463">
        <v>56.126477890366417</v>
      </c>
      <c r="K1463">
        <v>1500</v>
      </c>
      <c r="L1463">
        <v>0</v>
      </c>
      <c r="N1463">
        <v>29</v>
      </c>
      <c r="O1463" s="60" t="s">
        <v>1855</v>
      </c>
      <c r="P1463" t="s">
        <v>824</v>
      </c>
      <c r="Q1463" t="s">
        <v>2395</v>
      </c>
    </row>
    <row r="1464" spans="1:17" x14ac:dyDescent="0.25">
      <c r="A1464" t="s">
        <v>19</v>
      </c>
      <c r="B1464">
        <v>16.349999999999994</v>
      </c>
      <c r="C1464">
        <v>108.75</v>
      </c>
      <c r="D1464">
        <v>14.4001</v>
      </c>
      <c r="E1464">
        <v>16.349999999999994</v>
      </c>
      <c r="F1464">
        <v>110.1</v>
      </c>
      <c r="G1464">
        <v>14.4001</v>
      </c>
      <c r="H1464">
        <v>1.2</v>
      </c>
      <c r="I1464">
        <v>0.9</v>
      </c>
      <c r="J1464">
        <v>0.60616596121595478</v>
      </c>
      <c r="K1464">
        <v>1500</v>
      </c>
      <c r="L1464">
        <v>0</v>
      </c>
      <c r="N1464">
        <v>29</v>
      </c>
      <c r="O1464" s="60" t="s">
        <v>1856</v>
      </c>
      <c r="P1464" t="s">
        <v>825</v>
      </c>
      <c r="Q1464" t="s">
        <v>1034</v>
      </c>
    </row>
    <row r="1465" spans="1:17" x14ac:dyDescent="0.25">
      <c r="A1465" t="s">
        <v>19</v>
      </c>
      <c r="B1465">
        <v>16.349999999999994</v>
      </c>
      <c r="C1465">
        <v>110.1</v>
      </c>
      <c r="D1465">
        <v>14.4001</v>
      </c>
      <c r="E1465">
        <v>141.35</v>
      </c>
      <c r="F1465">
        <v>110.1</v>
      </c>
      <c r="G1465">
        <v>14.4001</v>
      </c>
      <c r="H1465">
        <v>1.2</v>
      </c>
      <c r="I1465">
        <v>0.9</v>
      </c>
      <c r="J1465">
        <v>56.126477890366417</v>
      </c>
      <c r="K1465">
        <v>1500</v>
      </c>
      <c r="L1465">
        <v>0</v>
      </c>
      <c r="N1465">
        <v>29</v>
      </c>
      <c r="O1465" s="60" t="s">
        <v>1857</v>
      </c>
      <c r="P1465" t="s">
        <v>755</v>
      </c>
      <c r="Q1465" t="s">
        <v>2394</v>
      </c>
    </row>
    <row r="1466" spans="1:17" x14ac:dyDescent="0.25">
      <c r="A1466" t="s">
        <v>19</v>
      </c>
      <c r="B1466">
        <v>141.35</v>
      </c>
      <c r="C1466">
        <v>110.1</v>
      </c>
      <c r="D1466">
        <v>14.4001</v>
      </c>
      <c r="E1466">
        <v>141.35</v>
      </c>
      <c r="F1466">
        <v>114.14999999999999</v>
      </c>
      <c r="G1466">
        <v>14.4001</v>
      </c>
      <c r="H1466">
        <v>1.2</v>
      </c>
      <c r="I1466">
        <v>0.9</v>
      </c>
      <c r="J1466">
        <v>1.8184978836478705</v>
      </c>
      <c r="K1466">
        <v>1500</v>
      </c>
      <c r="L1466">
        <v>0</v>
      </c>
      <c r="N1466">
        <v>29</v>
      </c>
      <c r="O1466" s="60" t="s">
        <v>1858</v>
      </c>
      <c r="P1466" t="s">
        <v>756</v>
      </c>
      <c r="Q1466" t="s">
        <v>1035</v>
      </c>
    </row>
    <row r="1467" spans="1:17" x14ac:dyDescent="0.25">
      <c r="A1467" t="s">
        <v>19</v>
      </c>
      <c r="B1467">
        <v>141.35</v>
      </c>
      <c r="C1467">
        <v>114.14999999999999</v>
      </c>
      <c r="D1467">
        <v>14.4001</v>
      </c>
      <c r="E1467">
        <v>16.349999999999994</v>
      </c>
      <c r="F1467">
        <v>114.14999999999999</v>
      </c>
      <c r="G1467">
        <v>14.4001</v>
      </c>
      <c r="H1467">
        <v>1.2</v>
      </c>
      <c r="I1467">
        <v>0.9</v>
      </c>
      <c r="J1467">
        <v>56.126477890366417</v>
      </c>
      <c r="K1467">
        <v>1500</v>
      </c>
      <c r="L1467">
        <v>0</v>
      </c>
      <c r="N1467">
        <v>29</v>
      </c>
      <c r="O1467" s="60" t="s">
        <v>1859</v>
      </c>
      <c r="P1467" t="s">
        <v>824</v>
      </c>
      <c r="Q1467" t="s">
        <v>2395</v>
      </c>
    </row>
    <row r="1468" spans="1:17" x14ac:dyDescent="0.25">
      <c r="A1468" t="s">
        <v>19</v>
      </c>
      <c r="B1468">
        <v>16.349999999999994</v>
      </c>
      <c r="C1468">
        <v>114.14999999999999</v>
      </c>
      <c r="D1468">
        <v>14.4001</v>
      </c>
      <c r="E1468">
        <v>16.349999999999994</v>
      </c>
      <c r="F1468">
        <v>115.49999999999999</v>
      </c>
      <c r="G1468">
        <v>14.4001</v>
      </c>
      <c r="H1468">
        <v>1.2</v>
      </c>
      <c r="I1468">
        <v>0.9</v>
      </c>
      <c r="J1468">
        <v>0.60616596121595478</v>
      </c>
      <c r="K1468">
        <v>1500</v>
      </c>
      <c r="L1468">
        <v>0</v>
      </c>
      <c r="N1468">
        <v>29</v>
      </c>
      <c r="O1468" s="60" t="s">
        <v>1860</v>
      </c>
      <c r="P1468" t="s">
        <v>825</v>
      </c>
      <c r="Q1468" t="s">
        <v>1036</v>
      </c>
    </row>
    <row r="1469" spans="1:17" x14ac:dyDescent="0.25">
      <c r="A1469" t="s">
        <v>19</v>
      </c>
      <c r="B1469">
        <v>16.349999999999994</v>
      </c>
      <c r="C1469">
        <v>115.49999999999999</v>
      </c>
      <c r="D1469">
        <v>14.4001</v>
      </c>
      <c r="E1469">
        <v>141.35</v>
      </c>
      <c r="F1469">
        <v>115.49999999999999</v>
      </c>
      <c r="G1469">
        <v>14.4001</v>
      </c>
      <c r="H1469">
        <v>1.2</v>
      </c>
      <c r="I1469">
        <v>0.9</v>
      </c>
      <c r="J1469">
        <v>56.126477890366417</v>
      </c>
      <c r="K1469">
        <v>1500</v>
      </c>
      <c r="L1469">
        <v>0</v>
      </c>
      <c r="N1469">
        <v>29</v>
      </c>
      <c r="O1469" s="60" t="s">
        <v>1861</v>
      </c>
      <c r="P1469" t="s">
        <v>755</v>
      </c>
      <c r="Q1469" t="s">
        <v>2394</v>
      </c>
    </row>
    <row r="1470" spans="1:17" x14ac:dyDescent="0.25">
      <c r="A1470" t="s">
        <v>19</v>
      </c>
      <c r="B1470">
        <v>141.35</v>
      </c>
      <c r="C1470">
        <v>115.49999999999999</v>
      </c>
      <c r="D1470">
        <v>14.4001</v>
      </c>
      <c r="E1470">
        <v>141.35</v>
      </c>
      <c r="F1470">
        <v>119.54999999999998</v>
      </c>
      <c r="G1470">
        <v>14.4001</v>
      </c>
      <c r="H1470">
        <v>1.2</v>
      </c>
      <c r="I1470">
        <v>0.9</v>
      </c>
      <c r="J1470">
        <v>1.8184978836478705</v>
      </c>
      <c r="K1470">
        <v>1500</v>
      </c>
      <c r="L1470">
        <v>0</v>
      </c>
      <c r="N1470">
        <v>29</v>
      </c>
      <c r="O1470" s="60" t="s">
        <v>1862</v>
      </c>
      <c r="P1470" t="s">
        <v>756</v>
      </c>
      <c r="Q1470" t="s">
        <v>1037</v>
      </c>
    </row>
    <row r="1471" spans="1:17" x14ac:dyDescent="0.25">
      <c r="A1471" t="s">
        <v>19</v>
      </c>
      <c r="B1471">
        <v>141.35</v>
      </c>
      <c r="C1471">
        <v>119.55</v>
      </c>
      <c r="D1471">
        <v>14.4001</v>
      </c>
      <c r="E1471">
        <v>16.349999999999994</v>
      </c>
      <c r="F1471">
        <v>119.55</v>
      </c>
      <c r="G1471">
        <v>14.4001</v>
      </c>
      <c r="H1471">
        <v>1.2</v>
      </c>
      <c r="I1471">
        <v>0.9</v>
      </c>
      <c r="J1471">
        <v>56.126477890366417</v>
      </c>
      <c r="K1471">
        <v>1500</v>
      </c>
      <c r="L1471">
        <v>0</v>
      </c>
      <c r="N1471">
        <v>29</v>
      </c>
      <c r="O1471" s="60" t="s">
        <v>2356</v>
      </c>
      <c r="P1471" t="s">
        <v>824</v>
      </c>
      <c r="Q1471" t="s">
        <v>2395</v>
      </c>
    </row>
    <row r="1472" spans="1:17" x14ac:dyDescent="0.25">
      <c r="A1472" t="s">
        <v>19</v>
      </c>
      <c r="B1472">
        <v>16.349999999999994</v>
      </c>
      <c r="C1472">
        <v>119.55</v>
      </c>
      <c r="D1472">
        <v>14.4001</v>
      </c>
      <c r="E1472">
        <v>16.349999999999994</v>
      </c>
      <c r="F1472">
        <v>120.89999999999999</v>
      </c>
      <c r="G1472">
        <v>14.4001</v>
      </c>
      <c r="H1472">
        <v>1.2</v>
      </c>
      <c r="I1472">
        <v>0.9</v>
      </c>
      <c r="J1472">
        <v>0.60616596121595478</v>
      </c>
      <c r="K1472">
        <v>1500</v>
      </c>
      <c r="L1472">
        <v>0</v>
      </c>
      <c r="N1472">
        <v>29</v>
      </c>
      <c r="O1472" s="60" t="s">
        <v>2357</v>
      </c>
      <c r="P1472" t="s">
        <v>825</v>
      </c>
      <c r="Q1472" t="s">
        <v>1935</v>
      </c>
    </row>
    <row r="1473" spans="1:17" x14ac:dyDescent="0.25">
      <c r="A1473" t="s">
        <v>19</v>
      </c>
      <c r="B1473">
        <v>16.349999999999994</v>
      </c>
      <c r="C1473">
        <v>120.89999999999999</v>
      </c>
      <c r="D1473">
        <v>14.4001</v>
      </c>
      <c r="E1473">
        <v>141.35</v>
      </c>
      <c r="F1473">
        <v>120.89999999999999</v>
      </c>
      <c r="G1473">
        <v>14.4001</v>
      </c>
      <c r="H1473">
        <v>1.2</v>
      </c>
      <c r="I1473">
        <v>0.9</v>
      </c>
      <c r="J1473">
        <v>56.126477890366417</v>
      </c>
      <c r="K1473">
        <v>1500</v>
      </c>
      <c r="L1473">
        <v>0</v>
      </c>
      <c r="N1473">
        <v>29</v>
      </c>
      <c r="O1473" s="60" t="s">
        <v>2358</v>
      </c>
      <c r="P1473" t="s">
        <v>755</v>
      </c>
      <c r="Q1473" t="s">
        <v>2394</v>
      </c>
    </row>
    <row r="1474" spans="1:17" x14ac:dyDescent="0.25">
      <c r="A1474" t="s">
        <v>19</v>
      </c>
      <c r="B1474">
        <v>141.35</v>
      </c>
      <c r="C1474">
        <v>120.89999999999999</v>
      </c>
      <c r="D1474">
        <v>14.4001</v>
      </c>
      <c r="E1474">
        <v>141.35</v>
      </c>
      <c r="F1474">
        <v>124.94999999999999</v>
      </c>
      <c r="G1474">
        <v>14.4001</v>
      </c>
      <c r="H1474">
        <v>1.2</v>
      </c>
      <c r="I1474">
        <v>0.9</v>
      </c>
      <c r="J1474">
        <v>1.8184978836478705</v>
      </c>
      <c r="K1474">
        <v>1500</v>
      </c>
      <c r="L1474">
        <v>0</v>
      </c>
      <c r="N1474">
        <v>29</v>
      </c>
      <c r="O1474" s="60" t="s">
        <v>2359</v>
      </c>
      <c r="P1474" t="s">
        <v>756</v>
      </c>
      <c r="Q1474" t="s">
        <v>1938</v>
      </c>
    </row>
    <row r="1475" spans="1:17" x14ac:dyDescent="0.25">
      <c r="A1475" t="s">
        <v>19</v>
      </c>
      <c r="B1475">
        <v>141.35</v>
      </c>
      <c r="C1475">
        <v>124.95</v>
      </c>
      <c r="D1475">
        <v>14.4001</v>
      </c>
      <c r="E1475">
        <v>16.349999999999994</v>
      </c>
      <c r="F1475">
        <v>124.95</v>
      </c>
      <c r="G1475">
        <v>14.4001</v>
      </c>
      <c r="H1475">
        <v>1.2</v>
      </c>
      <c r="I1475">
        <v>0.9</v>
      </c>
      <c r="J1475">
        <v>56.126477890366417</v>
      </c>
      <c r="K1475">
        <v>1500</v>
      </c>
      <c r="L1475">
        <v>0</v>
      </c>
      <c r="N1475">
        <v>29</v>
      </c>
      <c r="O1475" s="60" t="s">
        <v>2360</v>
      </c>
      <c r="P1475" t="s">
        <v>824</v>
      </c>
      <c r="Q1475" t="s">
        <v>2395</v>
      </c>
    </row>
    <row r="1476" spans="1:17" x14ac:dyDescent="0.25">
      <c r="A1476" t="s">
        <v>19</v>
      </c>
      <c r="B1476">
        <v>16.349999999999994</v>
      </c>
      <c r="C1476">
        <v>124.95</v>
      </c>
      <c r="D1476">
        <v>14.4001</v>
      </c>
      <c r="E1476">
        <v>16.349999999999994</v>
      </c>
      <c r="F1476">
        <v>126.3</v>
      </c>
      <c r="G1476">
        <v>14.4001</v>
      </c>
      <c r="H1476">
        <v>1.2</v>
      </c>
      <c r="I1476">
        <v>0.9</v>
      </c>
      <c r="J1476">
        <v>0.60616596121595478</v>
      </c>
      <c r="K1476">
        <v>1500</v>
      </c>
      <c r="L1476">
        <v>0</v>
      </c>
      <c r="N1476">
        <v>29</v>
      </c>
      <c r="O1476" s="60" t="s">
        <v>2361</v>
      </c>
      <c r="P1476" t="s">
        <v>825</v>
      </c>
      <c r="Q1476" t="s">
        <v>1941</v>
      </c>
    </row>
    <row r="1477" spans="1:17" x14ac:dyDescent="0.25">
      <c r="A1477" t="s">
        <v>19</v>
      </c>
      <c r="B1477">
        <v>16.349999999999994</v>
      </c>
      <c r="C1477">
        <v>126.3</v>
      </c>
      <c r="D1477">
        <v>14.4001</v>
      </c>
      <c r="E1477">
        <v>141.35</v>
      </c>
      <c r="F1477">
        <v>126.3</v>
      </c>
      <c r="G1477">
        <v>14.4001</v>
      </c>
      <c r="H1477">
        <v>1.2</v>
      </c>
      <c r="I1477">
        <v>0.9</v>
      </c>
      <c r="J1477">
        <v>56.126477890366417</v>
      </c>
      <c r="K1477">
        <v>1500</v>
      </c>
      <c r="L1477">
        <v>0</v>
      </c>
      <c r="N1477">
        <v>29</v>
      </c>
      <c r="O1477" s="60" t="s">
        <v>2362</v>
      </c>
      <c r="P1477" t="s">
        <v>755</v>
      </c>
      <c r="Q1477" t="s">
        <v>2394</v>
      </c>
    </row>
    <row r="1478" spans="1:17" x14ac:dyDescent="0.25">
      <c r="A1478" t="s">
        <v>19</v>
      </c>
      <c r="B1478">
        <v>141.35</v>
      </c>
      <c r="C1478">
        <v>126.3</v>
      </c>
      <c r="D1478">
        <v>14.4001</v>
      </c>
      <c r="E1478">
        <v>141.35</v>
      </c>
      <c r="F1478">
        <v>130.35</v>
      </c>
      <c r="G1478">
        <v>14.4001</v>
      </c>
      <c r="H1478">
        <v>1.2</v>
      </c>
      <c r="I1478">
        <v>0.9</v>
      </c>
      <c r="J1478">
        <v>1.8184978836478705</v>
      </c>
      <c r="K1478">
        <v>1500</v>
      </c>
      <c r="L1478">
        <v>0</v>
      </c>
      <c r="N1478">
        <v>29</v>
      </c>
      <c r="O1478" s="60" t="s">
        <v>2363</v>
      </c>
      <c r="P1478" t="s">
        <v>756</v>
      </c>
      <c r="Q1478" t="s">
        <v>1944</v>
      </c>
    </row>
    <row r="1479" spans="1:17" x14ac:dyDescent="0.25">
      <c r="A1479" t="s">
        <v>39</v>
      </c>
      <c r="B1479">
        <v>-1.25</v>
      </c>
      <c r="C1479">
        <v>2100</v>
      </c>
      <c r="N1479">
        <v>29</v>
      </c>
      <c r="O1479" s="60" t="s">
        <v>996</v>
      </c>
      <c r="P1479" t="s">
        <v>753</v>
      </c>
      <c r="Q1479" t="s">
        <v>845</v>
      </c>
    </row>
    <row r="1480" spans="1:17" x14ac:dyDescent="0.25">
      <c r="A1480" t="s">
        <v>660</v>
      </c>
      <c r="B1480">
        <v>0.9</v>
      </c>
      <c r="C1480">
        <v>10000</v>
      </c>
      <c r="N1480">
        <v>29</v>
      </c>
      <c r="O1480" s="60" t="s">
        <v>996</v>
      </c>
      <c r="P1480" t="s">
        <v>753</v>
      </c>
      <c r="Q1480" t="s">
        <v>843</v>
      </c>
    </row>
    <row r="1481" spans="1:17" x14ac:dyDescent="0.25">
      <c r="A1481" t="s">
        <v>23</v>
      </c>
      <c r="B1481">
        <v>141.35</v>
      </c>
      <c r="C1481">
        <v>130.35</v>
      </c>
      <c r="D1481">
        <v>14.4001</v>
      </c>
      <c r="E1481">
        <v>141.35</v>
      </c>
      <c r="F1481">
        <v>76.349999999999994</v>
      </c>
      <c r="G1481">
        <v>15.3001</v>
      </c>
      <c r="H1481">
        <v>0</v>
      </c>
      <c r="I1481">
        <v>0</v>
      </c>
      <c r="K1481">
        <v>48000</v>
      </c>
      <c r="N1481">
        <v>0</v>
      </c>
      <c r="O1481" s="60">
        <v>0</v>
      </c>
      <c r="P1481" t="s">
        <v>661</v>
      </c>
      <c r="Q1481" t="s">
        <v>2364</v>
      </c>
    </row>
    <row r="1482" spans="1:17" x14ac:dyDescent="0.25">
      <c r="A1482" t="s">
        <v>19</v>
      </c>
      <c r="B1482">
        <v>141.35</v>
      </c>
      <c r="C1482">
        <v>76.349999999999994</v>
      </c>
      <c r="D1482">
        <v>15.3001</v>
      </c>
      <c r="E1482">
        <v>16.349999999999994</v>
      </c>
      <c r="F1482">
        <v>76.349999999999994</v>
      </c>
      <c r="G1482">
        <v>15.3001</v>
      </c>
      <c r="H1482">
        <v>1.2</v>
      </c>
      <c r="I1482">
        <v>0.9</v>
      </c>
      <c r="J1482">
        <v>56.126477890366417</v>
      </c>
      <c r="K1482">
        <v>1500</v>
      </c>
      <c r="L1482">
        <v>0</v>
      </c>
      <c r="N1482">
        <v>29</v>
      </c>
      <c r="O1482" s="60" t="s">
        <v>2365</v>
      </c>
      <c r="P1482" t="s">
        <v>2001</v>
      </c>
      <c r="Q1482" t="s">
        <v>2393</v>
      </c>
    </row>
    <row r="1483" spans="1:17" x14ac:dyDescent="0.25">
      <c r="A1483" t="s">
        <v>19</v>
      </c>
      <c r="B1483">
        <v>16.349999999999994</v>
      </c>
      <c r="C1483">
        <v>76.349999999999994</v>
      </c>
      <c r="D1483">
        <v>15.3001</v>
      </c>
      <c r="E1483">
        <v>16.349999999999994</v>
      </c>
      <c r="F1483">
        <v>77.699999999999989</v>
      </c>
      <c r="G1483">
        <v>15.3001</v>
      </c>
      <c r="H1483">
        <v>1.2</v>
      </c>
      <c r="I1483">
        <v>0.9</v>
      </c>
      <c r="J1483">
        <v>0.60616596121595478</v>
      </c>
      <c r="K1483">
        <v>1500</v>
      </c>
      <c r="L1483">
        <v>0</v>
      </c>
      <c r="N1483">
        <v>29</v>
      </c>
      <c r="O1483" s="60" t="s">
        <v>2366</v>
      </c>
      <c r="P1483" t="s">
        <v>2003</v>
      </c>
      <c r="Q1483" t="s">
        <v>876</v>
      </c>
    </row>
    <row r="1484" spans="1:17" x14ac:dyDescent="0.25">
      <c r="A1484" t="s">
        <v>19</v>
      </c>
      <c r="B1484">
        <v>16.349999999999994</v>
      </c>
      <c r="C1484">
        <v>77.699999999999989</v>
      </c>
      <c r="D1484">
        <v>15.3001</v>
      </c>
      <c r="E1484">
        <v>141.35</v>
      </c>
      <c r="F1484">
        <v>77.699999999999989</v>
      </c>
      <c r="G1484">
        <v>15.3001</v>
      </c>
      <c r="H1484">
        <v>1.2</v>
      </c>
      <c r="I1484">
        <v>0.9</v>
      </c>
      <c r="J1484">
        <v>56.126477890366417</v>
      </c>
      <c r="K1484">
        <v>1500</v>
      </c>
      <c r="L1484">
        <v>0</v>
      </c>
      <c r="N1484">
        <v>29</v>
      </c>
      <c r="O1484" s="60" t="s">
        <v>2367</v>
      </c>
      <c r="P1484" t="s">
        <v>2005</v>
      </c>
      <c r="Q1484" t="s">
        <v>2394</v>
      </c>
    </row>
    <row r="1485" spans="1:17" x14ac:dyDescent="0.25">
      <c r="A1485" t="s">
        <v>19</v>
      </c>
      <c r="B1485">
        <v>141.35</v>
      </c>
      <c r="C1485">
        <v>77.699999999999989</v>
      </c>
      <c r="D1485">
        <v>15.3001</v>
      </c>
      <c r="E1485">
        <v>141.35</v>
      </c>
      <c r="F1485">
        <v>81.749999999999986</v>
      </c>
      <c r="G1485">
        <v>15.3001</v>
      </c>
      <c r="H1485">
        <v>1.2</v>
      </c>
      <c r="I1485">
        <v>0.9</v>
      </c>
      <c r="J1485">
        <v>1.8184978836478705</v>
      </c>
      <c r="K1485">
        <v>1500</v>
      </c>
      <c r="L1485">
        <v>0</v>
      </c>
      <c r="N1485">
        <v>29</v>
      </c>
      <c r="O1485" s="60" t="s">
        <v>2368</v>
      </c>
      <c r="P1485" t="s">
        <v>2007</v>
      </c>
      <c r="Q1485" t="s">
        <v>877</v>
      </c>
    </row>
    <row r="1486" spans="1:17" x14ac:dyDescent="0.25">
      <c r="A1486" t="s">
        <v>19</v>
      </c>
      <c r="B1486">
        <v>141.35</v>
      </c>
      <c r="C1486">
        <v>81.75</v>
      </c>
      <c r="D1486">
        <v>15.3001</v>
      </c>
      <c r="E1486">
        <v>16.349999999999994</v>
      </c>
      <c r="F1486">
        <v>81.75</v>
      </c>
      <c r="G1486">
        <v>15.3001</v>
      </c>
      <c r="H1486">
        <v>1.2</v>
      </c>
      <c r="I1486">
        <v>0.9</v>
      </c>
      <c r="J1486">
        <v>56.126477890366417</v>
      </c>
      <c r="K1486">
        <v>1500</v>
      </c>
      <c r="L1486">
        <v>0</v>
      </c>
      <c r="N1486">
        <v>29</v>
      </c>
      <c r="O1486" s="60" t="s">
        <v>1863</v>
      </c>
      <c r="P1486" t="s">
        <v>805</v>
      </c>
      <c r="Q1486" t="s">
        <v>2395</v>
      </c>
    </row>
    <row r="1487" spans="1:17" x14ac:dyDescent="0.25">
      <c r="A1487" t="s">
        <v>19</v>
      </c>
      <c r="B1487">
        <v>16.349999999999994</v>
      </c>
      <c r="C1487">
        <v>81.75</v>
      </c>
      <c r="D1487">
        <v>15.3001</v>
      </c>
      <c r="E1487">
        <v>16.349999999999994</v>
      </c>
      <c r="F1487">
        <v>83.1</v>
      </c>
      <c r="G1487">
        <v>15.3001</v>
      </c>
      <c r="H1487">
        <v>1.2</v>
      </c>
      <c r="I1487">
        <v>0.9</v>
      </c>
      <c r="J1487">
        <v>0.60616596121595478</v>
      </c>
      <c r="K1487">
        <v>1500</v>
      </c>
      <c r="L1487">
        <v>0</v>
      </c>
      <c r="N1487">
        <v>29</v>
      </c>
      <c r="O1487" s="60" t="s">
        <v>1864</v>
      </c>
      <c r="P1487" t="s">
        <v>806</v>
      </c>
      <c r="Q1487" t="s">
        <v>1024</v>
      </c>
    </row>
    <row r="1488" spans="1:17" x14ac:dyDescent="0.25">
      <c r="A1488" t="s">
        <v>19</v>
      </c>
      <c r="B1488">
        <v>16.349999999999994</v>
      </c>
      <c r="C1488">
        <v>83.1</v>
      </c>
      <c r="D1488">
        <v>15.3001</v>
      </c>
      <c r="E1488">
        <v>141.35</v>
      </c>
      <c r="F1488">
        <v>83.1</v>
      </c>
      <c r="G1488">
        <v>15.3001</v>
      </c>
      <c r="H1488">
        <v>1.2</v>
      </c>
      <c r="I1488">
        <v>0.9</v>
      </c>
      <c r="J1488">
        <v>56.126477890366417</v>
      </c>
      <c r="K1488">
        <v>1500</v>
      </c>
      <c r="L1488">
        <v>0</v>
      </c>
      <c r="N1488">
        <v>29</v>
      </c>
      <c r="O1488" s="60" t="s">
        <v>1865</v>
      </c>
      <c r="P1488" t="s">
        <v>826</v>
      </c>
      <c r="Q1488" t="s">
        <v>2394</v>
      </c>
    </row>
    <row r="1489" spans="1:17" x14ac:dyDescent="0.25">
      <c r="A1489" t="s">
        <v>19</v>
      </c>
      <c r="B1489">
        <v>141.35</v>
      </c>
      <c r="C1489">
        <v>83.1</v>
      </c>
      <c r="D1489">
        <v>15.3001</v>
      </c>
      <c r="E1489">
        <v>141.35</v>
      </c>
      <c r="F1489">
        <v>87.149999999999991</v>
      </c>
      <c r="G1489">
        <v>15.3001</v>
      </c>
      <c r="H1489">
        <v>1.2</v>
      </c>
      <c r="I1489">
        <v>0.9</v>
      </c>
      <c r="J1489">
        <v>1.8184978836478705</v>
      </c>
      <c r="K1489">
        <v>1500</v>
      </c>
      <c r="L1489">
        <v>0</v>
      </c>
      <c r="N1489">
        <v>29</v>
      </c>
      <c r="O1489" s="60" t="s">
        <v>1866</v>
      </c>
      <c r="P1489" t="s">
        <v>761</v>
      </c>
      <c r="Q1489" t="s">
        <v>1025</v>
      </c>
    </row>
    <row r="1490" spans="1:17" x14ac:dyDescent="0.25">
      <c r="A1490" t="s">
        <v>19</v>
      </c>
      <c r="B1490">
        <v>141.35</v>
      </c>
      <c r="C1490">
        <v>87.149999999999991</v>
      </c>
      <c r="D1490">
        <v>15.3001</v>
      </c>
      <c r="E1490">
        <v>16.349999999999994</v>
      </c>
      <c r="F1490">
        <v>87.149999999999991</v>
      </c>
      <c r="G1490">
        <v>15.3001</v>
      </c>
      <c r="H1490">
        <v>1.2</v>
      </c>
      <c r="I1490">
        <v>0.9</v>
      </c>
      <c r="J1490">
        <v>56.126477890366417</v>
      </c>
      <c r="K1490">
        <v>1500</v>
      </c>
      <c r="L1490">
        <v>0</v>
      </c>
      <c r="N1490">
        <v>29</v>
      </c>
      <c r="O1490" s="60" t="s">
        <v>1867</v>
      </c>
      <c r="P1490" t="s">
        <v>805</v>
      </c>
      <c r="Q1490" t="s">
        <v>2395</v>
      </c>
    </row>
    <row r="1491" spans="1:17" x14ac:dyDescent="0.25">
      <c r="A1491" t="s">
        <v>19</v>
      </c>
      <c r="B1491">
        <v>16.349999999999994</v>
      </c>
      <c r="C1491">
        <v>87.149999999999991</v>
      </c>
      <c r="D1491">
        <v>15.3001</v>
      </c>
      <c r="E1491">
        <v>16.349999999999994</v>
      </c>
      <c r="F1491">
        <v>88.499999999999986</v>
      </c>
      <c r="G1491">
        <v>15.3001</v>
      </c>
      <c r="H1491">
        <v>1.2</v>
      </c>
      <c r="I1491">
        <v>0.9</v>
      </c>
      <c r="J1491">
        <v>0.60616596121595478</v>
      </c>
      <c r="K1491">
        <v>1500</v>
      </c>
      <c r="L1491">
        <v>0</v>
      </c>
      <c r="N1491">
        <v>29</v>
      </c>
      <c r="O1491" s="60" t="s">
        <v>1868</v>
      </c>
      <c r="P1491" t="s">
        <v>806</v>
      </c>
      <c r="Q1491" t="s">
        <v>1026</v>
      </c>
    </row>
    <row r="1492" spans="1:17" x14ac:dyDescent="0.25">
      <c r="A1492" t="s">
        <v>19</v>
      </c>
      <c r="B1492">
        <v>16.349999999999994</v>
      </c>
      <c r="C1492">
        <v>88.499999999999986</v>
      </c>
      <c r="D1492">
        <v>15.3001</v>
      </c>
      <c r="E1492">
        <v>141.35</v>
      </c>
      <c r="F1492">
        <v>88.499999999999986</v>
      </c>
      <c r="G1492">
        <v>15.3001</v>
      </c>
      <c r="H1492">
        <v>1.2</v>
      </c>
      <c r="I1492">
        <v>0.9</v>
      </c>
      <c r="J1492">
        <v>56.126477890366417</v>
      </c>
      <c r="K1492">
        <v>1500</v>
      </c>
      <c r="L1492">
        <v>0</v>
      </c>
      <c r="N1492">
        <v>29</v>
      </c>
      <c r="O1492" s="60" t="s">
        <v>1869</v>
      </c>
      <c r="P1492" t="s">
        <v>826</v>
      </c>
      <c r="Q1492" t="s">
        <v>2394</v>
      </c>
    </row>
    <row r="1493" spans="1:17" x14ac:dyDescent="0.25">
      <c r="A1493" t="s">
        <v>19</v>
      </c>
      <c r="B1493">
        <v>141.35</v>
      </c>
      <c r="C1493">
        <v>88.499999999999986</v>
      </c>
      <c r="D1493">
        <v>15.3001</v>
      </c>
      <c r="E1493">
        <v>141.35</v>
      </c>
      <c r="F1493">
        <v>92.549999999999983</v>
      </c>
      <c r="G1493">
        <v>15.3001</v>
      </c>
      <c r="H1493">
        <v>1.2</v>
      </c>
      <c r="I1493">
        <v>0.9</v>
      </c>
      <c r="J1493">
        <v>1.8184978836478705</v>
      </c>
      <c r="K1493">
        <v>1500</v>
      </c>
      <c r="L1493">
        <v>0</v>
      </c>
      <c r="N1493">
        <v>29</v>
      </c>
      <c r="O1493" s="60" t="s">
        <v>1870</v>
      </c>
      <c r="P1493" t="s">
        <v>761</v>
      </c>
      <c r="Q1493" t="s">
        <v>1027</v>
      </c>
    </row>
    <row r="1494" spans="1:17" x14ac:dyDescent="0.25">
      <c r="A1494" t="s">
        <v>19</v>
      </c>
      <c r="B1494">
        <v>141.35</v>
      </c>
      <c r="C1494">
        <v>92.55</v>
      </c>
      <c r="D1494">
        <v>15.3001</v>
      </c>
      <c r="E1494">
        <v>16.349999999999994</v>
      </c>
      <c r="F1494">
        <v>92.55</v>
      </c>
      <c r="G1494">
        <v>15.3001</v>
      </c>
      <c r="H1494">
        <v>1.2</v>
      </c>
      <c r="I1494">
        <v>0.9</v>
      </c>
      <c r="J1494">
        <v>56.126477890366417</v>
      </c>
      <c r="K1494">
        <v>1500</v>
      </c>
      <c r="L1494">
        <v>0</v>
      </c>
      <c r="N1494">
        <v>29</v>
      </c>
      <c r="O1494" s="60" t="s">
        <v>1871</v>
      </c>
      <c r="P1494" t="s">
        <v>805</v>
      </c>
      <c r="Q1494" t="s">
        <v>2395</v>
      </c>
    </row>
    <row r="1495" spans="1:17" x14ac:dyDescent="0.25">
      <c r="A1495" t="s">
        <v>19</v>
      </c>
      <c r="B1495">
        <v>16.349999999999994</v>
      </c>
      <c r="C1495">
        <v>92.55</v>
      </c>
      <c r="D1495">
        <v>15.3001</v>
      </c>
      <c r="E1495">
        <v>16.349999999999994</v>
      </c>
      <c r="F1495">
        <v>93.899999999999991</v>
      </c>
      <c r="G1495">
        <v>15.3001</v>
      </c>
      <c r="H1495">
        <v>1.2</v>
      </c>
      <c r="I1495">
        <v>0.9</v>
      </c>
      <c r="J1495">
        <v>0.60616596121595478</v>
      </c>
      <c r="K1495">
        <v>1500</v>
      </c>
      <c r="L1495">
        <v>0</v>
      </c>
      <c r="N1495">
        <v>29</v>
      </c>
      <c r="O1495" s="60" t="s">
        <v>1872</v>
      </c>
      <c r="P1495" t="s">
        <v>806</v>
      </c>
      <c r="Q1495" t="s">
        <v>1028</v>
      </c>
    </row>
    <row r="1496" spans="1:17" x14ac:dyDescent="0.25">
      <c r="A1496" t="s">
        <v>19</v>
      </c>
      <c r="B1496">
        <v>16.349999999999994</v>
      </c>
      <c r="C1496">
        <v>93.899999999999991</v>
      </c>
      <c r="D1496">
        <v>15.3001</v>
      </c>
      <c r="E1496">
        <v>141.35</v>
      </c>
      <c r="F1496">
        <v>93.899999999999991</v>
      </c>
      <c r="G1496">
        <v>15.3001</v>
      </c>
      <c r="H1496">
        <v>1.2</v>
      </c>
      <c r="I1496">
        <v>0.9</v>
      </c>
      <c r="J1496">
        <v>56.126477890366417</v>
      </c>
      <c r="K1496">
        <v>1500</v>
      </c>
      <c r="L1496">
        <v>0</v>
      </c>
      <c r="N1496">
        <v>29</v>
      </c>
      <c r="O1496" s="60" t="s">
        <v>1873</v>
      </c>
      <c r="P1496" t="s">
        <v>826</v>
      </c>
      <c r="Q1496" t="s">
        <v>2394</v>
      </c>
    </row>
    <row r="1497" spans="1:17" x14ac:dyDescent="0.25">
      <c r="A1497" t="s">
        <v>19</v>
      </c>
      <c r="B1497">
        <v>141.35</v>
      </c>
      <c r="C1497">
        <v>93.899999999999991</v>
      </c>
      <c r="D1497">
        <v>15.3001</v>
      </c>
      <c r="E1497">
        <v>141.35</v>
      </c>
      <c r="F1497">
        <v>97.949999999999989</v>
      </c>
      <c r="G1497">
        <v>15.3001</v>
      </c>
      <c r="H1497">
        <v>1.2</v>
      </c>
      <c r="I1497">
        <v>0.9</v>
      </c>
      <c r="J1497">
        <v>1.8184978836478705</v>
      </c>
      <c r="K1497">
        <v>1500</v>
      </c>
      <c r="L1497">
        <v>0</v>
      </c>
      <c r="N1497">
        <v>29</v>
      </c>
      <c r="O1497" s="60" t="s">
        <v>1874</v>
      </c>
      <c r="P1497" t="s">
        <v>761</v>
      </c>
      <c r="Q1497" t="s">
        <v>1029</v>
      </c>
    </row>
    <row r="1498" spans="1:17" x14ac:dyDescent="0.25">
      <c r="A1498" t="s">
        <v>19</v>
      </c>
      <c r="B1498">
        <v>141.35</v>
      </c>
      <c r="C1498">
        <v>97.949999999999989</v>
      </c>
      <c r="D1498">
        <v>15.3001</v>
      </c>
      <c r="E1498">
        <v>16.349999999999994</v>
      </c>
      <c r="F1498">
        <v>97.949999999999989</v>
      </c>
      <c r="G1498">
        <v>15.3001</v>
      </c>
      <c r="H1498">
        <v>1.2</v>
      </c>
      <c r="I1498">
        <v>0.9</v>
      </c>
      <c r="J1498">
        <v>56.126477890366417</v>
      </c>
      <c r="K1498">
        <v>1500</v>
      </c>
      <c r="L1498">
        <v>0</v>
      </c>
      <c r="N1498">
        <v>29</v>
      </c>
      <c r="O1498" s="60" t="s">
        <v>1875</v>
      </c>
      <c r="P1498" t="s">
        <v>805</v>
      </c>
      <c r="Q1498" t="s">
        <v>2395</v>
      </c>
    </row>
    <row r="1499" spans="1:17" x14ac:dyDescent="0.25">
      <c r="A1499" t="s">
        <v>19</v>
      </c>
      <c r="B1499">
        <v>16.349999999999994</v>
      </c>
      <c r="C1499">
        <v>97.949999999999989</v>
      </c>
      <c r="D1499">
        <v>15.3001</v>
      </c>
      <c r="E1499">
        <v>16.349999999999994</v>
      </c>
      <c r="F1499">
        <v>99.299999999999983</v>
      </c>
      <c r="G1499">
        <v>15.3001</v>
      </c>
      <c r="H1499">
        <v>1.2</v>
      </c>
      <c r="I1499">
        <v>0.9</v>
      </c>
      <c r="J1499">
        <v>0.60616596121595478</v>
      </c>
      <c r="K1499">
        <v>1500</v>
      </c>
      <c r="L1499">
        <v>0</v>
      </c>
      <c r="N1499">
        <v>29</v>
      </c>
      <c r="O1499" s="60" t="s">
        <v>1876</v>
      </c>
      <c r="P1499" t="s">
        <v>806</v>
      </c>
      <c r="Q1499" t="s">
        <v>1030</v>
      </c>
    </row>
    <row r="1500" spans="1:17" x14ac:dyDescent="0.25">
      <c r="A1500" t="s">
        <v>19</v>
      </c>
      <c r="B1500">
        <v>16.349999999999994</v>
      </c>
      <c r="C1500">
        <v>99.299999999999983</v>
      </c>
      <c r="D1500">
        <v>15.3001</v>
      </c>
      <c r="E1500">
        <v>141.35</v>
      </c>
      <c r="F1500">
        <v>99.299999999999983</v>
      </c>
      <c r="G1500">
        <v>15.3001</v>
      </c>
      <c r="H1500">
        <v>1.2</v>
      </c>
      <c r="I1500">
        <v>0.9</v>
      </c>
      <c r="J1500">
        <v>56.126477890366417</v>
      </c>
      <c r="K1500">
        <v>1500</v>
      </c>
      <c r="L1500">
        <v>0</v>
      </c>
      <c r="N1500">
        <v>29</v>
      </c>
      <c r="O1500" s="60" t="s">
        <v>1877</v>
      </c>
      <c r="P1500" t="s">
        <v>826</v>
      </c>
      <c r="Q1500" t="s">
        <v>2394</v>
      </c>
    </row>
    <row r="1501" spans="1:17" x14ac:dyDescent="0.25">
      <c r="A1501" t="s">
        <v>19</v>
      </c>
      <c r="B1501">
        <v>141.35</v>
      </c>
      <c r="C1501">
        <v>99.299999999999983</v>
      </c>
      <c r="D1501">
        <v>15.3001</v>
      </c>
      <c r="E1501">
        <v>141.35</v>
      </c>
      <c r="F1501">
        <v>103.35</v>
      </c>
      <c r="G1501">
        <v>15.3001</v>
      </c>
      <c r="H1501">
        <v>1.2</v>
      </c>
      <c r="I1501">
        <v>0.9</v>
      </c>
      <c r="J1501">
        <v>1.8184978836478705</v>
      </c>
      <c r="K1501">
        <v>1500</v>
      </c>
      <c r="L1501">
        <v>0</v>
      </c>
      <c r="N1501">
        <v>29</v>
      </c>
      <c r="O1501" s="60" t="s">
        <v>1878</v>
      </c>
      <c r="P1501" t="s">
        <v>761</v>
      </c>
      <c r="Q1501" t="s">
        <v>1031</v>
      </c>
    </row>
    <row r="1502" spans="1:17" x14ac:dyDescent="0.25">
      <c r="A1502" t="s">
        <v>19</v>
      </c>
      <c r="B1502">
        <v>141.35</v>
      </c>
      <c r="C1502">
        <v>103.35</v>
      </c>
      <c r="D1502">
        <v>15.3001</v>
      </c>
      <c r="E1502">
        <v>16.349999999999994</v>
      </c>
      <c r="F1502">
        <v>103.35</v>
      </c>
      <c r="G1502">
        <v>15.3001</v>
      </c>
      <c r="H1502">
        <v>1.2</v>
      </c>
      <c r="I1502">
        <v>0.9</v>
      </c>
      <c r="J1502">
        <v>56.126477890366417</v>
      </c>
      <c r="K1502">
        <v>1500</v>
      </c>
      <c r="L1502">
        <v>0</v>
      </c>
      <c r="N1502">
        <v>29</v>
      </c>
      <c r="O1502" s="60" t="s">
        <v>1879</v>
      </c>
      <c r="P1502" t="s">
        <v>805</v>
      </c>
      <c r="Q1502" t="s">
        <v>2395</v>
      </c>
    </row>
    <row r="1503" spans="1:17" x14ac:dyDescent="0.25">
      <c r="A1503" t="s">
        <v>19</v>
      </c>
      <c r="B1503">
        <v>16.349999999999994</v>
      </c>
      <c r="C1503">
        <v>103.35</v>
      </c>
      <c r="D1503">
        <v>15.3001</v>
      </c>
      <c r="E1503">
        <v>16.349999999999994</v>
      </c>
      <c r="F1503">
        <v>104.69999999999999</v>
      </c>
      <c r="G1503">
        <v>15.3001</v>
      </c>
      <c r="H1503">
        <v>1.2</v>
      </c>
      <c r="I1503">
        <v>0.9</v>
      </c>
      <c r="J1503">
        <v>0.60616596121595478</v>
      </c>
      <c r="K1503">
        <v>1500</v>
      </c>
      <c r="L1503">
        <v>0</v>
      </c>
      <c r="N1503">
        <v>29</v>
      </c>
      <c r="O1503" s="60" t="s">
        <v>1880</v>
      </c>
      <c r="P1503" t="s">
        <v>806</v>
      </c>
      <c r="Q1503" t="s">
        <v>1032</v>
      </c>
    </row>
    <row r="1504" spans="1:17" x14ac:dyDescent="0.25">
      <c r="A1504" t="s">
        <v>19</v>
      </c>
      <c r="B1504">
        <v>16.349999999999994</v>
      </c>
      <c r="C1504">
        <v>104.69999999999999</v>
      </c>
      <c r="D1504">
        <v>15.3001</v>
      </c>
      <c r="E1504">
        <v>141.35</v>
      </c>
      <c r="F1504">
        <v>104.69999999999999</v>
      </c>
      <c r="G1504">
        <v>15.3001</v>
      </c>
      <c r="H1504">
        <v>1.2</v>
      </c>
      <c r="I1504">
        <v>0.9</v>
      </c>
      <c r="J1504">
        <v>56.126477890366417</v>
      </c>
      <c r="K1504">
        <v>1500</v>
      </c>
      <c r="L1504">
        <v>0</v>
      </c>
      <c r="N1504">
        <v>29</v>
      </c>
      <c r="O1504" s="60" t="s">
        <v>1881</v>
      </c>
      <c r="P1504" t="s">
        <v>826</v>
      </c>
      <c r="Q1504" t="s">
        <v>2394</v>
      </c>
    </row>
    <row r="1505" spans="1:17" x14ac:dyDescent="0.25">
      <c r="A1505" t="s">
        <v>19</v>
      </c>
      <c r="B1505">
        <v>141.35</v>
      </c>
      <c r="C1505">
        <v>104.69999999999999</v>
      </c>
      <c r="D1505">
        <v>15.3001</v>
      </c>
      <c r="E1505">
        <v>141.35</v>
      </c>
      <c r="F1505">
        <v>108.74999999999999</v>
      </c>
      <c r="G1505">
        <v>15.3001</v>
      </c>
      <c r="H1505">
        <v>1.2</v>
      </c>
      <c r="I1505">
        <v>0.9</v>
      </c>
      <c r="J1505">
        <v>1.8184978836478705</v>
      </c>
      <c r="K1505">
        <v>1500</v>
      </c>
      <c r="L1505">
        <v>0</v>
      </c>
      <c r="N1505">
        <v>29</v>
      </c>
      <c r="O1505" s="60" t="s">
        <v>1882</v>
      </c>
      <c r="P1505" t="s">
        <v>761</v>
      </c>
      <c r="Q1505" t="s">
        <v>1033</v>
      </c>
    </row>
    <row r="1506" spans="1:17" x14ac:dyDescent="0.25">
      <c r="A1506" t="s">
        <v>19</v>
      </c>
      <c r="B1506">
        <v>141.35</v>
      </c>
      <c r="C1506">
        <v>108.75</v>
      </c>
      <c r="D1506">
        <v>15.3001</v>
      </c>
      <c r="E1506">
        <v>16.349999999999994</v>
      </c>
      <c r="F1506">
        <v>108.75</v>
      </c>
      <c r="G1506">
        <v>15.3001</v>
      </c>
      <c r="H1506">
        <v>1.2</v>
      </c>
      <c r="I1506">
        <v>0.9</v>
      </c>
      <c r="J1506">
        <v>56.126477890366417</v>
      </c>
      <c r="K1506">
        <v>1500</v>
      </c>
      <c r="L1506">
        <v>0</v>
      </c>
      <c r="N1506">
        <v>29</v>
      </c>
      <c r="O1506" s="60" t="s">
        <v>1883</v>
      </c>
      <c r="P1506" t="s">
        <v>805</v>
      </c>
      <c r="Q1506" t="s">
        <v>2395</v>
      </c>
    </row>
    <row r="1507" spans="1:17" x14ac:dyDescent="0.25">
      <c r="A1507" t="s">
        <v>19</v>
      </c>
      <c r="B1507">
        <v>16.349999999999994</v>
      </c>
      <c r="C1507">
        <v>108.75</v>
      </c>
      <c r="D1507">
        <v>15.3001</v>
      </c>
      <c r="E1507">
        <v>16.349999999999994</v>
      </c>
      <c r="F1507">
        <v>110.1</v>
      </c>
      <c r="G1507">
        <v>15.3001</v>
      </c>
      <c r="H1507">
        <v>1.2</v>
      </c>
      <c r="I1507">
        <v>0.9</v>
      </c>
      <c r="J1507">
        <v>0.60616596121595478</v>
      </c>
      <c r="K1507">
        <v>1500</v>
      </c>
      <c r="L1507">
        <v>0</v>
      </c>
      <c r="N1507">
        <v>29</v>
      </c>
      <c r="O1507" s="60" t="s">
        <v>1884</v>
      </c>
      <c r="P1507" t="s">
        <v>806</v>
      </c>
      <c r="Q1507" t="s">
        <v>1034</v>
      </c>
    </row>
    <row r="1508" spans="1:17" x14ac:dyDescent="0.25">
      <c r="A1508" t="s">
        <v>19</v>
      </c>
      <c r="B1508">
        <v>16.349999999999994</v>
      </c>
      <c r="C1508">
        <v>110.1</v>
      </c>
      <c r="D1508">
        <v>15.3001</v>
      </c>
      <c r="E1508">
        <v>141.35</v>
      </c>
      <c r="F1508">
        <v>110.1</v>
      </c>
      <c r="G1508">
        <v>15.3001</v>
      </c>
      <c r="H1508">
        <v>1.2</v>
      </c>
      <c r="I1508">
        <v>0.9</v>
      </c>
      <c r="J1508">
        <v>56.126477890366417</v>
      </c>
      <c r="K1508">
        <v>1500</v>
      </c>
      <c r="L1508">
        <v>0</v>
      </c>
      <c r="N1508">
        <v>29</v>
      </c>
      <c r="O1508" s="60" t="s">
        <v>1885</v>
      </c>
      <c r="P1508" t="s">
        <v>826</v>
      </c>
      <c r="Q1508" t="s">
        <v>2394</v>
      </c>
    </row>
    <row r="1509" spans="1:17" x14ac:dyDescent="0.25">
      <c r="A1509" t="s">
        <v>19</v>
      </c>
      <c r="B1509">
        <v>141.35</v>
      </c>
      <c r="C1509">
        <v>110.1</v>
      </c>
      <c r="D1509">
        <v>15.3001</v>
      </c>
      <c r="E1509">
        <v>141.35</v>
      </c>
      <c r="F1509">
        <v>114.14999999999999</v>
      </c>
      <c r="G1509">
        <v>15.3001</v>
      </c>
      <c r="H1509">
        <v>1.2</v>
      </c>
      <c r="I1509">
        <v>0.9</v>
      </c>
      <c r="J1509">
        <v>1.8184978836478705</v>
      </c>
      <c r="K1509">
        <v>1500</v>
      </c>
      <c r="L1509">
        <v>0</v>
      </c>
      <c r="N1509">
        <v>29</v>
      </c>
      <c r="O1509" s="60" t="s">
        <v>1886</v>
      </c>
      <c r="P1509" t="s">
        <v>761</v>
      </c>
      <c r="Q1509" t="s">
        <v>1035</v>
      </c>
    </row>
    <row r="1510" spans="1:17" x14ac:dyDescent="0.25">
      <c r="A1510" t="s">
        <v>19</v>
      </c>
      <c r="B1510">
        <v>141.35</v>
      </c>
      <c r="C1510">
        <v>114.14999999999999</v>
      </c>
      <c r="D1510">
        <v>15.3001</v>
      </c>
      <c r="E1510">
        <v>16.349999999999994</v>
      </c>
      <c r="F1510">
        <v>114.14999999999999</v>
      </c>
      <c r="G1510">
        <v>15.3001</v>
      </c>
      <c r="H1510">
        <v>1.2</v>
      </c>
      <c r="I1510">
        <v>0.9</v>
      </c>
      <c r="J1510">
        <v>56.126477890366417</v>
      </c>
      <c r="K1510">
        <v>1500</v>
      </c>
      <c r="L1510">
        <v>0</v>
      </c>
      <c r="N1510">
        <v>29</v>
      </c>
      <c r="O1510" s="60" t="s">
        <v>1887</v>
      </c>
      <c r="P1510" t="s">
        <v>805</v>
      </c>
      <c r="Q1510" t="s">
        <v>2395</v>
      </c>
    </row>
    <row r="1511" spans="1:17" x14ac:dyDescent="0.25">
      <c r="A1511" t="s">
        <v>19</v>
      </c>
      <c r="B1511">
        <v>16.349999999999994</v>
      </c>
      <c r="C1511">
        <v>114.14999999999999</v>
      </c>
      <c r="D1511">
        <v>15.3001</v>
      </c>
      <c r="E1511">
        <v>16.349999999999994</v>
      </c>
      <c r="F1511">
        <v>115.49999999999999</v>
      </c>
      <c r="G1511">
        <v>15.3001</v>
      </c>
      <c r="H1511">
        <v>1.2</v>
      </c>
      <c r="I1511">
        <v>0.9</v>
      </c>
      <c r="J1511">
        <v>0.60616596121595478</v>
      </c>
      <c r="K1511">
        <v>1500</v>
      </c>
      <c r="L1511">
        <v>0</v>
      </c>
      <c r="N1511">
        <v>29</v>
      </c>
      <c r="O1511" s="60" t="s">
        <v>1888</v>
      </c>
      <c r="P1511" t="s">
        <v>806</v>
      </c>
      <c r="Q1511" t="s">
        <v>1036</v>
      </c>
    </row>
    <row r="1512" spans="1:17" x14ac:dyDescent="0.25">
      <c r="A1512" t="s">
        <v>19</v>
      </c>
      <c r="B1512">
        <v>16.349999999999994</v>
      </c>
      <c r="C1512">
        <v>115.49999999999999</v>
      </c>
      <c r="D1512">
        <v>15.3001</v>
      </c>
      <c r="E1512">
        <v>141.35</v>
      </c>
      <c r="F1512">
        <v>115.49999999999999</v>
      </c>
      <c r="G1512">
        <v>15.3001</v>
      </c>
      <c r="H1512">
        <v>1.2</v>
      </c>
      <c r="I1512">
        <v>0.9</v>
      </c>
      <c r="J1512">
        <v>56.126477890366417</v>
      </c>
      <c r="K1512">
        <v>1500</v>
      </c>
      <c r="L1512">
        <v>0</v>
      </c>
      <c r="N1512">
        <v>29</v>
      </c>
      <c r="O1512" s="60" t="s">
        <v>1889</v>
      </c>
      <c r="P1512" t="s">
        <v>826</v>
      </c>
      <c r="Q1512" t="s">
        <v>2394</v>
      </c>
    </row>
    <row r="1513" spans="1:17" x14ac:dyDescent="0.25">
      <c r="A1513" t="s">
        <v>19</v>
      </c>
      <c r="B1513">
        <v>141.35</v>
      </c>
      <c r="C1513">
        <v>115.49999999999999</v>
      </c>
      <c r="D1513">
        <v>15.3001</v>
      </c>
      <c r="E1513">
        <v>141.35</v>
      </c>
      <c r="F1513">
        <v>119.54999999999998</v>
      </c>
      <c r="G1513">
        <v>15.3001</v>
      </c>
      <c r="H1513">
        <v>1.2</v>
      </c>
      <c r="I1513">
        <v>0.9</v>
      </c>
      <c r="J1513">
        <v>1.8184978836478705</v>
      </c>
      <c r="K1513">
        <v>1500</v>
      </c>
      <c r="L1513">
        <v>0</v>
      </c>
      <c r="N1513">
        <v>29</v>
      </c>
      <c r="O1513" s="60" t="s">
        <v>1890</v>
      </c>
      <c r="P1513" t="s">
        <v>761</v>
      </c>
      <c r="Q1513" t="s">
        <v>1037</v>
      </c>
    </row>
    <row r="1514" spans="1:17" x14ac:dyDescent="0.25">
      <c r="A1514" t="s">
        <v>19</v>
      </c>
      <c r="B1514">
        <v>141.35</v>
      </c>
      <c r="C1514">
        <v>119.55</v>
      </c>
      <c r="D1514">
        <v>15.3001</v>
      </c>
      <c r="E1514">
        <v>16.349999999999994</v>
      </c>
      <c r="F1514">
        <v>119.55</v>
      </c>
      <c r="G1514">
        <v>15.3001</v>
      </c>
      <c r="H1514">
        <v>1.2</v>
      </c>
      <c r="I1514">
        <v>0.9</v>
      </c>
      <c r="J1514">
        <v>56.126477890366417</v>
      </c>
      <c r="K1514">
        <v>1500</v>
      </c>
      <c r="L1514">
        <v>0</v>
      </c>
      <c r="N1514">
        <v>29</v>
      </c>
      <c r="O1514" s="60" t="s">
        <v>2369</v>
      </c>
      <c r="P1514" t="s">
        <v>805</v>
      </c>
      <c r="Q1514" t="s">
        <v>2395</v>
      </c>
    </row>
    <row r="1515" spans="1:17" x14ac:dyDescent="0.25">
      <c r="A1515" t="s">
        <v>19</v>
      </c>
      <c r="B1515">
        <v>16.349999999999994</v>
      </c>
      <c r="C1515">
        <v>119.55</v>
      </c>
      <c r="D1515">
        <v>15.3001</v>
      </c>
      <c r="E1515">
        <v>16.349999999999994</v>
      </c>
      <c r="F1515">
        <v>120.89999999999999</v>
      </c>
      <c r="G1515">
        <v>15.3001</v>
      </c>
      <c r="H1515">
        <v>1.2</v>
      </c>
      <c r="I1515">
        <v>0.9</v>
      </c>
      <c r="J1515">
        <v>0.60616596121595478</v>
      </c>
      <c r="K1515">
        <v>1500</v>
      </c>
      <c r="L1515">
        <v>0</v>
      </c>
      <c r="N1515">
        <v>29</v>
      </c>
      <c r="O1515" s="60" t="s">
        <v>2370</v>
      </c>
      <c r="P1515" t="s">
        <v>806</v>
      </c>
      <c r="Q1515" t="s">
        <v>1935</v>
      </c>
    </row>
    <row r="1516" spans="1:17" x14ac:dyDescent="0.25">
      <c r="A1516" t="s">
        <v>19</v>
      </c>
      <c r="B1516">
        <v>16.349999999999994</v>
      </c>
      <c r="C1516">
        <v>120.89999999999999</v>
      </c>
      <c r="D1516">
        <v>15.3001</v>
      </c>
      <c r="E1516">
        <v>141.35</v>
      </c>
      <c r="F1516">
        <v>120.89999999999999</v>
      </c>
      <c r="G1516">
        <v>15.3001</v>
      </c>
      <c r="H1516">
        <v>1.2</v>
      </c>
      <c r="I1516">
        <v>0.9</v>
      </c>
      <c r="J1516">
        <v>56.126477890366417</v>
      </c>
      <c r="K1516">
        <v>1500</v>
      </c>
      <c r="L1516">
        <v>0</v>
      </c>
      <c r="N1516">
        <v>29</v>
      </c>
      <c r="O1516" s="60" t="s">
        <v>2371</v>
      </c>
      <c r="P1516" t="s">
        <v>826</v>
      </c>
      <c r="Q1516" t="s">
        <v>2394</v>
      </c>
    </row>
    <row r="1517" spans="1:17" x14ac:dyDescent="0.25">
      <c r="A1517" t="s">
        <v>19</v>
      </c>
      <c r="B1517">
        <v>141.35</v>
      </c>
      <c r="C1517">
        <v>120.89999999999999</v>
      </c>
      <c r="D1517">
        <v>15.3001</v>
      </c>
      <c r="E1517">
        <v>141.35</v>
      </c>
      <c r="F1517">
        <v>124.94999999999999</v>
      </c>
      <c r="G1517">
        <v>15.3001</v>
      </c>
      <c r="H1517">
        <v>1.2</v>
      </c>
      <c r="I1517">
        <v>0.9</v>
      </c>
      <c r="J1517">
        <v>1.8184978836478705</v>
      </c>
      <c r="K1517">
        <v>1500</v>
      </c>
      <c r="L1517">
        <v>0</v>
      </c>
      <c r="N1517">
        <v>29</v>
      </c>
      <c r="O1517" s="60" t="s">
        <v>2372</v>
      </c>
      <c r="P1517" t="s">
        <v>761</v>
      </c>
      <c r="Q1517" t="s">
        <v>1938</v>
      </c>
    </row>
    <row r="1518" spans="1:17" x14ac:dyDescent="0.25">
      <c r="A1518" t="s">
        <v>19</v>
      </c>
      <c r="B1518">
        <v>141.35</v>
      </c>
      <c r="C1518">
        <v>124.95</v>
      </c>
      <c r="D1518">
        <v>15.3001</v>
      </c>
      <c r="E1518">
        <v>16.349999999999994</v>
      </c>
      <c r="F1518">
        <v>124.95</v>
      </c>
      <c r="G1518">
        <v>15.3001</v>
      </c>
      <c r="H1518">
        <v>1.2</v>
      </c>
      <c r="I1518">
        <v>0.9</v>
      </c>
      <c r="J1518">
        <v>56.126477890366417</v>
      </c>
      <c r="K1518">
        <v>1500</v>
      </c>
      <c r="L1518">
        <v>0</v>
      </c>
      <c r="N1518">
        <v>29</v>
      </c>
      <c r="O1518" s="60" t="s">
        <v>2373</v>
      </c>
      <c r="P1518" t="s">
        <v>805</v>
      </c>
      <c r="Q1518" t="s">
        <v>2395</v>
      </c>
    </row>
    <row r="1519" spans="1:17" x14ac:dyDescent="0.25">
      <c r="A1519" t="s">
        <v>19</v>
      </c>
      <c r="B1519">
        <v>16.349999999999994</v>
      </c>
      <c r="C1519">
        <v>124.95</v>
      </c>
      <c r="D1519">
        <v>15.3001</v>
      </c>
      <c r="E1519">
        <v>16.349999999999994</v>
      </c>
      <c r="F1519">
        <v>126.3</v>
      </c>
      <c r="G1519">
        <v>15.3001</v>
      </c>
      <c r="H1519">
        <v>1.2</v>
      </c>
      <c r="I1519">
        <v>0.9</v>
      </c>
      <c r="J1519">
        <v>0.60616596121595478</v>
      </c>
      <c r="K1519">
        <v>1500</v>
      </c>
      <c r="L1519">
        <v>0</v>
      </c>
      <c r="N1519">
        <v>29</v>
      </c>
      <c r="O1519" s="60" t="s">
        <v>2374</v>
      </c>
      <c r="P1519" t="s">
        <v>806</v>
      </c>
      <c r="Q1519" t="s">
        <v>1941</v>
      </c>
    </row>
    <row r="1520" spans="1:17" x14ac:dyDescent="0.25">
      <c r="A1520" t="s">
        <v>19</v>
      </c>
      <c r="B1520">
        <v>16.349999999999994</v>
      </c>
      <c r="C1520">
        <v>126.3</v>
      </c>
      <c r="D1520">
        <v>15.3001</v>
      </c>
      <c r="E1520">
        <v>141.35</v>
      </c>
      <c r="F1520">
        <v>126.3</v>
      </c>
      <c r="G1520">
        <v>15.3001</v>
      </c>
      <c r="H1520">
        <v>1.2</v>
      </c>
      <c r="I1520">
        <v>0.9</v>
      </c>
      <c r="J1520">
        <v>56.126477890366417</v>
      </c>
      <c r="K1520">
        <v>1500</v>
      </c>
      <c r="L1520">
        <v>0</v>
      </c>
      <c r="N1520">
        <v>29</v>
      </c>
      <c r="O1520" s="60" t="s">
        <v>2375</v>
      </c>
      <c r="P1520" t="s">
        <v>826</v>
      </c>
      <c r="Q1520" t="s">
        <v>2394</v>
      </c>
    </row>
    <row r="1521" spans="1:17" x14ac:dyDescent="0.25">
      <c r="A1521" t="s">
        <v>19</v>
      </c>
      <c r="B1521">
        <v>141.35</v>
      </c>
      <c r="C1521">
        <v>126.3</v>
      </c>
      <c r="D1521">
        <v>15.3001</v>
      </c>
      <c r="E1521">
        <v>141.35</v>
      </c>
      <c r="F1521">
        <v>130.35</v>
      </c>
      <c r="G1521">
        <v>15.3001</v>
      </c>
      <c r="H1521">
        <v>1.2</v>
      </c>
      <c r="I1521">
        <v>0.9</v>
      </c>
      <c r="J1521">
        <v>1.8184978836478705</v>
      </c>
      <c r="K1521">
        <v>1500</v>
      </c>
      <c r="L1521">
        <v>0</v>
      </c>
      <c r="N1521">
        <v>29</v>
      </c>
      <c r="O1521" s="60" t="s">
        <v>2376</v>
      </c>
      <c r="P1521" t="s">
        <v>761</v>
      </c>
      <c r="Q1521" t="s">
        <v>1944</v>
      </c>
    </row>
    <row r="1522" spans="1:17" x14ac:dyDescent="0.25">
      <c r="A1522" t="s">
        <v>49</v>
      </c>
      <c r="B1522" t="s">
        <v>811</v>
      </c>
      <c r="N1522">
        <v>29</v>
      </c>
      <c r="O1522" s="60" t="s">
        <v>997</v>
      </c>
      <c r="P1522" t="s">
        <v>759</v>
      </c>
      <c r="Q1522" t="s">
        <v>811</v>
      </c>
    </row>
    <row r="1523" spans="1:17" x14ac:dyDescent="0.25">
      <c r="A1523" t="s">
        <v>49</v>
      </c>
      <c r="B1523" t="s">
        <v>203</v>
      </c>
      <c r="C1523">
        <v>0</v>
      </c>
      <c r="N1523">
        <v>29</v>
      </c>
      <c r="O1523" s="60" t="s">
        <v>998</v>
      </c>
      <c r="P1523" t="s">
        <v>764</v>
      </c>
      <c r="Q1523" t="s">
        <v>467</v>
      </c>
    </row>
    <row r="1524" spans="1:17" x14ac:dyDescent="0.25">
      <c r="A1524" t="s">
        <v>49</v>
      </c>
      <c r="B1524" t="s">
        <v>634</v>
      </c>
      <c r="N1524">
        <v>29</v>
      </c>
      <c r="O1524" s="60" t="s">
        <v>999</v>
      </c>
      <c r="P1524" t="s">
        <v>813</v>
      </c>
      <c r="Q1524" t="s">
        <v>634</v>
      </c>
    </row>
    <row r="1525" spans="1:17" x14ac:dyDescent="0.25">
      <c r="A1525" t="s">
        <v>23</v>
      </c>
      <c r="B1525">
        <v>141.35</v>
      </c>
      <c r="C1525">
        <v>130.35</v>
      </c>
      <c r="D1525">
        <v>15.3001</v>
      </c>
      <c r="E1525">
        <v>15</v>
      </c>
      <c r="F1525">
        <v>75</v>
      </c>
      <c r="G1525">
        <v>15.3</v>
      </c>
      <c r="H1525">
        <v>0</v>
      </c>
      <c r="I1525">
        <v>0</v>
      </c>
      <c r="K1525">
        <v>48000</v>
      </c>
      <c r="N1525">
        <v>0</v>
      </c>
      <c r="O1525" s="60">
        <v>0</v>
      </c>
      <c r="P1525" t="s">
        <v>661</v>
      </c>
      <c r="Q1525" t="s">
        <v>2377</v>
      </c>
    </row>
    <row r="1526" spans="1:17" x14ac:dyDescent="0.25">
      <c r="A1526" t="s">
        <v>19</v>
      </c>
      <c r="B1526">
        <v>15</v>
      </c>
      <c r="C1526">
        <v>75</v>
      </c>
      <c r="D1526">
        <v>15.3</v>
      </c>
      <c r="E1526">
        <v>15</v>
      </c>
      <c r="F1526">
        <v>79.05</v>
      </c>
      <c r="G1526">
        <v>15.3</v>
      </c>
      <c r="H1526">
        <v>1.2</v>
      </c>
      <c r="I1526">
        <v>0.9</v>
      </c>
      <c r="J1526">
        <v>1.8184978836478705</v>
      </c>
      <c r="K1526">
        <v>1500</v>
      </c>
      <c r="L1526">
        <v>0</v>
      </c>
      <c r="N1526">
        <v>29</v>
      </c>
      <c r="O1526" s="60" t="s">
        <v>2378</v>
      </c>
      <c r="P1526" t="s">
        <v>2018</v>
      </c>
      <c r="Q1526" t="s">
        <v>879</v>
      </c>
    </row>
    <row r="1527" spans="1:17" x14ac:dyDescent="0.25">
      <c r="A1527" t="s">
        <v>19</v>
      </c>
      <c r="B1527">
        <v>15</v>
      </c>
      <c r="C1527">
        <v>79.05</v>
      </c>
      <c r="D1527">
        <v>15.3</v>
      </c>
      <c r="E1527">
        <v>140</v>
      </c>
      <c r="F1527">
        <v>79.05</v>
      </c>
      <c r="G1527">
        <v>15.3</v>
      </c>
      <c r="H1527">
        <v>1.2</v>
      </c>
      <c r="I1527">
        <v>0.9</v>
      </c>
      <c r="J1527">
        <v>56.126477890366417</v>
      </c>
      <c r="K1527">
        <v>1500</v>
      </c>
      <c r="L1527">
        <v>0</v>
      </c>
      <c r="N1527">
        <v>29</v>
      </c>
      <c r="O1527" s="60" t="s">
        <v>2379</v>
      </c>
      <c r="P1527" t="s">
        <v>2020</v>
      </c>
      <c r="Q1527" t="s">
        <v>2396</v>
      </c>
    </row>
    <row r="1528" spans="1:17" x14ac:dyDescent="0.25">
      <c r="A1528" t="s">
        <v>19</v>
      </c>
      <c r="B1528">
        <v>140</v>
      </c>
      <c r="C1528">
        <v>79.05</v>
      </c>
      <c r="D1528">
        <v>15.3</v>
      </c>
      <c r="E1528">
        <v>140</v>
      </c>
      <c r="F1528">
        <v>80.399999999999991</v>
      </c>
      <c r="G1528">
        <v>15.3</v>
      </c>
      <c r="H1528">
        <v>1.2</v>
      </c>
      <c r="I1528">
        <v>0.9</v>
      </c>
      <c r="J1528">
        <v>0.60616596121595478</v>
      </c>
      <c r="K1528">
        <v>1500</v>
      </c>
      <c r="L1528">
        <v>0</v>
      </c>
      <c r="N1528">
        <v>29</v>
      </c>
      <c r="O1528" s="60" t="s">
        <v>2380</v>
      </c>
      <c r="P1528" t="s">
        <v>2022</v>
      </c>
      <c r="Q1528" t="s">
        <v>880</v>
      </c>
    </row>
    <row r="1529" spans="1:17" x14ac:dyDescent="0.25">
      <c r="A1529" t="s">
        <v>19</v>
      </c>
      <c r="B1529">
        <v>140</v>
      </c>
      <c r="C1529">
        <v>80.399999999999991</v>
      </c>
      <c r="D1529">
        <v>15.3</v>
      </c>
      <c r="E1529">
        <v>15</v>
      </c>
      <c r="F1529">
        <v>80.399999999999991</v>
      </c>
      <c r="G1529">
        <v>15.3</v>
      </c>
      <c r="H1529">
        <v>1.2</v>
      </c>
      <c r="I1529">
        <v>0.9</v>
      </c>
      <c r="J1529">
        <v>56.126477890366417</v>
      </c>
      <c r="K1529">
        <v>1500</v>
      </c>
      <c r="L1529">
        <v>0</v>
      </c>
      <c r="N1529">
        <v>29</v>
      </c>
      <c r="O1529" s="60" t="s">
        <v>2381</v>
      </c>
      <c r="P1529" t="s">
        <v>2024</v>
      </c>
      <c r="Q1529" t="s">
        <v>2397</v>
      </c>
    </row>
    <row r="1530" spans="1:17" x14ac:dyDescent="0.25">
      <c r="A1530" t="s">
        <v>19</v>
      </c>
      <c r="B1530">
        <v>15</v>
      </c>
      <c r="C1530">
        <v>80.400000000000006</v>
      </c>
      <c r="D1530">
        <v>15.3</v>
      </c>
      <c r="E1530">
        <v>15</v>
      </c>
      <c r="F1530">
        <v>84.45</v>
      </c>
      <c r="G1530">
        <v>15.3</v>
      </c>
      <c r="H1530">
        <v>1.2</v>
      </c>
      <c r="I1530">
        <v>0.9</v>
      </c>
      <c r="J1530">
        <v>1.8184978836478705</v>
      </c>
      <c r="K1530">
        <v>1500</v>
      </c>
      <c r="L1530">
        <v>0</v>
      </c>
      <c r="N1530">
        <v>29</v>
      </c>
      <c r="O1530" s="60" t="s">
        <v>1891</v>
      </c>
      <c r="P1530" t="s">
        <v>827</v>
      </c>
      <c r="Q1530" t="s">
        <v>1065</v>
      </c>
    </row>
    <row r="1531" spans="1:17" x14ac:dyDescent="0.25">
      <c r="A1531" t="s">
        <v>19</v>
      </c>
      <c r="B1531">
        <v>15</v>
      </c>
      <c r="C1531">
        <v>84.45</v>
      </c>
      <c r="D1531">
        <v>15.3</v>
      </c>
      <c r="E1531">
        <v>140</v>
      </c>
      <c r="F1531">
        <v>84.45</v>
      </c>
      <c r="G1531">
        <v>15.3</v>
      </c>
      <c r="H1531">
        <v>1.2</v>
      </c>
      <c r="I1531">
        <v>0.9</v>
      </c>
      <c r="J1531">
        <v>56.126477890366417</v>
      </c>
      <c r="K1531">
        <v>1500</v>
      </c>
      <c r="L1531">
        <v>0</v>
      </c>
      <c r="N1531">
        <v>29</v>
      </c>
      <c r="O1531" s="60" t="s">
        <v>1892</v>
      </c>
      <c r="P1531" t="s">
        <v>828</v>
      </c>
      <c r="Q1531" t="s">
        <v>2396</v>
      </c>
    </row>
    <row r="1532" spans="1:17" x14ac:dyDescent="0.25">
      <c r="A1532" t="s">
        <v>19</v>
      </c>
      <c r="B1532">
        <v>140</v>
      </c>
      <c r="C1532">
        <v>84.45</v>
      </c>
      <c r="D1532">
        <v>15.3</v>
      </c>
      <c r="E1532">
        <v>140</v>
      </c>
      <c r="F1532">
        <v>85.8</v>
      </c>
      <c r="G1532">
        <v>15.3</v>
      </c>
      <c r="H1532">
        <v>1.2</v>
      </c>
      <c r="I1532">
        <v>0.9</v>
      </c>
      <c r="J1532">
        <v>0.60616596121595478</v>
      </c>
      <c r="K1532">
        <v>1500</v>
      </c>
      <c r="L1532">
        <v>0</v>
      </c>
      <c r="N1532">
        <v>29</v>
      </c>
      <c r="O1532" s="60" t="s">
        <v>1893</v>
      </c>
      <c r="P1532" t="s">
        <v>829</v>
      </c>
      <c r="Q1532" t="s">
        <v>1066</v>
      </c>
    </row>
    <row r="1533" spans="1:17" x14ac:dyDescent="0.25">
      <c r="A1533" t="s">
        <v>19</v>
      </c>
      <c r="B1533">
        <v>140</v>
      </c>
      <c r="C1533">
        <v>85.8</v>
      </c>
      <c r="D1533">
        <v>15.3</v>
      </c>
      <c r="E1533">
        <v>15</v>
      </c>
      <c r="F1533">
        <v>85.8</v>
      </c>
      <c r="G1533">
        <v>15.3</v>
      </c>
      <c r="H1533">
        <v>1.2</v>
      </c>
      <c r="I1533">
        <v>0.9</v>
      </c>
      <c r="J1533">
        <v>56.126477890366417</v>
      </c>
      <c r="K1533">
        <v>1500</v>
      </c>
      <c r="L1533">
        <v>0</v>
      </c>
      <c r="N1533">
        <v>29</v>
      </c>
      <c r="O1533" s="60" t="s">
        <v>1894</v>
      </c>
      <c r="P1533" t="s">
        <v>814</v>
      </c>
      <c r="Q1533" t="s">
        <v>2397</v>
      </c>
    </row>
    <row r="1534" spans="1:17" x14ac:dyDescent="0.25">
      <c r="A1534" t="s">
        <v>19</v>
      </c>
      <c r="B1534">
        <v>15</v>
      </c>
      <c r="C1534">
        <v>85.8</v>
      </c>
      <c r="D1534">
        <v>15.3</v>
      </c>
      <c r="E1534">
        <v>15</v>
      </c>
      <c r="F1534">
        <v>89.85</v>
      </c>
      <c r="G1534">
        <v>15.3</v>
      </c>
      <c r="H1534">
        <v>1.2</v>
      </c>
      <c r="I1534">
        <v>0.9</v>
      </c>
      <c r="J1534">
        <v>1.8184978836478705</v>
      </c>
      <c r="K1534">
        <v>1500</v>
      </c>
      <c r="L1534">
        <v>0</v>
      </c>
      <c r="N1534">
        <v>29</v>
      </c>
      <c r="O1534" s="60" t="s">
        <v>1895</v>
      </c>
      <c r="P1534" t="s">
        <v>827</v>
      </c>
      <c r="Q1534" t="s">
        <v>1067</v>
      </c>
    </row>
    <row r="1535" spans="1:17" x14ac:dyDescent="0.25">
      <c r="A1535" t="s">
        <v>19</v>
      </c>
      <c r="B1535">
        <v>15</v>
      </c>
      <c r="C1535">
        <v>89.85</v>
      </c>
      <c r="D1535">
        <v>15.3</v>
      </c>
      <c r="E1535">
        <v>140</v>
      </c>
      <c r="F1535">
        <v>89.85</v>
      </c>
      <c r="G1535">
        <v>15.3</v>
      </c>
      <c r="H1535">
        <v>1.2</v>
      </c>
      <c r="I1535">
        <v>0.9</v>
      </c>
      <c r="J1535">
        <v>56.126477890366417</v>
      </c>
      <c r="K1535">
        <v>1500</v>
      </c>
      <c r="L1535">
        <v>0</v>
      </c>
      <c r="N1535">
        <v>29</v>
      </c>
      <c r="O1535" s="60" t="s">
        <v>1896</v>
      </c>
      <c r="P1535" t="s">
        <v>828</v>
      </c>
      <c r="Q1535" t="s">
        <v>2396</v>
      </c>
    </row>
    <row r="1536" spans="1:17" x14ac:dyDescent="0.25">
      <c r="A1536" t="s">
        <v>19</v>
      </c>
      <c r="B1536">
        <v>140</v>
      </c>
      <c r="C1536">
        <v>89.85</v>
      </c>
      <c r="D1536">
        <v>15.3</v>
      </c>
      <c r="E1536">
        <v>140</v>
      </c>
      <c r="F1536">
        <v>91.199999999999989</v>
      </c>
      <c r="G1536">
        <v>15.3</v>
      </c>
      <c r="H1536">
        <v>1.2</v>
      </c>
      <c r="I1536">
        <v>0.9</v>
      </c>
      <c r="J1536">
        <v>0.60616596121595478</v>
      </c>
      <c r="K1536">
        <v>1500</v>
      </c>
      <c r="L1536">
        <v>0</v>
      </c>
      <c r="N1536">
        <v>29</v>
      </c>
      <c r="O1536" s="60" t="s">
        <v>1897</v>
      </c>
      <c r="P1536" t="s">
        <v>829</v>
      </c>
      <c r="Q1536" t="s">
        <v>1068</v>
      </c>
    </row>
    <row r="1537" spans="1:17" x14ac:dyDescent="0.25">
      <c r="A1537" t="s">
        <v>19</v>
      </c>
      <c r="B1537">
        <v>140</v>
      </c>
      <c r="C1537">
        <v>91.199999999999989</v>
      </c>
      <c r="D1537">
        <v>15.3</v>
      </c>
      <c r="E1537">
        <v>15</v>
      </c>
      <c r="F1537">
        <v>91.199999999999989</v>
      </c>
      <c r="G1537">
        <v>15.3</v>
      </c>
      <c r="H1537">
        <v>1.2</v>
      </c>
      <c r="I1537">
        <v>0.9</v>
      </c>
      <c r="J1537">
        <v>56.126477890366417</v>
      </c>
      <c r="K1537">
        <v>1500</v>
      </c>
      <c r="L1537">
        <v>0</v>
      </c>
      <c r="N1537">
        <v>29</v>
      </c>
      <c r="O1537" s="60" t="s">
        <v>1898</v>
      </c>
      <c r="P1537" t="s">
        <v>814</v>
      </c>
      <c r="Q1537" t="s">
        <v>2397</v>
      </c>
    </row>
    <row r="1538" spans="1:17" x14ac:dyDescent="0.25">
      <c r="A1538" t="s">
        <v>19</v>
      </c>
      <c r="B1538">
        <v>15</v>
      </c>
      <c r="C1538">
        <v>91.2</v>
      </c>
      <c r="D1538">
        <v>15.3</v>
      </c>
      <c r="E1538">
        <v>15</v>
      </c>
      <c r="F1538">
        <v>95.25</v>
      </c>
      <c r="G1538">
        <v>15.3</v>
      </c>
      <c r="H1538">
        <v>1.2</v>
      </c>
      <c r="I1538">
        <v>0.9</v>
      </c>
      <c r="J1538">
        <v>1.8184978836478705</v>
      </c>
      <c r="K1538">
        <v>1500</v>
      </c>
      <c r="L1538">
        <v>0</v>
      </c>
      <c r="N1538">
        <v>29</v>
      </c>
      <c r="O1538" s="60" t="s">
        <v>1899</v>
      </c>
      <c r="P1538" t="s">
        <v>827</v>
      </c>
      <c r="Q1538" t="s">
        <v>1069</v>
      </c>
    </row>
    <row r="1539" spans="1:17" x14ac:dyDescent="0.25">
      <c r="A1539" t="s">
        <v>19</v>
      </c>
      <c r="B1539">
        <v>15</v>
      </c>
      <c r="C1539">
        <v>95.25</v>
      </c>
      <c r="D1539">
        <v>15.3</v>
      </c>
      <c r="E1539">
        <v>140</v>
      </c>
      <c r="F1539">
        <v>95.25</v>
      </c>
      <c r="G1539">
        <v>15.3</v>
      </c>
      <c r="H1539">
        <v>1.2</v>
      </c>
      <c r="I1539">
        <v>0.9</v>
      </c>
      <c r="J1539">
        <v>56.126477890366417</v>
      </c>
      <c r="K1539">
        <v>1500</v>
      </c>
      <c r="L1539">
        <v>0</v>
      </c>
      <c r="N1539">
        <v>29</v>
      </c>
      <c r="O1539" s="60" t="s">
        <v>1900</v>
      </c>
      <c r="P1539" t="s">
        <v>828</v>
      </c>
      <c r="Q1539" t="s">
        <v>2396</v>
      </c>
    </row>
    <row r="1540" spans="1:17" x14ac:dyDescent="0.25">
      <c r="A1540" t="s">
        <v>19</v>
      </c>
      <c r="B1540">
        <v>140</v>
      </c>
      <c r="C1540">
        <v>95.25</v>
      </c>
      <c r="D1540">
        <v>15.3</v>
      </c>
      <c r="E1540">
        <v>140</v>
      </c>
      <c r="F1540">
        <v>96.6</v>
      </c>
      <c r="G1540">
        <v>15.3</v>
      </c>
      <c r="H1540">
        <v>1.2</v>
      </c>
      <c r="I1540">
        <v>0.9</v>
      </c>
      <c r="J1540">
        <v>0.60616596121595478</v>
      </c>
      <c r="K1540">
        <v>1500</v>
      </c>
      <c r="L1540">
        <v>0</v>
      </c>
      <c r="N1540">
        <v>29</v>
      </c>
      <c r="O1540" s="60" t="s">
        <v>1901</v>
      </c>
      <c r="P1540" t="s">
        <v>829</v>
      </c>
      <c r="Q1540" t="s">
        <v>1070</v>
      </c>
    </row>
    <row r="1541" spans="1:17" x14ac:dyDescent="0.25">
      <c r="A1541" t="s">
        <v>19</v>
      </c>
      <c r="B1541">
        <v>140</v>
      </c>
      <c r="C1541">
        <v>96.6</v>
      </c>
      <c r="D1541">
        <v>15.3</v>
      </c>
      <c r="E1541">
        <v>15</v>
      </c>
      <c r="F1541">
        <v>96.6</v>
      </c>
      <c r="G1541">
        <v>15.3</v>
      </c>
      <c r="H1541">
        <v>1.2</v>
      </c>
      <c r="I1541">
        <v>0.9</v>
      </c>
      <c r="J1541">
        <v>56.126477890366417</v>
      </c>
      <c r="K1541">
        <v>1500</v>
      </c>
      <c r="L1541">
        <v>0</v>
      </c>
      <c r="N1541">
        <v>29</v>
      </c>
      <c r="O1541" s="60" t="s">
        <v>1902</v>
      </c>
      <c r="P1541" t="s">
        <v>814</v>
      </c>
      <c r="Q1541" t="s">
        <v>2397</v>
      </c>
    </row>
    <row r="1542" spans="1:17" x14ac:dyDescent="0.25">
      <c r="A1542" t="s">
        <v>19</v>
      </c>
      <c r="B1542">
        <v>15</v>
      </c>
      <c r="C1542">
        <v>96.6</v>
      </c>
      <c r="D1542">
        <v>15.3</v>
      </c>
      <c r="E1542">
        <v>15</v>
      </c>
      <c r="F1542">
        <v>100.65</v>
      </c>
      <c r="G1542">
        <v>15.3</v>
      </c>
      <c r="H1542">
        <v>1.2</v>
      </c>
      <c r="I1542">
        <v>0.9</v>
      </c>
      <c r="J1542">
        <v>1.8184978836478705</v>
      </c>
      <c r="K1542">
        <v>1500</v>
      </c>
      <c r="L1542">
        <v>0</v>
      </c>
      <c r="N1542">
        <v>29</v>
      </c>
      <c r="O1542" s="60" t="s">
        <v>1903</v>
      </c>
      <c r="P1542" t="s">
        <v>827</v>
      </c>
      <c r="Q1542" t="s">
        <v>1071</v>
      </c>
    </row>
    <row r="1543" spans="1:17" x14ac:dyDescent="0.25">
      <c r="A1543" t="s">
        <v>19</v>
      </c>
      <c r="B1543">
        <v>15</v>
      </c>
      <c r="C1543">
        <v>100.65</v>
      </c>
      <c r="D1543">
        <v>15.3</v>
      </c>
      <c r="E1543">
        <v>140</v>
      </c>
      <c r="F1543">
        <v>100.65</v>
      </c>
      <c r="G1543">
        <v>15.3</v>
      </c>
      <c r="H1543">
        <v>1.2</v>
      </c>
      <c r="I1543">
        <v>0.9</v>
      </c>
      <c r="J1543">
        <v>56.126477890366417</v>
      </c>
      <c r="K1543">
        <v>1500</v>
      </c>
      <c r="L1543">
        <v>0</v>
      </c>
      <c r="N1543">
        <v>29</v>
      </c>
      <c r="O1543" s="60" t="s">
        <v>1904</v>
      </c>
      <c r="P1543" t="s">
        <v>828</v>
      </c>
      <c r="Q1543" t="s">
        <v>2396</v>
      </c>
    </row>
    <row r="1544" spans="1:17" x14ac:dyDescent="0.25">
      <c r="A1544" t="s">
        <v>19</v>
      </c>
      <c r="B1544">
        <v>140</v>
      </c>
      <c r="C1544">
        <v>100.65</v>
      </c>
      <c r="D1544">
        <v>15.3</v>
      </c>
      <c r="E1544">
        <v>140</v>
      </c>
      <c r="F1544">
        <v>102</v>
      </c>
      <c r="G1544">
        <v>15.3</v>
      </c>
      <c r="H1544">
        <v>1.2</v>
      </c>
      <c r="I1544">
        <v>0.9</v>
      </c>
      <c r="J1544">
        <v>0.60616596121595478</v>
      </c>
      <c r="K1544">
        <v>1500</v>
      </c>
      <c r="L1544">
        <v>0</v>
      </c>
      <c r="N1544">
        <v>29</v>
      </c>
      <c r="O1544" s="60" t="s">
        <v>1905</v>
      </c>
      <c r="P1544" t="s">
        <v>829</v>
      </c>
      <c r="Q1544" t="s">
        <v>1072</v>
      </c>
    </row>
    <row r="1545" spans="1:17" x14ac:dyDescent="0.25">
      <c r="A1545" t="s">
        <v>19</v>
      </c>
      <c r="B1545">
        <v>140</v>
      </c>
      <c r="C1545">
        <v>102</v>
      </c>
      <c r="D1545">
        <v>15.3</v>
      </c>
      <c r="E1545">
        <v>15</v>
      </c>
      <c r="F1545">
        <v>102</v>
      </c>
      <c r="G1545">
        <v>15.3</v>
      </c>
      <c r="H1545">
        <v>1.2</v>
      </c>
      <c r="I1545">
        <v>0.9</v>
      </c>
      <c r="J1545">
        <v>56.126477890366417</v>
      </c>
      <c r="K1545">
        <v>1500</v>
      </c>
      <c r="L1545">
        <v>0</v>
      </c>
      <c r="N1545">
        <v>29</v>
      </c>
      <c r="O1545" s="60" t="s">
        <v>1906</v>
      </c>
      <c r="P1545" t="s">
        <v>814</v>
      </c>
      <c r="Q1545" t="s">
        <v>2397</v>
      </c>
    </row>
    <row r="1546" spans="1:17" x14ac:dyDescent="0.25">
      <c r="A1546" t="s">
        <v>19</v>
      </c>
      <c r="B1546">
        <v>15</v>
      </c>
      <c r="C1546">
        <v>102</v>
      </c>
      <c r="D1546">
        <v>15.3</v>
      </c>
      <c r="E1546">
        <v>15</v>
      </c>
      <c r="F1546">
        <v>106.05</v>
      </c>
      <c r="G1546">
        <v>15.3</v>
      </c>
      <c r="H1546">
        <v>1.2</v>
      </c>
      <c r="I1546">
        <v>0.9</v>
      </c>
      <c r="J1546">
        <v>1.8184978836478705</v>
      </c>
      <c r="K1546">
        <v>1500</v>
      </c>
      <c r="L1546">
        <v>0</v>
      </c>
      <c r="N1546">
        <v>29</v>
      </c>
      <c r="O1546" s="60" t="s">
        <v>1907</v>
      </c>
      <c r="P1546" t="s">
        <v>827</v>
      </c>
      <c r="Q1546" t="s">
        <v>1073</v>
      </c>
    </row>
    <row r="1547" spans="1:17" x14ac:dyDescent="0.25">
      <c r="A1547" t="s">
        <v>19</v>
      </c>
      <c r="B1547">
        <v>15</v>
      </c>
      <c r="C1547">
        <v>106.05</v>
      </c>
      <c r="D1547">
        <v>15.3</v>
      </c>
      <c r="E1547">
        <v>140</v>
      </c>
      <c r="F1547">
        <v>106.05</v>
      </c>
      <c r="G1547">
        <v>15.3</v>
      </c>
      <c r="H1547">
        <v>1.2</v>
      </c>
      <c r="I1547">
        <v>0.9</v>
      </c>
      <c r="J1547">
        <v>56.126477890366417</v>
      </c>
      <c r="K1547">
        <v>1500</v>
      </c>
      <c r="L1547">
        <v>0</v>
      </c>
      <c r="N1547">
        <v>29</v>
      </c>
      <c r="O1547" s="60" t="s">
        <v>1908</v>
      </c>
      <c r="P1547" t="s">
        <v>828</v>
      </c>
      <c r="Q1547" t="s">
        <v>2396</v>
      </c>
    </row>
    <row r="1548" spans="1:17" x14ac:dyDescent="0.25">
      <c r="A1548" t="s">
        <v>19</v>
      </c>
      <c r="B1548">
        <v>140</v>
      </c>
      <c r="C1548">
        <v>106.05</v>
      </c>
      <c r="D1548">
        <v>15.3</v>
      </c>
      <c r="E1548">
        <v>140</v>
      </c>
      <c r="F1548">
        <v>107.39999999999999</v>
      </c>
      <c r="G1548">
        <v>15.3</v>
      </c>
      <c r="H1548">
        <v>1.2</v>
      </c>
      <c r="I1548">
        <v>0.9</v>
      </c>
      <c r="J1548">
        <v>0.60616596121595478</v>
      </c>
      <c r="K1548">
        <v>1500</v>
      </c>
      <c r="L1548">
        <v>0</v>
      </c>
      <c r="N1548">
        <v>29</v>
      </c>
      <c r="O1548" s="60" t="s">
        <v>1909</v>
      </c>
      <c r="P1548" t="s">
        <v>829</v>
      </c>
      <c r="Q1548" t="s">
        <v>1074</v>
      </c>
    </row>
    <row r="1549" spans="1:17" x14ac:dyDescent="0.25">
      <c r="A1549" t="s">
        <v>19</v>
      </c>
      <c r="B1549">
        <v>140</v>
      </c>
      <c r="C1549">
        <v>107.39999999999999</v>
      </c>
      <c r="D1549">
        <v>15.3</v>
      </c>
      <c r="E1549">
        <v>15</v>
      </c>
      <c r="F1549">
        <v>107.39999999999999</v>
      </c>
      <c r="G1549">
        <v>15.3</v>
      </c>
      <c r="H1549">
        <v>1.2</v>
      </c>
      <c r="I1549">
        <v>0.9</v>
      </c>
      <c r="J1549">
        <v>56.126477890366417</v>
      </c>
      <c r="K1549">
        <v>1500</v>
      </c>
      <c r="L1549">
        <v>0</v>
      </c>
      <c r="N1549">
        <v>29</v>
      </c>
      <c r="O1549" s="60" t="s">
        <v>1910</v>
      </c>
      <c r="P1549" t="s">
        <v>814</v>
      </c>
      <c r="Q1549" t="s">
        <v>2397</v>
      </c>
    </row>
    <row r="1550" spans="1:17" x14ac:dyDescent="0.25">
      <c r="A1550" t="s">
        <v>19</v>
      </c>
      <c r="B1550">
        <v>15</v>
      </c>
      <c r="C1550">
        <v>107.4</v>
      </c>
      <c r="D1550">
        <v>15.3</v>
      </c>
      <c r="E1550">
        <v>15</v>
      </c>
      <c r="F1550">
        <v>111.45</v>
      </c>
      <c r="G1550">
        <v>15.3</v>
      </c>
      <c r="H1550">
        <v>1.2</v>
      </c>
      <c r="I1550">
        <v>0.9</v>
      </c>
      <c r="J1550">
        <v>1.8184978836478705</v>
      </c>
      <c r="K1550">
        <v>1500</v>
      </c>
      <c r="L1550">
        <v>0</v>
      </c>
      <c r="N1550">
        <v>29</v>
      </c>
      <c r="O1550" s="60" t="s">
        <v>1911</v>
      </c>
      <c r="P1550" t="s">
        <v>827</v>
      </c>
      <c r="Q1550" t="s">
        <v>1075</v>
      </c>
    </row>
    <row r="1551" spans="1:17" x14ac:dyDescent="0.25">
      <c r="A1551" t="s">
        <v>19</v>
      </c>
      <c r="B1551">
        <v>15</v>
      </c>
      <c r="C1551">
        <v>111.45</v>
      </c>
      <c r="D1551">
        <v>15.3</v>
      </c>
      <c r="E1551">
        <v>140</v>
      </c>
      <c r="F1551">
        <v>111.45</v>
      </c>
      <c r="G1551">
        <v>15.3</v>
      </c>
      <c r="H1551">
        <v>1.2</v>
      </c>
      <c r="I1551">
        <v>0.9</v>
      </c>
      <c r="J1551">
        <v>56.126477890366417</v>
      </c>
      <c r="K1551">
        <v>1500</v>
      </c>
      <c r="L1551">
        <v>0</v>
      </c>
      <c r="N1551">
        <v>29</v>
      </c>
      <c r="O1551" s="60" t="s">
        <v>1912</v>
      </c>
      <c r="P1551" t="s">
        <v>828</v>
      </c>
      <c r="Q1551" t="s">
        <v>2396</v>
      </c>
    </row>
    <row r="1552" spans="1:17" x14ac:dyDescent="0.25">
      <c r="A1552" t="s">
        <v>19</v>
      </c>
      <c r="B1552">
        <v>140</v>
      </c>
      <c r="C1552">
        <v>111.45</v>
      </c>
      <c r="D1552">
        <v>15.3</v>
      </c>
      <c r="E1552">
        <v>140</v>
      </c>
      <c r="F1552">
        <v>112.8</v>
      </c>
      <c r="G1552">
        <v>15.3</v>
      </c>
      <c r="H1552">
        <v>1.2</v>
      </c>
      <c r="I1552">
        <v>0.9</v>
      </c>
      <c r="J1552">
        <v>0.60616596121595478</v>
      </c>
      <c r="K1552">
        <v>1500</v>
      </c>
      <c r="L1552">
        <v>0</v>
      </c>
      <c r="N1552">
        <v>29</v>
      </c>
      <c r="O1552" s="60" t="s">
        <v>1913</v>
      </c>
      <c r="P1552" t="s">
        <v>829</v>
      </c>
      <c r="Q1552" t="s">
        <v>1076</v>
      </c>
    </row>
    <row r="1553" spans="1:17" x14ac:dyDescent="0.25">
      <c r="A1553" t="s">
        <v>19</v>
      </c>
      <c r="B1553">
        <v>140</v>
      </c>
      <c r="C1553">
        <v>112.8</v>
      </c>
      <c r="D1553">
        <v>15.3</v>
      </c>
      <c r="E1553">
        <v>15</v>
      </c>
      <c r="F1553">
        <v>112.8</v>
      </c>
      <c r="G1553">
        <v>15.3</v>
      </c>
      <c r="H1553">
        <v>1.2</v>
      </c>
      <c r="I1553">
        <v>0.9</v>
      </c>
      <c r="J1553">
        <v>56.126477890366417</v>
      </c>
      <c r="K1553">
        <v>1500</v>
      </c>
      <c r="L1553">
        <v>0</v>
      </c>
      <c r="N1553">
        <v>29</v>
      </c>
      <c r="O1553" s="60" t="s">
        <v>1914</v>
      </c>
      <c r="P1553" t="s">
        <v>814</v>
      </c>
      <c r="Q1553" t="s">
        <v>2397</v>
      </c>
    </row>
    <row r="1554" spans="1:17" x14ac:dyDescent="0.25">
      <c r="A1554" t="s">
        <v>19</v>
      </c>
      <c r="B1554">
        <v>15</v>
      </c>
      <c r="C1554">
        <v>112.8</v>
      </c>
      <c r="D1554">
        <v>15.3</v>
      </c>
      <c r="E1554">
        <v>15</v>
      </c>
      <c r="F1554">
        <v>116.85</v>
      </c>
      <c r="G1554">
        <v>15.3</v>
      </c>
      <c r="H1554">
        <v>1.2</v>
      </c>
      <c r="I1554">
        <v>0.9</v>
      </c>
      <c r="J1554">
        <v>1.8184978836478705</v>
      </c>
      <c r="K1554">
        <v>1500</v>
      </c>
      <c r="L1554">
        <v>0</v>
      </c>
      <c r="N1554">
        <v>29</v>
      </c>
      <c r="O1554" s="60" t="s">
        <v>1915</v>
      </c>
      <c r="P1554" t="s">
        <v>827</v>
      </c>
      <c r="Q1554" t="s">
        <v>1077</v>
      </c>
    </row>
    <row r="1555" spans="1:17" x14ac:dyDescent="0.25">
      <c r="A1555" t="s">
        <v>19</v>
      </c>
      <c r="B1555">
        <v>15</v>
      </c>
      <c r="C1555">
        <v>116.85</v>
      </c>
      <c r="D1555">
        <v>15.3</v>
      </c>
      <c r="E1555">
        <v>140</v>
      </c>
      <c r="F1555">
        <v>116.85</v>
      </c>
      <c r="G1555">
        <v>15.3</v>
      </c>
      <c r="H1555">
        <v>1.2</v>
      </c>
      <c r="I1555">
        <v>0.9</v>
      </c>
      <c r="J1555">
        <v>56.126477890366417</v>
      </c>
      <c r="K1555">
        <v>1500</v>
      </c>
      <c r="L1555">
        <v>0</v>
      </c>
      <c r="N1555">
        <v>29</v>
      </c>
      <c r="O1555" s="60" t="s">
        <v>1916</v>
      </c>
      <c r="P1555" t="s">
        <v>828</v>
      </c>
      <c r="Q1555" t="s">
        <v>2396</v>
      </c>
    </row>
    <row r="1556" spans="1:17" x14ac:dyDescent="0.25">
      <c r="A1556" t="s">
        <v>19</v>
      </c>
      <c r="B1556">
        <v>140</v>
      </c>
      <c r="C1556">
        <v>116.85</v>
      </c>
      <c r="D1556">
        <v>15.3</v>
      </c>
      <c r="E1556">
        <v>140</v>
      </c>
      <c r="F1556">
        <v>118.19999999999999</v>
      </c>
      <c r="G1556">
        <v>15.3</v>
      </c>
      <c r="H1556">
        <v>1.2</v>
      </c>
      <c r="I1556">
        <v>0.9</v>
      </c>
      <c r="J1556">
        <v>0.60616596121595478</v>
      </c>
      <c r="K1556">
        <v>1500</v>
      </c>
      <c r="L1556">
        <v>0</v>
      </c>
      <c r="N1556">
        <v>29</v>
      </c>
      <c r="O1556" s="60" t="s">
        <v>1917</v>
      </c>
      <c r="P1556" t="s">
        <v>829</v>
      </c>
      <c r="Q1556" t="s">
        <v>1078</v>
      </c>
    </row>
    <row r="1557" spans="1:17" x14ac:dyDescent="0.25">
      <c r="A1557" t="s">
        <v>19</v>
      </c>
      <c r="B1557">
        <v>140</v>
      </c>
      <c r="C1557">
        <v>118.19999999999999</v>
      </c>
      <c r="D1557">
        <v>15.3</v>
      </c>
      <c r="E1557">
        <v>15</v>
      </c>
      <c r="F1557">
        <v>118.19999999999999</v>
      </c>
      <c r="G1557">
        <v>15.3</v>
      </c>
      <c r="H1557">
        <v>1.2</v>
      </c>
      <c r="I1557">
        <v>0.9</v>
      </c>
      <c r="J1557">
        <v>56.126477890366417</v>
      </c>
      <c r="K1557">
        <v>1500</v>
      </c>
      <c r="L1557">
        <v>0</v>
      </c>
      <c r="N1557">
        <v>29</v>
      </c>
      <c r="O1557" s="60" t="s">
        <v>1918</v>
      </c>
      <c r="P1557" t="s">
        <v>814</v>
      </c>
      <c r="Q1557" t="s">
        <v>2397</v>
      </c>
    </row>
    <row r="1558" spans="1:17" x14ac:dyDescent="0.25">
      <c r="A1558" t="s">
        <v>19</v>
      </c>
      <c r="B1558">
        <v>15</v>
      </c>
      <c r="C1558">
        <v>118.2</v>
      </c>
      <c r="D1558">
        <v>15.3</v>
      </c>
      <c r="E1558">
        <v>15</v>
      </c>
      <c r="F1558">
        <v>122.25</v>
      </c>
      <c r="G1558">
        <v>15.3</v>
      </c>
      <c r="H1558">
        <v>1.2</v>
      </c>
      <c r="I1558">
        <v>0.9</v>
      </c>
      <c r="J1558">
        <v>1.8184978836478705</v>
      </c>
      <c r="K1558">
        <v>1500</v>
      </c>
      <c r="L1558">
        <v>0</v>
      </c>
      <c r="N1558">
        <v>29</v>
      </c>
      <c r="O1558" s="60" t="s">
        <v>2382</v>
      </c>
      <c r="P1558" t="s">
        <v>827</v>
      </c>
      <c r="Q1558" t="s">
        <v>1955</v>
      </c>
    </row>
    <row r="1559" spans="1:17" x14ac:dyDescent="0.25">
      <c r="A1559" t="s">
        <v>19</v>
      </c>
      <c r="B1559">
        <v>15</v>
      </c>
      <c r="C1559">
        <v>122.25</v>
      </c>
      <c r="D1559">
        <v>15.3</v>
      </c>
      <c r="E1559">
        <v>140</v>
      </c>
      <c r="F1559">
        <v>122.25</v>
      </c>
      <c r="G1559">
        <v>15.3</v>
      </c>
      <c r="H1559">
        <v>1.2</v>
      </c>
      <c r="I1559">
        <v>0.9</v>
      </c>
      <c r="J1559">
        <v>56.126477890366417</v>
      </c>
      <c r="K1559">
        <v>1500</v>
      </c>
      <c r="L1559">
        <v>0</v>
      </c>
      <c r="N1559">
        <v>29</v>
      </c>
      <c r="O1559" s="60" t="s">
        <v>2383</v>
      </c>
      <c r="P1559" t="s">
        <v>828</v>
      </c>
      <c r="Q1559" t="s">
        <v>2396</v>
      </c>
    </row>
    <row r="1560" spans="1:17" x14ac:dyDescent="0.25">
      <c r="A1560" t="s">
        <v>19</v>
      </c>
      <c r="B1560">
        <v>140</v>
      </c>
      <c r="C1560">
        <v>122.25</v>
      </c>
      <c r="D1560">
        <v>15.3</v>
      </c>
      <c r="E1560">
        <v>140</v>
      </c>
      <c r="F1560">
        <v>123.6</v>
      </c>
      <c r="G1560">
        <v>15.3</v>
      </c>
      <c r="H1560">
        <v>1.2</v>
      </c>
      <c r="I1560">
        <v>0.9</v>
      </c>
      <c r="J1560">
        <v>0.60616596121595478</v>
      </c>
      <c r="K1560">
        <v>1500</v>
      </c>
      <c r="L1560">
        <v>0</v>
      </c>
      <c r="N1560">
        <v>29</v>
      </c>
      <c r="O1560" s="60" t="s">
        <v>2384</v>
      </c>
      <c r="P1560" t="s">
        <v>829</v>
      </c>
      <c r="Q1560" t="s">
        <v>1958</v>
      </c>
    </row>
    <row r="1561" spans="1:17" x14ac:dyDescent="0.25">
      <c r="A1561" t="s">
        <v>19</v>
      </c>
      <c r="B1561">
        <v>140</v>
      </c>
      <c r="C1561">
        <v>123.6</v>
      </c>
      <c r="D1561">
        <v>15.3</v>
      </c>
      <c r="E1561">
        <v>15</v>
      </c>
      <c r="F1561">
        <v>123.6</v>
      </c>
      <c r="G1561">
        <v>15.3</v>
      </c>
      <c r="H1561">
        <v>1.2</v>
      </c>
      <c r="I1561">
        <v>0.9</v>
      </c>
      <c r="J1561">
        <v>56.126477890366417</v>
      </c>
      <c r="K1561">
        <v>1500</v>
      </c>
      <c r="L1561">
        <v>0</v>
      </c>
      <c r="N1561">
        <v>29</v>
      </c>
      <c r="O1561" s="60" t="s">
        <v>2385</v>
      </c>
      <c r="P1561" t="s">
        <v>814</v>
      </c>
      <c r="Q1561" t="s">
        <v>2397</v>
      </c>
    </row>
    <row r="1562" spans="1:17" x14ac:dyDescent="0.25">
      <c r="A1562" t="s">
        <v>19</v>
      </c>
      <c r="B1562">
        <v>15</v>
      </c>
      <c r="C1562">
        <v>123.60000000000001</v>
      </c>
      <c r="D1562">
        <v>15.3</v>
      </c>
      <c r="E1562">
        <v>15</v>
      </c>
      <c r="F1562">
        <v>127.65</v>
      </c>
      <c r="G1562">
        <v>15.3</v>
      </c>
      <c r="H1562">
        <v>1.2</v>
      </c>
      <c r="I1562">
        <v>0.9</v>
      </c>
      <c r="J1562">
        <v>1.8184978836478705</v>
      </c>
      <c r="K1562">
        <v>1500</v>
      </c>
      <c r="L1562">
        <v>0</v>
      </c>
      <c r="N1562">
        <v>29</v>
      </c>
      <c r="O1562" s="60" t="s">
        <v>2386</v>
      </c>
      <c r="P1562" t="s">
        <v>827</v>
      </c>
      <c r="Q1562" t="s">
        <v>1961</v>
      </c>
    </row>
    <row r="1563" spans="1:17" x14ac:dyDescent="0.25">
      <c r="A1563" t="s">
        <v>19</v>
      </c>
      <c r="B1563">
        <v>15</v>
      </c>
      <c r="C1563">
        <v>127.65</v>
      </c>
      <c r="D1563">
        <v>15.3</v>
      </c>
      <c r="E1563">
        <v>140</v>
      </c>
      <c r="F1563">
        <v>127.65</v>
      </c>
      <c r="G1563">
        <v>15.3</v>
      </c>
      <c r="H1563">
        <v>1.2</v>
      </c>
      <c r="I1563">
        <v>0.9</v>
      </c>
      <c r="J1563">
        <v>56.126477890366417</v>
      </c>
      <c r="K1563">
        <v>1500</v>
      </c>
      <c r="L1563">
        <v>0</v>
      </c>
      <c r="N1563">
        <v>29</v>
      </c>
      <c r="O1563" s="60" t="s">
        <v>2387</v>
      </c>
      <c r="P1563" t="s">
        <v>828</v>
      </c>
      <c r="Q1563" t="s">
        <v>2396</v>
      </c>
    </row>
    <row r="1564" spans="1:17" x14ac:dyDescent="0.25">
      <c r="A1564" t="s">
        <v>19</v>
      </c>
      <c r="B1564">
        <v>140</v>
      </c>
      <c r="C1564">
        <v>127.65</v>
      </c>
      <c r="D1564">
        <v>15.3</v>
      </c>
      <c r="E1564">
        <v>140</v>
      </c>
      <c r="F1564">
        <v>129</v>
      </c>
      <c r="G1564">
        <v>15.3</v>
      </c>
      <c r="H1564">
        <v>1.2</v>
      </c>
      <c r="I1564">
        <v>0.9</v>
      </c>
      <c r="J1564">
        <v>0.60616596121595478</v>
      </c>
      <c r="K1564">
        <v>1500</v>
      </c>
      <c r="L1564">
        <v>0</v>
      </c>
      <c r="N1564">
        <v>29</v>
      </c>
      <c r="O1564" s="60" t="s">
        <v>2388</v>
      </c>
      <c r="P1564" t="s">
        <v>829</v>
      </c>
      <c r="Q1564" t="s">
        <v>1964</v>
      </c>
    </row>
    <row r="1565" spans="1:17" x14ac:dyDescent="0.25">
      <c r="A1565" t="s">
        <v>19</v>
      </c>
      <c r="B1565">
        <v>140</v>
      </c>
      <c r="C1565">
        <v>129</v>
      </c>
      <c r="D1565">
        <v>15.3</v>
      </c>
      <c r="E1565">
        <v>15</v>
      </c>
      <c r="F1565">
        <v>129</v>
      </c>
      <c r="G1565">
        <v>15.3</v>
      </c>
      <c r="H1565">
        <v>1.2</v>
      </c>
      <c r="I1565">
        <v>0.9</v>
      </c>
      <c r="J1565">
        <v>56.126477890366417</v>
      </c>
      <c r="K1565">
        <v>1500</v>
      </c>
      <c r="L1565">
        <v>0</v>
      </c>
      <c r="N1565">
        <v>29</v>
      </c>
      <c r="O1565" s="60" t="s">
        <v>2389</v>
      </c>
      <c r="P1565" t="s">
        <v>814</v>
      </c>
      <c r="Q1565" t="s">
        <v>2397</v>
      </c>
    </row>
    <row r="1566" spans="1:17" x14ac:dyDescent="0.25">
      <c r="A1566" t="s">
        <v>39</v>
      </c>
      <c r="B1566">
        <v>-1.25</v>
      </c>
      <c r="C1566">
        <v>2100</v>
      </c>
      <c r="N1566">
        <v>29</v>
      </c>
      <c r="O1566" s="60" t="s">
        <v>1000</v>
      </c>
      <c r="P1566" t="s">
        <v>757</v>
      </c>
      <c r="Q1566" t="s">
        <v>845</v>
      </c>
    </row>
    <row r="1567" spans="1:17" x14ac:dyDescent="0.25">
      <c r="A1567" t="s">
        <v>660</v>
      </c>
      <c r="B1567">
        <v>0.9</v>
      </c>
      <c r="C1567">
        <v>10000</v>
      </c>
      <c r="N1567">
        <v>29</v>
      </c>
      <c r="O1567" s="60" t="s">
        <v>1000</v>
      </c>
      <c r="P1567" t="s">
        <v>757</v>
      </c>
      <c r="Q1567" t="s">
        <v>844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17" sqref="B17"/>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611"/>
  <sheetViews>
    <sheetView zoomScale="71" zoomScaleNormal="71" workbookViewId="0">
      <selection sqref="A1:A1611"/>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664</v>
      </c>
    </row>
    <row r="6" spans="1:1" x14ac:dyDescent="0.25">
      <c r="A6" t="s">
        <v>665</v>
      </c>
    </row>
    <row r="8" spans="1:1" x14ac:dyDescent="0.25">
      <c r="A8" t="s">
        <v>485</v>
      </c>
    </row>
    <row r="9" spans="1:1" x14ac:dyDescent="0.25">
      <c r="A9" t="s">
        <v>633</v>
      </c>
    </row>
    <row r="11" spans="1:1" x14ac:dyDescent="0.25">
      <c r="A11" t="s">
        <v>467</v>
      </c>
    </row>
    <row r="13" spans="1:1" x14ac:dyDescent="0.25">
      <c r="A13" t="s">
        <v>666</v>
      </c>
    </row>
    <row r="14" spans="1:1" x14ac:dyDescent="0.25">
      <c r="A14" t="s">
        <v>667</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1920</v>
      </c>
    </row>
    <row r="27" spans="1:1" x14ac:dyDescent="0.25">
      <c r="A27" t="s">
        <v>853</v>
      </c>
    </row>
    <row r="28" spans="1:1" x14ac:dyDescent="0.25">
      <c r="A28" t="s">
        <v>2390</v>
      </c>
    </row>
    <row r="29" spans="1:1" x14ac:dyDescent="0.25">
      <c r="A29" t="s">
        <v>854</v>
      </c>
    </row>
    <row r="30" spans="1:1" x14ac:dyDescent="0.25">
      <c r="A30" t="s">
        <v>2391</v>
      </c>
    </row>
    <row r="31" spans="1:1" x14ac:dyDescent="0.25">
      <c r="A31" t="s">
        <v>855</v>
      </c>
    </row>
    <row r="32" spans="1:1" x14ac:dyDescent="0.25">
      <c r="A32" t="s">
        <v>2390</v>
      </c>
    </row>
    <row r="33" spans="1:1" x14ac:dyDescent="0.25">
      <c r="A33" t="s">
        <v>856</v>
      </c>
    </row>
    <row r="34" spans="1:1" x14ac:dyDescent="0.25">
      <c r="A34" t="s">
        <v>2391</v>
      </c>
    </row>
    <row r="35" spans="1:1" x14ac:dyDescent="0.25">
      <c r="A35" t="s">
        <v>857</v>
      </c>
    </row>
    <row r="36" spans="1:1" x14ac:dyDescent="0.25">
      <c r="A36" t="s">
        <v>2390</v>
      </c>
    </row>
    <row r="37" spans="1:1" x14ac:dyDescent="0.25">
      <c r="A37" t="s">
        <v>858</v>
      </c>
    </row>
    <row r="38" spans="1:1" x14ac:dyDescent="0.25">
      <c r="A38" t="s">
        <v>2391</v>
      </c>
    </row>
    <row r="39" spans="1:1" x14ac:dyDescent="0.25">
      <c r="A39" t="s">
        <v>859</v>
      </c>
    </row>
    <row r="40" spans="1:1" x14ac:dyDescent="0.25">
      <c r="A40" t="s">
        <v>2390</v>
      </c>
    </row>
    <row r="41" spans="1:1" x14ac:dyDescent="0.25">
      <c r="A41" t="s">
        <v>860</v>
      </c>
    </row>
    <row r="42" spans="1:1" x14ac:dyDescent="0.25">
      <c r="A42" t="s">
        <v>2391</v>
      </c>
    </row>
    <row r="43" spans="1:1" x14ac:dyDescent="0.25">
      <c r="A43" t="s">
        <v>861</v>
      </c>
    </row>
    <row r="44" spans="1:1" x14ac:dyDescent="0.25">
      <c r="A44" t="s">
        <v>2390</v>
      </c>
    </row>
    <row r="45" spans="1:1" x14ac:dyDescent="0.25">
      <c r="A45" t="s">
        <v>862</v>
      </c>
    </row>
    <row r="46" spans="1:1" x14ac:dyDescent="0.25">
      <c r="A46" t="s">
        <v>2391</v>
      </c>
    </row>
    <row r="47" spans="1:1" x14ac:dyDescent="0.25">
      <c r="A47" t="s">
        <v>863</v>
      </c>
    </row>
    <row r="48" spans="1:1" x14ac:dyDescent="0.25">
      <c r="A48" t="s">
        <v>2390</v>
      </c>
    </row>
    <row r="49" spans="1:1" x14ac:dyDescent="0.25">
      <c r="A49" t="s">
        <v>864</v>
      </c>
    </row>
    <row r="50" spans="1:1" x14ac:dyDescent="0.25">
      <c r="A50" t="s">
        <v>2391</v>
      </c>
    </row>
    <row r="51" spans="1:1" x14ac:dyDescent="0.25">
      <c r="A51" t="s">
        <v>865</v>
      </c>
    </row>
    <row r="52" spans="1:1" x14ac:dyDescent="0.25">
      <c r="A52" t="s">
        <v>2390</v>
      </c>
    </row>
    <row r="53" spans="1:1" x14ac:dyDescent="0.25">
      <c r="A53" t="s">
        <v>866</v>
      </c>
    </row>
    <row r="54" spans="1:1" x14ac:dyDescent="0.25">
      <c r="A54" t="s">
        <v>2391</v>
      </c>
    </row>
    <row r="55" spans="1:1" x14ac:dyDescent="0.25">
      <c r="A55" t="s">
        <v>867</v>
      </c>
    </row>
    <row r="56" spans="1:1" x14ac:dyDescent="0.25">
      <c r="A56" t="s">
        <v>2390</v>
      </c>
    </row>
    <row r="57" spans="1:1" x14ac:dyDescent="0.25">
      <c r="A57" t="s">
        <v>868</v>
      </c>
    </row>
    <row r="58" spans="1:1" x14ac:dyDescent="0.25">
      <c r="A58" t="s">
        <v>2391</v>
      </c>
    </row>
    <row r="59" spans="1:1" x14ac:dyDescent="0.25">
      <c r="A59" t="s">
        <v>1922</v>
      </c>
    </row>
    <row r="60" spans="1:1" x14ac:dyDescent="0.25">
      <c r="A60" t="s">
        <v>2390</v>
      </c>
    </row>
    <row r="61" spans="1:1" x14ac:dyDescent="0.25">
      <c r="A61" t="s">
        <v>1925</v>
      </c>
    </row>
    <row r="62" spans="1:1" x14ac:dyDescent="0.25">
      <c r="A62" t="s">
        <v>2391</v>
      </c>
    </row>
    <row r="63" spans="1:1" x14ac:dyDescent="0.25">
      <c r="A63" t="s">
        <v>1928</v>
      </c>
    </row>
    <row r="64" spans="1:1" x14ac:dyDescent="0.25">
      <c r="A64" t="s">
        <v>2390</v>
      </c>
    </row>
    <row r="65" spans="1:1" x14ac:dyDescent="0.25">
      <c r="A65" t="s">
        <v>1931</v>
      </c>
    </row>
    <row r="66" spans="1:1" x14ac:dyDescent="0.25">
      <c r="A66" t="s">
        <v>2391</v>
      </c>
    </row>
    <row r="67" spans="1:1" x14ac:dyDescent="0.25">
      <c r="A67" t="s">
        <v>811</v>
      </c>
    </row>
    <row r="68" spans="1:1" x14ac:dyDescent="0.25">
      <c r="A68" t="s">
        <v>468</v>
      </c>
    </row>
    <row r="69" spans="1:1" x14ac:dyDescent="0.25">
      <c r="A69" t="s">
        <v>634</v>
      </c>
    </row>
    <row r="70" spans="1:1" x14ac:dyDescent="0.25">
      <c r="A70" t="s">
        <v>2392</v>
      </c>
    </row>
    <row r="71" spans="1:1" x14ac:dyDescent="0.25">
      <c r="A71" t="s">
        <v>2393</v>
      </c>
    </row>
    <row r="72" spans="1:1" x14ac:dyDescent="0.25">
      <c r="A72" t="s">
        <v>876</v>
      </c>
    </row>
    <row r="73" spans="1:1" x14ac:dyDescent="0.25">
      <c r="A73" t="s">
        <v>2394</v>
      </c>
    </row>
    <row r="74" spans="1:1" x14ac:dyDescent="0.25">
      <c r="A74" t="s">
        <v>877</v>
      </c>
    </row>
    <row r="75" spans="1:1" x14ac:dyDescent="0.25">
      <c r="A75" t="s">
        <v>2395</v>
      </c>
    </row>
    <row r="76" spans="1:1" x14ac:dyDescent="0.25">
      <c r="A76" t="s">
        <v>1024</v>
      </c>
    </row>
    <row r="77" spans="1:1" x14ac:dyDescent="0.25">
      <c r="A77" t="s">
        <v>2394</v>
      </c>
    </row>
    <row r="78" spans="1:1" x14ac:dyDescent="0.25">
      <c r="A78" t="s">
        <v>1025</v>
      </c>
    </row>
    <row r="79" spans="1:1" x14ac:dyDescent="0.25">
      <c r="A79" t="s">
        <v>2395</v>
      </c>
    </row>
    <row r="80" spans="1:1" x14ac:dyDescent="0.25">
      <c r="A80" t="s">
        <v>1026</v>
      </c>
    </row>
    <row r="81" spans="1:1" x14ac:dyDescent="0.25">
      <c r="A81" t="s">
        <v>2394</v>
      </c>
    </row>
    <row r="82" spans="1:1" x14ac:dyDescent="0.25">
      <c r="A82" t="s">
        <v>1027</v>
      </c>
    </row>
    <row r="83" spans="1:1" x14ac:dyDescent="0.25">
      <c r="A83" t="s">
        <v>2395</v>
      </c>
    </row>
    <row r="84" spans="1:1" x14ac:dyDescent="0.25">
      <c r="A84" t="s">
        <v>1028</v>
      </c>
    </row>
    <row r="85" spans="1:1" x14ac:dyDescent="0.25">
      <c r="A85" t="s">
        <v>2394</v>
      </c>
    </row>
    <row r="86" spans="1:1" x14ac:dyDescent="0.25">
      <c r="A86" t="s">
        <v>1029</v>
      </c>
    </row>
    <row r="87" spans="1:1" x14ac:dyDescent="0.25">
      <c r="A87" t="s">
        <v>2395</v>
      </c>
    </row>
    <row r="88" spans="1:1" x14ac:dyDescent="0.25">
      <c r="A88" t="s">
        <v>1030</v>
      </c>
    </row>
    <row r="89" spans="1:1" x14ac:dyDescent="0.25">
      <c r="A89" t="s">
        <v>2394</v>
      </c>
    </row>
    <row r="90" spans="1:1" x14ac:dyDescent="0.25">
      <c r="A90" t="s">
        <v>1031</v>
      </c>
    </row>
    <row r="91" spans="1:1" x14ac:dyDescent="0.25">
      <c r="A91" t="s">
        <v>2395</v>
      </c>
    </row>
    <row r="92" spans="1:1" x14ac:dyDescent="0.25">
      <c r="A92" t="s">
        <v>1032</v>
      </c>
    </row>
    <row r="93" spans="1:1" x14ac:dyDescent="0.25">
      <c r="A93" t="s">
        <v>2394</v>
      </c>
    </row>
    <row r="94" spans="1:1" x14ac:dyDescent="0.25">
      <c r="A94" t="s">
        <v>1033</v>
      </c>
    </row>
    <row r="95" spans="1:1" x14ac:dyDescent="0.25">
      <c r="A95" t="s">
        <v>2395</v>
      </c>
    </row>
    <row r="96" spans="1:1" x14ac:dyDescent="0.25">
      <c r="A96" t="s">
        <v>1034</v>
      </c>
    </row>
    <row r="97" spans="1:1" x14ac:dyDescent="0.25">
      <c r="A97" t="s">
        <v>2394</v>
      </c>
    </row>
    <row r="98" spans="1:1" x14ac:dyDescent="0.25">
      <c r="A98" t="s">
        <v>1035</v>
      </c>
    </row>
    <row r="99" spans="1:1" x14ac:dyDescent="0.25">
      <c r="A99" t="s">
        <v>2395</v>
      </c>
    </row>
    <row r="100" spans="1:1" x14ac:dyDescent="0.25">
      <c r="A100" t="s">
        <v>1036</v>
      </c>
    </row>
    <row r="101" spans="1:1" x14ac:dyDescent="0.25">
      <c r="A101" t="s">
        <v>2394</v>
      </c>
    </row>
    <row r="102" spans="1:1" x14ac:dyDescent="0.25">
      <c r="A102" t="s">
        <v>1037</v>
      </c>
    </row>
    <row r="103" spans="1:1" x14ac:dyDescent="0.25">
      <c r="A103" t="s">
        <v>2395</v>
      </c>
    </row>
    <row r="104" spans="1:1" x14ac:dyDescent="0.25">
      <c r="A104" t="s">
        <v>1935</v>
      </c>
    </row>
    <row r="105" spans="1:1" x14ac:dyDescent="0.25">
      <c r="A105" t="s">
        <v>2394</v>
      </c>
    </row>
    <row r="106" spans="1:1" x14ac:dyDescent="0.25">
      <c r="A106" t="s">
        <v>1938</v>
      </c>
    </row>
    <row r="107" spans="1:1" x14ac:dyDescent="0.25">
      <c r="A107" t="s">
        <v>2395</v>
      </c>
    </row>
    <row r="108" spans="1:1" x14ac:dyDescent="0.25">
      <c r="A108" t="s">
        <v>1941</v>
      </c>
    </row>
    <row r="109" spans="1:1" x14ac:dyDescent="0.25">
      <c r="A109" t="s">
        <v>2394</v>
      </c>
    </row>
    <row r="110" spans="1:1" x14ac:dyDescent="0.25">
      <c r="A110" t="s">
        <v>1944</v>
      </c>
    </row>
    <row r="111" spans="1:1" x14ac:dyDescent="0.25">
      <c r="A111" t="s">
        <v>845</v>
      </c>
    </row>
    <row r="112" spans="1:1" x14ac:dyDescent="0.25">
      <c r="A112" t="s">
        <v>831</v>
      </c>
    </row>
    <row r="113" spans="1:1" x14ac:dyDescent="0.25">
      <c r="A113" t="s">
        <v>878</v>
      </c>
    </row>
    <row r="114" spans="1:1" x14ac:dyDescent="0.25">
      <c r="A114" t="s">
        <v>2393</v>
      </c>
    </row>
    <row r="115" spans="1:1" x14ac:dyDescent="0.25">
      <c r="A115" t="s">
        <v>876</v>
      </c>
    </row>
    <row r="116" spans="1:1" x14ac:dyDescent="0.25">
      <c r="A116" t="s">
        <v>2394</v>
      </c>
    </row>
    <row r="117" spans="1:1" x14ac:dyDescent="0.25">
      <c r="A117" t="s">
        <v>877</v>
      </c>
    </row>
    <row r="118" spans="1:1" x14ac:dyDescent="0.25">
      <c r="A118" t="s">
        <v>2395</v>
      </c>
    </row>
    <row r="119" spans="1:1" x14ac:dyDescent="0.25">
      <c r="A119" t="s">
        <v>1024</v>
      </c>
    </row>
    <row r="120" spans="1:1" x14ac:dyDescent="0.25">
      <c r="A120" t="s">
        <v>2394</v>
      </c>
    </row>
    <row r="121" spans="1:1" x14ac:dyDescent="0.25">
      <c r="A121" t="s">
        <v>1025</v>
      </c>
    </row>
    <row r="122" spans="1:1" x14ac:dyDescent="0.25">
      <c r="A122" t="s">
        <v>2395</v>
      </c>
    </row>
    <row r="123" spans="1:1" x14ac:dyDescent="0.25">
      <c r="A123" t="s">
        <v>1026</v>
      </c>
    </row>
    <row r="124" spans="1:1" x14ac:dyDescent="0.25">
      <c r="A124" t="s">
        <v>2394</v>
      </c>
    </row>
    <row r="125" spans="1:1" x14ac:dyDescent="0.25">
      <c r="A125" t="s">
        <v>1027</v>
      </c>
    </row>
    <row r="126" spans="1:1" x14ac:dyDescent="0.25">
      <c r="A126" t="s">
        <v>2395</v>
      </c>
    </row>
    <row r="127" spans="1:1" x14ac:dyDescent="0.25">
      <c r="A127" t="s">
        <v>1028</v>
      </c>
    </row>
    <row r="128" spans="1:1" x14ac:dyDescent="0.25">
      <c r="A128" t="s">
        <v>2394</v>
      </c>
    </row>
    <row r="129" spans="1:1" x14ac:dyDescent="0.25">
      <c r="A129" t="s">
        <v>1029</v>
      </c>
    </row>
    <row r="130" spans="1:1" x14ac:dyDescent="0.25">
      <c r="A130" t="s">
        <v>2395</v>
      </c>
    </row>
    <row r="131" spans="1:1" x14ac:dyDescent="0.25">
      <c r="A131" t="s">
        <v>1030</v>
      </c>
    </row>
    <row r="132" spans="1:1" x14ac:dyDescent="0.25">
      <c r="A132" t="s">
        <v>2394</v>
      </c>
    </row>
    <row r="133" spans="1:1" x14ac:dyDescent="0.25">
      <c r="A133" t="s">
        <v>1031</v>
      </c>
    </row>
    <row r="134" spans="1:1" x14ac:dyDescent="0.25">
      <c r="A134" t="s">
        <v>2395</v>
      </c>
    </row>
    <row r="135" spans="1:1" x14ac:dyDescent="0.25">
      <c r="A135" t="s">
        <v>1032</v>
      </c>
    </row>
    <row r="136" spans="1:1" x14ac:dyDescent="0.25">
      <c r="A136" t="s">
        <v>2394</v>
      </c>
    </row>
    <row r="137" spans="1:1" x14ac:dyDescent="0.25">
      <c r="A137" t="s">
        <v>1033</v>
      </c>
    </row>
    <row r="138" spans="1:1" x14ac:dyDescent="0.25">
      <c r="A138" t="s">
        <v>2395</v>
      </c>
    </row>
    <row r="139" spans="1:1" x14ac:dyDescent="0.25">
      <c r="A139" t="s">
        <v>1034</v>
      </c>
    </row>
    <row r="140" spans="1:1" x14ac:dyDescent="0.25">
      <c r="A140" t="s">
        <v>2394</v>
      </c>
    </row>
    <row r="141" spans="1:1" x14ac:dyDescent="0.25">
      <c r="A141" t="s">
        <v>1035</v>
      </c>
    </row>
    <row r="142" spans="1:1" x14ac:dyDescent="0.25">
      <c r="A142" t="s">
        <v>2395</v>
      </c>
    </row>
    <row r="143" spans="1:1" x14ac:dyDescent="0.25">
      <c r="A143" t="s">
        <v>1036</v>
      </c>
    </row>
    <row r="144" spans="1:1" x14ac:dyDescent="0.25">
      <c r="A144" t="s">
        <v>2394</v>
      </c>
    </row>
    <row r="145" spans="1:1" x14ac:dyDescent="0.25">
      <c r="A145" t="s">
        <v>1037</v>
      </c>
    </row>
    <row r="146" spans="1:1" x14ac:dyDescent="0.25">
      <c r="A146" t="s">
        <v>2395</v>
      </c>
    </row>
    <row r="147" spans="1:1" x14ac:dyDescent="0.25">
      <c r="A147" t="s">
        <v>1935</v>
      </c>
    </row>
    <row r="148" spans="1:1" x14ac:dyDescent="0.25">
      <c r="A148" t="s">
        <v>2394</v>
      </c>
    </row>
    <row r="149" spans="1:1" x14ac:dyDescent="0.25">
      <c r="A149" t="s">
        <v>1938</v>
      </c>
    </row>
    <row r="150" spans="1:1" x14ac:dyDescent="0.25">
      <c r="A150" t="s">
        <v>2395</v>
      </c>
    </row>
    <row r="151" spans="1:1" x14ac:dyDescent="0.25">
      <c r="A151" t="s">
        <v>1941</v>
      </c>
    </row>
    <row r="152" spans="1:1" x14ac:dyDescent="0.25">
      <c r="A152" t="s">
        <v>2394</v>
      </c>
    </row>
    <row r="153" spans="1:1" x14ac:dyDescent="0.25">
      <c r="A153" t="s">
        <v>1944</v>
      </c>
    </row>
    <row r="154" spans="1:1" x14ac:dyDescent="0.25">
      <c r="A154" t="s">
        <v>811</v>
      </c>
    </row>
    <row r="155" spans="1:1" x14ac:dyDescent="0.25">
      <c r="A155" t="s">
        <v>467</v>
      </c>
    </row>
    <row r="156" spans="1:1" x14ac:dyDescent="0.25">
      <c r="A156" t="s">
        <v>634</v>
      </c>
    </row>
    <row r="157" spans="1:1" x14ac:dyDescent="0.25">
      <c r="A157" t="s">
        <v>1953</v>
      </c>
    </row>
    <row r="158" spans="1:1" x14ac:dyDescent="0.25">
      <c r="A158" t="s">
        <v>879</v>
      </c>
    </row>
    <row r="159" spans="1:1" x14ac:dyDescent="0.25">
      <c r="A159" t="s">
        <v>2396</v>
      </c>
    </row>
    <row r="160" spans="1:1" x14ac:dyDescent="0.25">
      <c r="A160" t="s">
        <v>880</v>
      </c>
    </row>
    <row r="161" spans="1:1" x14ac:dyDescent="0.25">
      <c r="A161" t="s">
        <v>2397</v>
      </c>
    </row>
    <row r="162" spans="1:1" x14ac:dyDescent="0.25">
      <c r="A162" t="s">
        <v>1065</v>
      </c>
    </row>
    <row r="163" spans="1:1" x14ac:dyDescent="0.25">
      <c r="A163" t="s">
        <v>2396</v>
      </c>
    </row>
    <row r="164" spans="1:1" x14ac:dyDescent="0.25">
      <c r="A164" t="s">
        <v>1066</v>
      </c>
    </row>
    <row r="165" spans="1:1" x14ac:dyDescent="0.25">
      <c r="A165" t="s">
        <v>2397</v>
      </c>
    </row>
    <row r="166" spans="1:1" x14ac:dyDescent="0.25">
      <c r="A166" t="s">
        <v>1067</v>
      </c>
    </row>
    <row r="167" spans="1:1" x14ac:dyDescent="0.25">
      <c r="A167" t="s">
        <v>2396</v>
      </c>
    </row>
    <row r="168" spans="1:1" x14ac:dyDescent="0.25">
      <c r="A168" t="s">
        <v>1068</v>
      </c>
    </row>
    <row r="169" spans="1:1" x14ac:dyDescent="0.25">
      <c r="A169" t="s">
        <v>2397</v>
      </c>
    </row>
    <row r="170" spans="1:1" x14ac:dyDescent="0.25">
      <c r="A170" t="s">
        <v>1069</v>
      </c>
    </row>
    <row r="171" spans="1:1" x14ac:dyDescent="0.25">
      <c r="A171" t="s">
        <v>2396</v>
      </c>
    </row>
    <row r="172" spans="1:1" x14ac:dyDescent="0.25">
      <c r="A172" t="s">
        <v>1070</v>
      </c>
    </row>
    <row r="173" spans="1:1" x14ac:dyDescent="0.25">
      <c r="A173" t="s">
        <v>2397</v>
      </c>
    </row>
    <row r="174" spans="1:1" x14ac:dyDescent="0.25">
      <c r="A174" t="s">
        <v>1071</v>
      </c>
    </row>
    <row r="175" spans="1:1" x14ac:dyDescent="0.25">
      <c r="A175" t="s">
        <v>2396</v>
      </c>
    </row>
    <row r="176" spans="1:1" x14ac:dyDescent="0.25">
      <c r="A176" t="s">
        <v>1072</v>
      </c>
    </row>
    <row r="177" spans="1:1" x14ac:dyDescent="0.25">
      <c r="A177" t="s">
        <v>2397</v>
      </c>
    </row>
    <row r="178" spans="1:1" x14ac:dyDescent="0.25">
      <c r="A178" t="s">
        <v>1073</v>
      </c>
    </row>
    <row r="179" spans="1:1" x14ac:dyDescent="0.25">
      <c r="A179" t="s">
        <v>2396</v>
      </c>
    </row>
    <row r="180" spans="1:1" x14ac:dyDescent="0.25">
      <c r="A180" t="s">
        <v>1074</v>
      </c>
    </row>
    <row r="181" spans="1:1" x14ac:dyDescent="0.25">
      <c r="A181" t="s">
        <v>2397</v>
      </c>
    </row>
    <row r="182" spans="1:1" x14ac:dyDescent="0.25">
      <c r="A182" t="s">
        <v>1075</v>
      </c>
    </row>
    <row r="183" spans="1:1" x14ac:dyDescent="0.25">
      <c r="A183" t="s">
        <v>2396</v>
      </c>
    </row>
    <row r="184" spans="1:1" x14ac:dyDescent="0.25">
      <c r="A184" t="s">
        <v>1076</v>
      </c>
    </row>
    <row r="185" spans="1:1" x14ac:dyDescent="0.25">
      <c r="A185" t="s">
        <v>2397</v>
      </c>
    </row>
    <row r="186" spans="1:1" x14ac:dyDescent="0.25">
      <c r="A186" t="s">
        <v>1077</v>
      </c>
    </row>
    <row r="187" spans="1:1" x14ac:dyDescent="0.25">
      <c r="A187" t="s">
        <v>2396</v>
      </c>
    </row>
    <row r="188" spans="1:1" x14ac:dyDescent="0.25">
      <c r="A188" t="s">
        <v>1078</v>
      </c>
    </row>
    <row r="189" spans="1:1" x14ac:dyDescent="0.25">
      <c r="A189" t="s">
        <v>2397</v>
      </c>
    </row>
    <row r="190" spans="1:1" x14ac:dyDescent="0.25">
      <c r="A190" t="s">
        <v>1955</v>
      </c>
    </row>
    <row r="191" spans="1:1" x14ac:dyDescent="0.25">
      <c r="A191" t="s">
        <v>2396</v>
      </c>
    </row>
    <row r="192" spans="1:1" x14ac:dyDescent="0.25">
      <c r="A192" t="s">
        <v>1958</v>
      </c>
    </row>
    <row r="193" spans="1:1" x14ac:dyDescent="0.25">
      <c r="A193" t="s">
        <v>2397</v>
      </c>
    </row>
    <row r="194" spans="1:1" x14ac:dyDescent="0.25">
      <c r="A194" t="s">
        <v>1961</v>
      </c>
    </row>
    <row r="195" spans="1:1" x14ac:dyDescent="0.25">
      <c r="A195" t="s">
        <v>2396</v>
      </c>
    </row>
    <row r="196" spans="1:1" x14ac:dyDescent="0.25">
      <c r="A196" t="s">
        <v>1964</v>
      </c>
    </row>
    <row r="197" spans="1:1" x14ac:dyDescent="0.25">
      <c r="A197" t="s">
        <v>2397</v>
      </c>
    </row>
    <row r="198" spans="1:1" x14ac:dyDescent="0.25">
      <c r="A198" t="s">
        <v>845</v>
      </c>
    </row>
    <row r="199" spans="1:1" x14ac:dyDescent="0.25">
      <c r="A199" t="s">
        <v>815</v>
      </c>
    </row>
    <row r="200" spans="1:1" x14ac:dyDescent="0.25">
      <c r="A200" t="s">
        <v>1966</v>
      </c>
    </row>
    <row r="201" spans="1:1" x14ac:dyDescent="0.25">
      <c r="A201" t="s">
        <v>879</v>
      </c>
    </row>
    <row r="202" spans="1:1" x14ac:dyDescent="0.25">
      <c r="A202" t="s">
        <v>2396</v>
      </c>
    </row>
    <row r="203" spans="1:1" x14ac:dyDescent="0.25">
      <c r="A203" t="s">
        <v>880</v>
      </c>
    </row>
    <row r="204" spans="1:1" x14ac:dyDescent="0.25">
      <c r="A204" t="s">
        <v>2397</v>
      </c>
    </row>
    <row r="205" spans="1:1" x14ac:dyDescent="0.25">
      <c r="A205" t="s">
        <v>1065</v>
      </c>
    </row>
    <row r="206" spans="1:1" x14ac:dyDescent="0.25">
      <c r="A206" t="s">
        <v>2396</v>
      </c>
    </row>
    <row r="207" spans="1:1" x14ac:dyDescent="0.25">
      <c r="A207" t="s">
        <v>1066</v>
      </c>
    </row>
    <row r="208" spans="1:1" x14ac:dyDescent="0.25">
      <c r="A208" t="s">
        <v>2397</v>
      </c>
    </row>
    <row r="209" spans="1:1" x14ac:dyDescent="0.25">
      <c r="A209" t="s">
        <v>1067</v>
      </c>
    </row>
    <row r="210" spans="1:1" x14ac:dyDescent="0.25">
      <c r="A210" t="s">
        <v>2396</v>
      </c>
    </row>
    <row r="211" spans="1:1" x14ac:dyDescent="0.25">
      <c r="A211" t="s">
        <v>1068</v>
      </c>
    </row>
    <row r="212" spans="1:1" x14ac:dyDescent="0.25">
      <c r="A212" t="s">
        <v>2397</v>
      </c>
    </row>
    <row r="213" spans="1:1" x14ac:dyDescent="0.25">
      <c r="A213" t="s">
        <v>1069</v>
      </c>
    </row>
    <row r="214" spans="1:1" x14ac:dyDescent="0.25">
      <c r="A214" t="s">
        <v>2396</v>
      </c>
    </row>
    <row r="215" spans="1:1" x14ac:dyDescent="0.25">
      <c r="A215" t="s">
        <v>1070</v>
      </c>
    </row>
    <row r="216" spans="1:1" x14ac:dyDescent="0.25">
      <c r="A216" t="s">
        <v>2397</v>
      </c>
    </row>
    <row r="217" spans="1:1" x14ac:dyDescent="0.25">
      <c r="A217" t="s">
        <v>1071</v>
      </c>
    </row>
    <row r="218" spans="1:1" x14ac:dyDescent="0.25">
      <c r="A218" t="s">
        <v>2396</v>
      </c>
    </row>
    <row r="219" spans="1:1" x14ac:dyDescent="0.25">
      <c r="A219" t="s">
        <v>1072</v>
      </c>
    </row>
    <row r="220" spans="1:1" x14ac:dyDescent="0.25">
      <c r="A220" t="s">
        <v>2397</v>
      </c>
    </row>
    <row r="221" spans="1:1" x14ac:dyDescent="0.25">
      <c r="A221" t="s">
        <v>1073</v>
      </c>
    </row>
    <row r="222" spans="1:1" x14ac:dyDescent="0.25">
      <c r="A222" t="s">
        <v>2396</v>
      </c>
    </row>
    <row r="223" spans="1:1" x14ac:dyDescent="0.25">
      <c r="A223" t="s">
        <v>1074</v>
      </c>
    </row>
    <row r="224" spans="1:1" x14ac:dyDescent="0.25">
      <c r="A224" t="s">
        <v>2397</v>
      </c>
    </row>
    <row r="225" spans="1:1" x14ac:dyDescent="0.25">
      <c r="A225" t="s">
        <v>1075</v>
      </c>
    </row>
    <row r="226" spans="1:1" x14ac:dyDescent="0.25">
      <c r="A226" t="s">
        <v>2396</v>
      </c>
    </row>
    <row r="227" spans="1:1" x14ac:dyDescent="0.25">
      <c r="A227" t="s">
        <v>1076</v>
      </c>
    </row>
    <row r="228" spans="1:1" x14ac:dyDescent="0.25">
      <c r="A228" t="s">
        <v>2397</v>
      </c>
    </row>
    <row r="229" spans="1:1" x14ac:dyDescent="0.25">
      <c r="A229" t="s">
        <v>1077</v>
      </c>
    </row>
    <row r="230" spans="1:1" x14ac:dyDescent="0.25">
      <c r="A230" t="s">
        <v>2396</v>
      </c>
    </row>
    <row r="231" spans="1:1" x14ac:dyDescent="0.25">
      <c r="A231" t="s">
        <v>1078</v>
      </c>
    </row>
    <row r="232" spans="1:1" x14ac:dyDescent="0.25">
      <c r="A232" t="s">
        <v>2397</v>
      </c>
    </row>
    <row r="233" spans="1:1" x14ac:dyDescent="0.25">
      <c r="A233" t="s">
        <v>1955</v>
      </c>
    </row>
    <row r="234" spans="1:1" x14ac:dyDescent="0.25">
      <c r="A234" t="s">
        <v>2396</v>
      </c>
    </row>
    <row r="235" spans="1:1" x14ac:dyDescent="0.25">
      <c r="A235" t="s">
        <v>1958</v>
      </c>
    </row>
    <row r="236" spans="1:1" x14ac:dyDescent="0.25">
      <c r="A236" t="s">
        <v>2397</v>
      </c>
    </row>
    <row r="237" spans="1:1" x14ac:dyDescent="0.25">
      <c r="A237" t="s">
        <v>1961</v>
      </c>
    </row>
    <row r="238" spans="1:1" x14ac:dyDescent="0.25">
      <c r="A238" t="s">
        <v>2396</v>
      </c>
    </row>
    <row r="239" spans="1:1" x14ac:dyDescent="0.25">
      <c r="A239" t="s">
        <v>1964</v>
      </c>
    </row>
    <row r="240" spans="1:1" x14ac:dyDescent="0.25">
      <c r="A240" t="s">
        <v>2397</v>
      </c>
    </row>
    <row r="241" spans="1:1" x14ac:dyDescent="0.25">
      <c r="A241" t="s">
        <v>811</v>
      </c>
    </row>
    <row r="242" spans="1:1" x14ac:dyDescent="0.25">
      <c r="A242" t="s">
        <v>468</v>
      </c>
    </row>
    <row r="243" spans="1:1" x14ac:dyDescent="0.25">
      <c r="A243" t="s">
        <v>634</v>
      </c>
    </row>
    <row r="244" spans="1:1" x14ac:dyDescent="0.25">
      <c r="A244" t="s">
        <v>2398</v>
      </c>
    </row>
    <row r="245" spans="1:1" x14ac:dyDescent="0.25">
      <c r="A245" t="s">
        <v>2393</v>
      </c>
    </row>
    <row r="246" spans="1:1" x14ac:dyDescent="0.25">
      <c r="A246" t="s">
        <v>876</v>
      </c>
    </row>
    <row r="247" spans="1:1" x14ac:dyDescent="0.25">
      <c r="A247" t="s">
        <v>2394</v>
      </c>
    </row>
    <row r="248" spans="1:1" x14ac:dyDescent="0.25">
      <c r="A248" t="s">
        <v>877</v>
      </c>
    </row>
    <row r="249" spans="1:1" x14ac:dyDescent="0.25">
      <c r="A249" t="s">
        <v>2395</v>
      </c>
    </row>
    <row r="250" spans="1:1" x14ac:dyDescent="0.25">
      <c r="A250" t="s">
        <v>1024</v>
      </c>
    </row>
    <row r="251" spans="1:1" x14ac:dyDescent="0.25">
      <c r="A251" t="s">
        <v>2394</v>
      </c>
    </row>
    <row r="252" spans="1:1" x14ac:dyDescent="0.25">
      <c r="A252" t="s">
        <v>1025</v>
      </c>
    </row>
    <row r="253" spans="1:1" x14ac:dyDescent="0.25">
      <c r="A253" t="s">
        <v>2395</v>
      </c>
    </row>
    <row r="254" spans="1:1" x14ac:dyDescent="0.25">
      <c r="A254" t="s">
        <v>1026</v>
      </c>
    </row>
    <row r="255" spans="1:1" x14ac:dyDescent="0.25">
      <c r="A255" t="s">
        <v>2394</v>
      </c>
    </row>
    <row r="256" spans="1:1" x14ac:dyDescent="0.25">
      <c r="A256" t="s">
        <v>1027</v>
      </c>
    </row>
    <row r="257" spans="1:1" x14ac:dyDescent="0.25">
      <c r="A257" t="s">
        <v>2395</v>
      </c>
    </row>
    <row r="258" spans="1:1" x14ac:dyDescent="0.25">
      <c r="A258" t="s">
        <v>1028</v>
      </c>
    </row>
    <row r="259" spans="1:1" x14ac:dyDescent="0.25">
      <c r="A259" t="s">
        <v>2394</v>
      </c>
    </row>
    <row r="260" spans="1:1" x14ac:dyDescent="0.25">
      <c r="A260" t="s">
        <v>1029</v>
      </c>
    </row>
    <row r="261" spans="1:1" x14ac:dyDescent="0.25">
      <c r="A261" t="s">
        <v>2395</v>
      </c>
    </row>
    <row r="262" spans="1:1" x14ac:dyDescent="0.25">
      <c r="A262" t="s">
        <v>1030</v>
      </c>
    </row>
    <row r="263" spans="1:1" x14ac:dyDescent="0.25">
      <c r="A263" t="s">
        <v>2394</v>
      </c>
    </row>
    <row r="264" spans="1:1" x14ac:dyDescent="0.25">
      <c r="A264" t="s">
        <v>1031</v>
      </c>
    </row>
    <row r="265" spans="1:1" x14ac:dyDescent="0.25">
      <c r="A265" t="s">
        <v>2395</v>
      </c>
    </row>
    <row r="266" spans="1:1" x14ac:dyDescent="0.25">
      <c r="A266" t="s">
        <v>1032</v>
      </c>
    </row>
    <row r="267" spans="1:1" x14ac:dyDescent="0.25">
      <c r="A267" t="s">
        <v>2394</v>
      </c>
    </row>
    <row r="268" spans="1:1" x14ac:dyDescent="0.25">
      <c r="A268" t="s">
        <v>1033</v>
      </c>
    </row>
    <row r="269" spans="1:1" x14ac:dyDescent="0.25">
      <c r="A269" t="s">
        <v>2395</v>
      </c>
    </row>
    <row r="270" spans="1:1" x14ac:dyDescent="0.25">
      <c r="A270" t="s">
        <v>1034</v>
      </c>
    </row>
    <row r="271" spans="1:1" x14ac:dyDescent="0.25">
      <c r="A271" t="s">
        <v>2394</v>
      </c>
    </row>
    <row r="272" spans="1:1" x14ac:dyDescent="0.25">
      <c r="A272" t="s">
        <v>1035</v>
      </c>
    </row>
    <row r="273" spans="1:1" x14ac:dyDescent="0.25">
      <c r="A273" t="s">
        <v>2395</v>
      </c>
    </row>
    <row r="274" spans="1:1" x14ac:dyDescent="0.25">
      <c r="A274" t="s">
        <v>1036</v>
      </c>
    </row>
    <row r="275" spans="1:1" x14ac:dyDescent="0.25">
      <c r="A275" t="s">
        <v>2394</v>
      </c>
    </row>
    <row r="276" spans="1:1" x14ac:dyDescent="0.25">
      <c r="A276" t="s">
        <v>1037</v>
      </c>
    </row>
    <row r="277" spans="1:1" x14ac:dyDescent="0.25">
      <c r="A277" t="s">
        <v>2395</v>
      </c>
    </row>
    <row r="278" spans="1:1" x14ac:dyDescent="0.25">
      <c r="A278" t="s">
        <v>1935</v>
      </c>
    </row>
    <row r="279" spans="1:1" x14ac:dyDescent="0.25">
      <c r="A279" t="s">
        <v>2394</v>
      </c>
    </row>
    <row r="280" spans="1:1" x14ac:dyDescent="0.25">
      <c r="A280" t="s">
        <v>1938</v>
      </c>
    </row>
    <row r="281" spans="1:1" x14ac:dyDescent="0.25">
      <c r="A281" t="s">
        <v>2395</v>
      </c>
    </row>
    <row r="282" spans="1:1" x14ac:dyDescent="0.25">
      <c r="A282" t="s">
        <v>1941</v>
      </c>
    </row>
    <row r="283" spans="1:1" x14ac:dyDescent="0.25">
      <c r="A283" t="s">
        <v>2394</v>
      </c>
    </row>
    <row r="284" spans="1:1" x14ac:dyDescent="0.25">
      <c r="A284" t="s">
        <v>1944</v>
      </c>
    </row>
    <row r="285" spans="1:1" x14ac:dyDescent="0.25">
      <c r="A285" t="s">
        <v>845</v>
      </c>
    </row>
    <row r="286" spans="1:1" x14ac:dyDescent="0.25">
      <c r="A286" t="s">
        <v>832</v>
      </c>
    </row>
    <row r="287" spans="1:1" x14ac:dyDescent="0.25">
      <c r="A287" t="s">
        <v>1999</v>
      </c>
    </row>
    <row r="288" spans="1:1" x14ac:dyDescent="0.25">
      <c r="A288" t="s">
        <v>2393</v>
      </c>
    </row>
    <row r="289" spans="1:1" x14ac:dyDescent="0.25">
      <c r="A289" t="s">
        <v>876</v>
      </c>
    </row>
    <row r="290" spans="1:1" x14ac:dyDescent="0.25">
      <c r="A290" t="s">
        <v>2394</v>
      </c>
    </row>
    <row r="291" spans="1:1" x14ac:dyDescent="0.25">
      <c r="A291" t="s">
        <v>877</v>
      </c>
    </row>
    <row r="292" spans="1:1" x14ac:dyDescent="0.25">
      <c r="A292" t="s">
        <v>2395</v>
      </c>
    </row>
    <row r="293" spans="1:1" x14ac:dyDescent="0.25">
      <c r="A293" t="s">
        <v>1024</v>
      </c>
    </row>
    <row r="294" spans="1:1" x14ac:dyDescent="0.25">
      <c r="A294" t="s">
        <v>2394</v>
      </c>
    </row>
    <row r="295" spans="1:1" x14ac:dyDescent="0.25">
      <c r="A295" t="s">
        <v>1025</v>
      </c>
    </row>
    <row r="296" spans="1:1" x14ac:dyDescent="0.25">
      <c r="A296" t="s">
        <v>2395</v>
      </c>
    </row>
    <row r="297" spans="1:1" x14ac:dyDescent="0.25">
      <c r="A297" t="s">
        <v>1026</v>
      </c>
    </row>
    <row r="298" spans="1:1" x14ac:dyDescent="0.25">
      <c r="A298" t="s">
        <v>2394</v>
      </c>
    </row>
    <row r="299" spans="1:1" x14ac:dyDescent="0.25">
      <c r="A299" t="s">
        <v>1027</v>
      </c>
    </row>
    <row r="300" spans="1:1" x14ac:dyDescent="0.25">
      <c r="A300" t="s">
        <v>2395</v>
      </c>
    </row>
    <row r="301" spans="1:1" x14ac:dyDescent="0.25">
      <c r="A301" t="s">
        <v>1028</v>
      </c>
    </row>
    <row r="302" spans="1:1" x14ac:dyDescent="0.25">
      <c r="A302" t="s">
        <v>2394</v>
      </c>
    </row>
    <row r="303" spans="1:1" x14ac:dyDescent="0.25">
      <c r="A303" t="s">
        <v>1029</v>
      </c>
    </row>
    <row r="304" spans="1:1" x14ac:dyDescent="0.25">
      <c r="A304" t="s">
        <v>2395</v>
      </c>
    </row>
    <row r="305" spans="1:1" x14ac:dyDescent="0.25">
      <c r="A305" t="s">
        <v>1030</v>
      </c>
    </row>
    <row r="306" spans="1:1" x14ac:dyDescent="0.25">
      <c r="A306" t="s">
        <v>2394</v>
      </c>
    </row>
    <row r="307" spans="1:1" x14ac:dyDescent="0.25">
      <c r="A307" t="s">
        <v>1031</v>
      </c>
    </row>
    <row r="308" spans="1:1" x14ac:dyDescent="0.25">
      <c r="A308" t="s">
        <v>2395</v>
      </c>
    </row>
    <row r="309" spans="1:1" x14ac:dyDescent="0.25">
      <c r="A309" t="s">
        <v>1032</v>
      </c>
    </row>
    <row r="310" spans="1:1" x14ac:dyDescent="0.25">
      <c r="A310" t="s">
        <v>2394</v>
      </c>
    </row>
    <row r="311" spans="1:1" x14ac:dyDescent="0.25">
      <c r="A311" t="s">
        <v>1033</v>
      </c>
    </row>
    <row r="312" spans="1:1" x14ac:dyDescent="0.25">
      <c r="A312" t="s">
        <v>2395</v>
      </c>
    </row>
    <row r="313" spans="1:1" x14ac:dyDescent="0.25">
      <c r="A313" t="s">
        <v>1034</v>
      </c>
    </row>
    <row r="314" spans="1:1" x14ac:dyDescent="0.25">
      <c r="A314" t="s">
        <v>2394</v>
      </c>
    </row>
    <row r="315" spans="1:1" x14ac:dyDescent="0.25">
      <c r="A315" t="s">
        <v>1035</v>
      </c>
    </row>
    <row r="316" spans="1:1" x14ac:dyDescent="0.25">
      <c r="A316" t="s">
        <v>2395</v>
      </c>
    </row>
    <row r="317" spans="1:1" x14ac:dyDescent="0.25">
      <c r="A317" t="s">
        <v>1036</v>
      </c>
    </row>
    <row r="318" spans="1:1" x14ac:dyDescent="0.25">
      <c r="A318" t="s">
        <v>2394</v>
      </c>
    </row>
    <row r="319" spans="1:1" x14ac:dyDescent="0.25">
      <c r="A319" t="s">
        <v>1037</v>
      </c>
    </row>
    <row r="320" spans="1:1" x14ac:dyDescent="0.25">
      <c r="A320" t="s">
        <v>2395</v>
      </c>
    </row>
    <row r="321" spans="1:1" x14ac:dyDescent="0.25">
      <c r="A321" t="s">
        <v>1935</v>
      </c>
    </row>
    <row r="322" spans="1:1" x14ac:dyDescent="0.25">
      <c r="A322" t="s">
        <v>2394</v>
      </c>
    </row>
    <row r="323" spans="1:1" x14ac:dyDescent="0.25">
      <c r="A323" t="s">
        <v>1938</v>
      </c>
    </row>
    <row r="324" spans="1:1" x14ac:dyDescent="0.25">
      <c r="A324" t="s">
        <v>2395</v>
      </c>
    </row>
    <row r="325" spans="1:1" x14ac:dyDescent="0.25">
      <c r="A325" t="s">
        <v>1941</v>
      </c>
    </row>
    <row r="326" spans="1:1" x14ac:dyDescent="0.25">
      <c r="A326" t="s">
        <v>2394</v>
      </c>
    </row>
    <row r="327" spans="1:1" x14ac:dyDescent="0.25">
      <c r="A327" t="s">
        <v>1944</v>
      </c>
    </row>
    <row r="328" spans="1:1" x14ac:dyDescent="0.25">
      <c r="A328" t="s">
        <v>811</v>
      </c>
    </row>
    <row r="329" spans="1:1" x14ac:dyDescent="0.25">
      <c r="A329" t="s">
        <v>467</v>
      </c>
    </row>
    <row r="330" spans="1:1" x14ac:dyDescent="0.25">
      <c r="A330" t="s">
        <v>634</v>
      </c>
    </row>
    <row r="331" spans="1:1" x14ac:dyDescent="0.25">
      <c r="A331" t="s">
        <v>2016</v>
      </c>
    </row>
    <row r="332" spans="1:1" x14ac:dyDescent="0.25">
      <c r="A332" t="s">
        <v>879</v>
      </c>
    </row>
    <row r="333" spans="1:1" x14ac:dyDescent="0.25">
      <c r="A333" t="s">
        <v>2396</v>
      </c>
    </row>
    <row r="334" spans="1:1" x14ac:dyDescent="0.25">
      <c r="A334" t="s">
        <v>880</v>
      </c>
    </row>
    <row r="335" spans="1:1" x14ac:dyDescent="0.25">
      <c r="A335" t="s">
        <v>2397</v>
      </c>
    </row>
    <row r="336" spans="1:1" x14ac:dyDescent="0.25">
      <c r="A336" t="s">
        <v>1065</v>
      </c>
    </row>
    <row r="337" spans="1:1" x14ac:dyDescent="0.25">
      <c r="A337" t="s">
        <v>2396</v>
      </c>
    </row>
    <row r="338" spans="1:1" x14ac:dyDescent="0.25">
      <c r="A338" t="s">
        <v>1066</v>
      </c>
    </row>
    <row r="339" spans="1:1" x14ac:dyDescent="0.25">
      <c r="A339" t="s">
        <v>2397</v>
      </c>
    </row>
    <row r="340" spans="1:1" x14ac:dyDescent="0.25">
      <c r="A340" t="s">
        <v>1067</v>
      </c>
    </row>
    <row r="341" spans="1:1" x14ac:dyDescent="0.25">
      <c r="A341" t="s">
        <v>2396</v>
      </c>
    </row>
    <row r="342" spans="1:1" x14ac:dyDescent="0.25">
      <c r="A342" t="s">
        <v>1068</v>
      </c>
    </row>
    <row r="343" spans="1:1" x14ac:dyDescent="0.25">
      <c r="A343" t="s">
        <v>2397</v>
      </c>
    </row>
    <row r="344" spans="1:1" x14ac:dyDescent="0.25">
      <c r="A344" t="s">
        <v>1069</v>
      </c>
    </row>
    <row r="345" spans="1:1" x14ac:dyDescent="0.25">
      <c r="A345" t="s">
        <v>2396</v>
      </c>
    </row>
    <row r="346" spans="1:1" x14ac:dyDescent="0.25">
      <c r="A346" t="s">
        <v>1070</v>
      </c>
    </row>
    <row r="347" spans="1:1" x14ac:dyDescent="0.25">
      <c r="A347" t="s">
        <v>2397</v>
      </c>
    </row>
    <row r="348" spans="1:1" x14ac:dyDescent="0.25">
      <c r="A348" t="s">
        <v>1071</v>
      </c>
    </row>
    <row r="349" spans="1:1" x14ac:dyDescent="0.25">
      <c r="A349" t="s">
        <v>2396</v>
      </c>
    </row>
    <row r="350" spans="1:1" x14ac:dyDescent="0.25">
      <c r="A350" t="s">
        <v>1072</v>
      </c>
    </row>
    <row r="351" spans="1:1" x14ac:dyDescent="0.25">
      <c r="A351" t="s">
        <v>2397</v>
      </c>
    </row>
    <row r="352" spans="1:1" x14ac:dyDescent="0.25">
      <c r="A352" t="s">
        <v>1073</v>
      </c>
    </row>
    <row r="353" spans="1:1" x14ac:dyDescent="0.25">
      <c r="A353" t="s">
        <v>2396</v>
      </c>
    </row>
    <row r="354" spans="1:1" x14ac:dyDescent="0.25">
      <c r="A354" t="s">
        <v>1074</v>
      </c>
    </row>
    <row r="355" spans="1:1" x14ac:dyDescent="0.25">
      <c r="A355" t="s">
        <v>2397</v>
      </c>
    </row>
    <row r="356" spans="1:1" x14ac:dyDescent="0.25">
      <c r="A356" t="s">
        <v>1075</v>
      </c>
    </row>
    <row r="357" spans="1:1" x14ac:dyDescent="0.25">
      <c r="A357" t="s">
        <v>2396</v>
      </c>
    </row>
    <row r="358" spans="1:1" x14ac:dyDescent="0.25">
      <c r="A358" t="s">
        <v>1076</v>
      </c>
    </row>
    <row r="359" spans="1:1" x14ac:dyDescent="0.25">
      <c r="A359" t="s">
        <v>2397</v>
      </c>
    </row>
    <row r="360" spans="1:1" x14ac:dyDescent="0.25">
      <c r="A360" t="s">
        <v>1077</v>
      </c>
    </row>
    <row r="361" spans="1:1" x14ac:dyDescent="0.25">
      <c r="A361" t="s">
        <v>2396</v>
      </c>
    </row>
    <row r="362" spans="1:1" x14ac:dyDescent="0.25">
      <c r="A362" t="s">
        <v>1078</v>
      </c>
    </row>
    <row r="363" spans="1:1" x14ac:dyDescent="0.25">
      <c r="A363" t="s">
        <v>2397</v>
      </c>
    </row>
    <row r="364" spans="1:1" x14ac:dyDescent="0.25">
      <c r="A364" t="s">
        <v>1955</v>
      </c>
    </row>
    <row r="365" spans="1:1" x14ac:dyDescent="0.25">
      <c r="A365" t="s">
        <v>2396</v>
      </c>
    </row>
    <row r="366" spans="1:1" x14ac:dyDescent="0.25">
      <c r="A366" t="s">
        <v>1958</v>
      </c>
    </row>
    <row r="367" spans="1:1" x14ac:dyDescent="0.25">
      <c r="A367" t="s">
        <v>2397</v>
      </c>
    </row>
    <row r="368" spans="1:1" x14ac:dyDescent="0.25">
      <c r="A368" t="s">
        <v>1961</v>
      </c>
    </row>
    <row r="369" spans="1:1" x14ac:dyDescent="0.25">
      <c r="A369" t="s">
        <v>2396</v>
      </c>
    </row>
    <row r="370" spans="1:1" x14ac:dyDescent="0.25">
      <c r="A370" t="s">
        <v>1964</v>
      </c>
    </row>
    <row r="371" spans="1:1" x14ac:dyDescent="0.25">
      <c r="A371" t="s">
        <v>2397</v>
      </c>
    </row>
    <row r="372" spans="1:1" x14ac:dyDescent="0.25">
      <c r="A372" t="s">
        <v>845</v>
      </c>
    </row>
    <row r="373" spans="1:1" x14ac:dyDescent="0.25">
      <c r="A373" t="s">
        <v>733</v>
      </c>
    </row>
    <row r="374" spans="1:1" x14ac:dyDescent="0.25">
      <c r="A374" t="s">
        <v>2033</v>
      </c>
    </row>
    <row r="375" spans="1:1" x14ac:dyDescent="0.25">
      <c r="A375" t="s">
        <v>879</v>
      </c>
    </row>
    <row r="376" spans="1:1" x14ac:dyDescent="0.25">
      <c r="A376" t="s">
        <v>2396</v>
      </c>
    </row>
    <row r="377" spans="1:1" x14ac:dyDescent="0.25">
      <c r="A377" t="s">
        <v>880</v>
      </c>
    </row>
    <row r="378" spans="1:1" x14ac:dyDescent="0.25">
      <c r="A378" t="s">
        <v>2397</v>
      </c>
    </row>
    <row r="379" spans="1:1" x14ac:dyDescent="0.25">
      <c r="A379" t="s">
        <v>1065</v>
      </c>
    </row>
    <row r="380" spans="1:1" x14ac:dyDescent="0.25">
      <c r="A380" t="s">
        <v>2396</v>
      </c>
    </row>
    <row r="381" spans="1:1" x14ac:dyDescent="0.25">
      <c r="A381" t="s">
        <v>1066</v>
      </c>
    </row>
    <row r="382" spans="1:1" x14ac:dyDescent="0.25">
      <c r="A382" t="s">
        <v>2397</v>
      </c>
    </row>
    <row r="383" spans="1:1" x14ac:dyDescent="0.25">
      <c r="A383" t="s">
        <v>1067</v>
      </c>
    </row>
    <row r="384" spans="1:1" x14ac:dyDescent="0.25">
      <c r="A384" t="s">
        <v>2396</v>
      </c>
    </row>
    <row r="385" spans="1:1" x14ac:dyDescent="0.25">
      <c r="A385" t="s">
        <v>1068</v>
      </c>
    </row>
    <row r="386" spans="1:1" x14ac:dyDescent="0.25">
      <c r="A386" t="s">
        <v>2397</v>
      </c>
    </row>
    <row r="387" spans="1:1" x14ac:dyDescent="0.25">
      <c r="A387" t="s">
        <v>1069</v>
      </c>
    </row>
    <row r="388" spans="1:1" x14ac:dyDescent="0.25">
      <c r="A388" t="s">
        <v>2396</v>
      </c>
    </row>
    <row r="389" spans="1:1" x14ac:dyDescent="0.25">
      <c r="A389" t="s">
        <v>1070</v>
      </c>
    </row>
    <row r="390" spans="1:1" x14ac:dyDescent="0.25">
      <c r="A390" t="s">
        <v>2397</v>
      </c>
    </row>
    <row r="391" spans="1:1" x14ac:dyDescent="0.25">
      <c r="A391" t="s">
        <v>1071</v>
      </c>
    </row>
    <row r="392" spans="1:1" x14ac:dyDescent="0.25">
      <c r="A392" t="s">
        <v>2396</v>
      </c>
    </row>
    <row r="393" spans="1:1" x14ac:dyDescent="0.25">
      <c r="A393" t="s">
        <v>1072</v>
      </c>
    </row>
    <row r="394" spans="1:1" x14ac:dyDescent="0.25">
      <c r="A394" t="s">
        <v>2397</v>
      </c>
    </row>
    <row r="395" spans="1:1" x14ac:dyDescent="0.25">
      <c r="A395" t="s">
        <v>1073</v>
      </c>
    </row>
    <row r="396" spans="1:1" x14ac:dyDescent="0.25">
      <c r="A396" t="s">
        <v>2396</v>
      </c>
    </row>
    <row r="397" spans="1:1" x14ac:dyDescent="0.25">
      <c r="A397" t="s">
        <v>1074</v>
      </c>
    </row>
    <row r="398" spans="1:1" x14ac:dyDescent="0.25">
      <c r="A398" t="s">
        <v>2397</v>
      </c>
    </row>
    <row r="399" spans="1:1" x14ac:dyDescent="0.25">
      <c r="A399" t="s">
        <v>1075</v>
      </c>
    </row>
    <row r="400" spans="1:1" x14ac:dyDescent="0.25">
      <c r="A400" t="s">
        <v>2396</v>
      </c>
    </row>
    <row r="401" spans="1:1" x14ac:dyDescent="0.25">
      <c r="A401" t="s">
        <v>1076</v>
      </c>
    </row>
    <row r="402" spans="1:1" x14ac:dyDescent="0.25">
      <c r="A402" t="s">
        <v>2397</v>
      </c>
    </row>
    <row r="403" spans="1:1" x14ac:dyDescent="0.25">
      <c r="A403" t="s">
        <v>1077</v>
      </c>
    </row>
    <row r="404" spans="1:1" x14ac:dyDescent="0.25">
      <c r="A404" t="s">
        <v>2396</v>
      </c>
    </row>
    <row r="405" spans="1:1" x14ac:dyDescent="0.25">
      <c r="A405" t="s">
        <v>1078</v>
      </c>
    </row>
    <row r="406" spans="1:1" x14ac:dyDescent="0.25">
      <c r="A406" t="s">
        <v>2397</v>
      </c>
    </row>
    <row r="407" spans="1:1" x14ac:dyDescent="0.25">
      <c r="A407" t="s">
        <v>1955</v>
      </c>
    </row>
    <row r="408" spans="1:1" x14ac:dyDescent="0.25">
      <c r="A408" t="s">
        <v>2396</v>
      </c>
    </row>
    <row r="409" spans="1:1" x14ac:dyDescent="0.25">
      <c r="A409" t="s">
        <v>1958</v>
      </c>
    </row>
    <row r="410" spans="1:1" x14ac:dyDescent="0.25">
      <c r="A410" t="s">
        <v>2397</v>
      </c>
    </row>
    <row r="411" spans="1:1" x14ac:dyDescent="0.25">
      <c r="A411" t="s">
        <v>1961</v>
      </c>
    </row>
    <row r="412" spans="1:1" x14ac:dyDescent="0.25">
      <c r="A412" t="s">
        <v>2396</v>
      </c>
    </row>
    <row r="413" spans="1:1" x14ac:dyDescent="0.25">
      <c r="A413" t="s">
        <v>1964</v>
      </c>
    </row>
    <row r="414" spans="1:1" x14ac:dyDescent="0.25">
      <c r="A414" t="s">
        <v>2397</v>
      </c>
    </row>
    <row r="415" spans="1:1" x14ac:dyDescent="0.25">
      <c r="A415" t="s">
        <v>811</v>
      </c>
    </row>
    <row r="416" spans="1:1" x14ac:dyDescent="0.25">
      <c r="A416" t="s">
        <v>468</v>
      </c>
    </row>
    <row r="417" spans="1:1" x14ac:dyDescent="0.25">
      <c r="A417" t="s">
        <v>634</v>
      </c>
    </row>
    <row r="418" spans="1:1" x14ac:dyDescent="0.25">
      <c r="A418" t="s">
        <v>2399</v>
      </c>
    </row>
    <row r="419" spans="1:1" x14ac:dyDescent="0.25">
      <c r="A419" t="s">
        <v>2393</v>
      </c>
    </row>
    <row r="420" spans="1:1" x14ac:dyDescent="0.25">
      <c r="A420" t="s">
        <v>876</v>
      </c>
    </row>
    <row r="421" spans="1:1" x14ac:dyDescent="0.25">
      <c r="A421" t="s">
        <v>2394</v>
      </c>
    </row>
    <row r="422" spans="1:1" x14ac:dyDescent="0.25">
      <c r="A422" t="s">
        <v>877</v>
      </c>
    </row>
    <row r="423" spans="1:1" x14ac:dyDescent="0.25">
      <c r="A423" t="s">
        <v>2395</v>
      </c>
    </row>
    <row r="424" spans="1:1" x14ac:dyDescent="0.25">
      <c r="A424" t="s">
        <v>1024</v>
      </c>
    </row>
    <row r="425" spans="1:1" x14ac:dyDescent="0.25">
      <c r="A425" t="s">
        <v>2394</v>
      </c>
    </row>
    <row r="426" spans="1:1" x14ac:dyDescent="0.25">
      <c r="A426" t="s">
        <v>1025</v>
      </c>
    </row>
    <row r="427" spans="1:1" x14ac:dyDescent="0.25">
      <c r="A427" t="s">
        <v>2395</v>
      </c>
    </row>
    <row r="428" spans="1:1" x14ac:dyDescent="0.25">
      <c r="A428" t="s">
        <v>1026</v>
      </c>
    </row>
    <row r="429" spans="1:1" x14ac:dyDescent="0.25">
      <c r="A429" t="s">
        <v>2394</v>
      </c>
    </row>
    <row r="430" spans="1:1" x14ac:dyDescent="0.25">
      <c r="A430" t="s">
        <v>1027</v>
      </c>
    </row>
    <row r="431" spans="1:1" x14ac:dyDescent="0.25">
      <c r="A431" t="s">
        <v>2395</v>
      </c>
    </row>
    <row r="432" spans="1:1" x14ac:dyDescent="0.25">
      <c r="A432" t="s">
        <v>1028</v>
      </c>
    </row>
    <row r="433" spans="1:1" x14ac:dyDescent="0.25">
      <c r="A433" t="s">
        <v>2394</v>
      </c>
    </row>
    <row r="434" spans="1:1" x14ac:dyDescent="0.25">
      <c r="A434" t="s">
        <v>1029</v>
      </c>
    </row>
    <row r="435" spans="1:1" x14ac:dyDescent="0.25">
      <c r="A435" t="s">
        <v>2395</v>
      </c>
    </row>
    <row r="436" spans="1:1" x14ac:dyDescent="0.25">
      <c r="A436" t="s">
        <v>1030</v>
      </c>
    </row>
    <row r="437" spans="1:1" x14ac:dyDescent="0.25">
      <c r="A437" t="s">
        <v>2394</v>
      </c>
    </row>
    <row r="438" spans="1:1" x14ac:dyDescent="0.25">
      <c r="A438" t="s">
        <v>1031</v>
      </c>
    </row>
    <row r="439" spans="1:1" x14ac:dyDescent="0.25">
      <c r="A439" t="s">
        <v>2395</v>
      </c>
    </row>
    <row r="440" spans="1:1" x14ac:dyDescent="0.25">
      <c r="A440" t="s">
        <v>1032</v>
      </c>
    </row>
    <row r="441" spans="1:1" x14ac:dyDescent="0.25">
      <c r="A441" t="s">
        <v>2394</v>
      </c>
    </row>
    <row r="442" spans="1:1" x14ac:dyDescent="0.25">
      <c r="A442" t="s">
        <v>1033</v>
      </c>
    </row>
    <row r="443" spans="1:1" x14ac:dyDescent="0.25">
      <c r="A443" t="s">
        <v>2395</v>
      </c>
    </row>
    <row r="444" spans="1:1" x14ac:dyDescent="0.25">
      <c r="A444" t="s">
        <v>1034</v>
      </c>
    </row>
    <row r="445" spans="1:1" x14ac:dyDescent="0.25">
      <c r="A445" t="s">
        <v>2394</v>
      </c>
    </row>
    <row r="446" spans="1:1" x14ac:dyDescent="0.25">
      <c r="A446" t="s">
        <v>1035</v>
      </c>
    </row>
    <row r="447" spans="1:1" x14ac:dyDescent="0.25">
      <c r="A447" t="s">
        <v>2395</v>
      </c>
    </row>
    <row r="448" spans="1:1" x14ac:dyDescent="0.25">
      <c r="A448" t="s">
        <v>1036</v>
      </c>
    </row>
    <row r="449" spans="1:1" x14ac:dyDescent="0.25">
      <c r="A449" t="s">
        <v>2394</v>
      </c>
    </row>
    <row r="450" spans="1:1" x14ac:dyDescent="0.25">
      <c r="A450" t="s">
        <v>1037</v>
      </c>
    </row>
    <row r="451" spans="1:1" x14ac:dyDescent="0.25">
      <c r="A451" t="s">
        <v>2395</v>
      </c>
    </row>
    <row r="452" spans="1:1" x14ac:dyDescent="0.25">
      <c r="A452" t="s">
        <v>1935</v>
      </c>
    </row>
    <row r="453" spans="1:1" x14ac:dyDescent="0.25">
      <c r="A453" t="s">
        <v>2394</v>
      </c>
    </row>
    <row r="454" spans="1:1" x14ac:dyDescent="0.25">
      <c r="A454" t="s">
        <v>1938</v>
      </c>
    </row>
    <row r="455" spans="1:1" x14ac:dyDescent="0.25">
      <c r="A455" t="s">
        <v>2395</v>
      </c>
    </row>
    <row r="456" spans="1:1" x14ac:dyDescent="0.25">
      <c r="A456" t="s">
        <v>1941</v>
      </c>
    </row>
    <row r="457" spans="1:1" x14ac:dyDescent="0.25">
      <c r="A457" t="s">
        <v>2394</v>
      </c>
    </row>
    <row r="458" spans="1:1" x14ac:dyDescent="0.25">
      <c r="A458" t="s">
        <v>1944</v>
      </c>
    </row>
    <row r="459" spans="1:1" x14ac:dyDescent="0.25">
      <c r="A459" t="s">
        <v>845</v>
      </c>
    </row>
    <row r="460" spans="1:1" x14ac:dyDescent="0.25">
      <c r="A460" t="s">
        <v>833</v>
      </c>
    </row>
    <row r="461" spans="1:1" x14ac:dyDescent="0.25">
      <c r="A461" t="s">
        <v>2058</v>
      </c>
    </row>
    <row r="462" spans="1:1" x14ac:dyDescent="0.25">
      <c r="A462" t="s">
        <v>2393</v>
      </c>
    </row>
    <row r="463" spans="1:1" x14ac:dyDescent="0.25">
      <c r="A463" t="s">
        <v>876</v>
      </c>
    </row>
    <row r="464" spans="1:1" x14ac:dyDescent="0.25">
      <c r="A464" t="s">
        <v>2394</v>
      </c>
    </row>
    <row r="465" spans="1:1" x14ac:dyDescent="0.25">
      <c r="A465" t="s">
        <v>877</v>
      </c>
    </row>
    <row r="466" spans="1:1" x14ac:dyDescent="0.25">
      <c r="A466" t="s">
        <v>2395</v>
      </c>
    </row>
    <row r="467" spans="1:1" x14ac:dyDescent="0.25">
      <c r="A467" t="s">
        <v>1024</v>
      </c>
    </row>
    <row r="468" spans="1:1" x14ac:dyDescent="0.25">
      <c r="A468" t="s">
        <v>2394</v>
      </c>
    </row>
    <row r="469" spans="1:1" x14ac:dyDescent="0.25">
      <c r="A469" t="s">
        <v>1025</v>
      </c>
    </row>
    <row r="470" spans="1:1" x14ac:dyDescent="0.25">
      <c r="A470" t="s">
        <v>2395</v>
      </c>
    </row>
    <row r="471" spans="1:1" x14ac:dyDescent="0.25">
      <c r="A471" t="s">
        <v>1026</v>
      </c>
    </row>
    <row r="472" spans="1:1" x14ac:dyDescent="0.25">
      <c r="A472" t="s">
        <v>2394</v>
      </c>
    </row>
    <row r="473" spans="1:1" x14ac:dyDescent="0.25">
      <c r="A473" t="s">
        <v>1027</v>
      </c>
    </row>
    <row r="474" spans="1:1" x14ac:dyDescent="0.25">
      <c r="A474" t="s">
        <v>2395</v>
      </c>
    </row>
    <row r="475" spans="1:1" x14ac:dyDescent="0.25">
      <c r="A475" t="s">
        <v>1028</v>
      </c>
    </row>
    <row r="476" spans="1:1" x14ac:dyDescent="0.25">
      <c r="A476" t="s">
        <v>2394</v>
      </c>
    </row>
    <row r="477" spans="1:1" x14ac:dyDescent="0.25">
      <c r="A477" t="s">
        <v>1029</v>
      </c>
    </row>
    <row r="478" spans="1:1" x14ac:dyDescent="0.25">
      <c r="A478" t="s">
        <v>2395</v>
      </c>
    </row>
    <row r="479" spans="1:1" x14ac:dyDescent="0.25">
      <c r="A479" t="s">
        <v>1030</v>
      </c>
    </row>
    <row r="480" spans="1:1" x14ac:dyDescent="0.25">
      <c r="A480" t="s">
        <v>2394</v>
      </c>
    </row>
    <row r="481" spans="1:1" x14ac:dyDescent="0.25">
      <c r="A481" t="s">
        <v>1031</v>
      </c>
    </row>
    <row r="482" spans="1:1" x14ac:dyDescent="0.25">
      <c r="A482" t="s">
        <v>2395</v>
      </c>
    </row>
    <row r="483" spans="1:1" x14ac:dyDescent="0.25">
      <c r="A483" t="s">
        <v>1032</v>
      </c>
    </row>
    <row r="484" spans="1:1" x14ac:dyDescent="0.25">
      <c r="A484" t="s">
        <v>2394</v>
      </c>
    </row>
    <row r="485" spans="1:1" x14ac:dyDescent="0.25">
      <c r="A485" t="s">
        <v>1033</v>
      </c>
    </row>
    <row r="486" spans="1:1" x14ac:dyDescent="0.25">
      <c r="A486" t="s">
        <v>2395</v>
      </c>
    </row>
    <row r="487" spans="1:1" x14ac:dyDescent="0.25">
      <c r="A487" t="s">
        <v>1034</v>
      </c>
    </row>
    <row r="488" spans="1:1" x14ac:dyDescent="0.25">
      <c r="A488" t="s">
        <v>2394</v>
      </c>
    </row>
    <row r="489" spans="1:1" x14ac:dyDescent="0.25">
      <c r="A489" t="s">
        <v>1035</v>
      </c>
    </row>
    <row r="490" spans="1:1" x14ac:dyDescent="0.25">
      <c r="A490" t="s">
        <v>2395</v>
      </c>
    </row>
    <row r="491" spans="1:1" x14ac:dyDescent="0.25">
      <c r="A491" t="s">
        <v>1036</v>
      </c>
    </row>
    <row r="492" spans="1:1" x14ac:dyDescent="0.25">
      <c r="A492" t="s">
        <v>2394</v>
      </c>
    </row>
    <row r="493" spans="1:1" x14ac:dyDescent="0.25">
      <c r="A493" t="s">
        <v>1037</v>
      </c>
    </row>
    <row r="494" spans="1:1" x14ac:dyDescent="0.25">
      <c r="A494" t="s">
        <v>2395</v>
      </c>
    </row>
    <row r="495" spans="1:1" x14ac:dyDescent="0.25">
      <c r="A495" t="s">
        <v>1935</v>
      </c>
    </row>
    <row r="496" spans="1:1" x14ac:dyDescent="0.25">
      <c r="A496" t="s">
        <v>2394</v>
      </c>
    </row>
    <row r="497" spans="1:1" x14ac:dyDescent="0.25">
      <c r="A497" t="s">
        <v>1938</v>
      </c>
    </row>
    <row r="498" spans="1:1" x14ac:dyDescent="0.25">
      <c r="A498" t="s">
        <v>2395</v>
      </c>
    </row>
    <row r="499" spans="1:1" x14ac:dyDescent="0.25">
      <c r="A499" t="s">
        <v>1941</v>
      </c>
    </row>
    <row r="500" spans="1:1" x14ac:dyDescent="0.25">
      <c r="A500" t="s">
        <v>2394</v>
      </c>
    </row>
    <row r="501" spans="1:1" x14ac:dyDescent="0.25">
      <c r="A501" t="s">
        <v>1944</v>
      </c>
    </row>
    <row r="502" spans="1:1" x14ac:dyDescent="0.25">
      <c r="A502" t="s">
        <v>811</v>
      </c>
    </row>
    <row r="503" spans="1:1" x14ac:dyDescent="0.25">
      <c r="A503" t="s">
        <v>467</v>
      </c>
    </row>
    <row r="504" spans="1:1" x14ac:dyDescent="0.25">
      <c r="A504" t="s">
        <v>634</v>
      </c>
    </row>
    <row r="505" spans="1:1" x14ac:dyDescent="0.25">
      <c r="A505" t="s">
        <v>2071</v>
      </c>
    </row>
    <row r="506" spans="1:1" x14ac:dyDescent="0.25">
      <c r="A506" t="s">
        <v>879</v>
      </c>
    </row>
    <row r="507" spans="1:1" x14ac:dyDescent="0.25">
      <c r="A507" t="s">
        <v>2396</v>
      </c>
    </row>
    <row r="508" spans="1:1" x14ac:dyDescent="0.25">
      <c r="A508" t="s">
        <v>880</v>
      </c>
    </row>
    <row r="509" spans="1:1" x14ac:dyDescent="0.25">
      <c r="A509" t="s">
        <v>2397</v>
      </c>
    </row>
    <row r="510" spans="1:1" x14ac:dyDescent="0.25">
      <c r="A510" t="s">
        <v>1065</v>
      </c>
    </row>
    <row r="511" spans="1:1" x14ac:dyDescent="0.25">
      <c r="A511" t="s">
        <v>2396</v>
      </c>
    </row>
    <row r="512" spans="1:1" x14ac:dyDescent="0.25">
      <c r="A512" t="s">
        <v>1066</v>
      </c>
    </row>
    <row r="513" spans="1:1" x14ac:dyDescent="0.25">
      <c r="A513" t="s">
        <v>2397</v>
      </c>
    </row>
    <row r="514" spans="1:1" x14ac:dyDescent="0.25">
      <c r="A514" t="s">
        <v>1067</v>
      </c>
    </row>
    <row r="515" spans="1:1" x14ac:dyDescent="0.25">
      <c r="A515" t="s">
        <v>2396</v>
      </c>
    </row>
    <row r="516" spans="1:1" x14ac:dyDescent="0.25">
      <c r="A516" t="s">
        <v>1068</v>
      </c>
    </row>
    <row r="517" spans="1:1" x14ac:dyDescent="0.25">
      <c r="A517" t="s">
        <v>2397</v>
      </c>
    </row>
    <row r="518" spans="1:1" x14ac:dyDescent="0.25">
      <c r="A518" t="s">
        <v>1069</v>
      </c>
    </row>
    <row r="519" spans="1:1" x14ac:dyDescent="0.25">
      <c r="A519" t="s">
        <v>2396</v>
      </c>
    </row>
    <row r="520" spans="1:1" x14ac:dyDescent="0.25">
      <c r="A520" t="s">
        <v>1070</v>
      </c>
    </row>
    <row r="521" spans="1:1" x14ac:dyDescent="0.25">
      <c r="A521" t="s">
        <v>2397</v>
      </c>
    </row>
    <row r="522" spans="1:1" x14ac:dyDescent="0.25">
      <c r="A522" t="s">
        <v>1071</v>
      </c>
    </row>
    <row r="523" spans="1:1" x14ac:dyDescent="0.25">
      <c r="A523" t="s">
        <v>2396</v>
      </c>
    </row>
    <row r="524" spans="1:1" x14ac:dyDescent="0.25">
      <c r="A524" t="s">
        <v>1072</v>
      </c>
    </row>
    <row r="525" spans="1:1" x14ac:dyDescent="0.25">
      <c r="A525" t="s">
        <v>2397</v>
      </c>
    </row>
    <row r="526" spans="1:1" x14ac:dyDescent="0.25">
      <c r="A526" t="s">
        <v>1073</v>
      </c>
    </row>
    <row r="527" spans="1:1" x14ac:dyDescent="0.25">
      <c r="A527" t="s">
        <v>2396</v>
      </c>
    </row>
    <row r="528" spans="1:1" x14ac:dyDescent="0.25">
      <c r="A528" t="s">
        <v>1074</v>
      </c>
    </row>
    <row r="529" spans="1:1" x14ac:dyDescent="0.25">
      <c r="A529" t="s">
        <v>2397</v>
      </c>
    </row>
    <row r="530" spans="1:1" x14ac:dyDescent="0.25">
      <c r="A530" t="s">
        <v>1075</v>
      </c>
    </row>
    <row r="531" spans="1:1" x14ac:dyDescent="0.25">
      <c r="A531" t="s">
        <v>2396</v>
      </c>
    </row>
    <row r="532" spans="1:1" x14ac:dyDescent="0.25">
      <c r="A532" t="s">
        <v>1076</v>
      </c>
    </row>
    <row r="533" spans="1:1" x14ac:dyDescent="0.25">
      <c r="A533" t="s">
        <v>2397</v>
      </c>
    </row>
    <row r="534" spans="1:1" x14ac:dyDescent="0.25">
      <c r="A534" t="s">
        <v>1077</v>
      </c>
    </row>
    <row r="535" spans="1:1" x14ac:dyDescent="0.25">
      <c r="A535" t="s">
        <v>2396</v>
      </c>
    </row>
    <row r="536" spans="1:1" x14ac:dyDescent="0.25">
      <c r="A536" t="s">
        <v>1078</v>
      </c>
    </row>
    <row r="537" spans="1:1" x14ac:dyDescent="0.25">
      <c r="A537" t="s">
        <v>2397</v>
      </c>
    </row>
    <row r="538" spans="1:1" x14ac:dyDescent="0.25">
      <c r="A538" t="s">
        <v>1955</v>
      </c>
    </row>
    <row r="539" spans="1:1" x14ac:dyDescent="0.25">
      <c r="A539" t="s">
        <v>2396</v>
      </c>
    </row>
    <row r="540" spans="1:1" x14ac:dyDescent="0.25">
      <c r="A540" t="s">
        <v>1958</v>
      </c>
    </row>
    <row r="541" spans="1:1" x14ac:dyDescent="0.25">
      <c r="A541" t="s">
        <v>2397</v>
      </c>
    </row>
    <row r="542" spans="1:1" x14ac:dyDescent="0.25">
      <c r="A542" t="s">
        <v>1961</v>
      </c>
    </row>
    <row r="543" spans="1:1" x14ac:dyDescent="0.25">
      <c r="A543" t="s">
        <v>2396</v>
      </c>
    </row>
    <row r="544" spans="1:1" x14ac:dyDescent="0.25">
      <c r="A544" t="s">
        <v>1964</v>
      </c>
    </row>
    <row r="545" spans="1:1" x14ac:dyDescent="0.25">
      <c r="A545" t="s">
        <v>2397</v>
      </c>
    </row>
    <row r="546" spans="1:1" x14ac:dyDescent="0.25">
      <c r="A546" t="s">
        <v>845</v>
      </c>
    </row>
    <row r="547" spans="1:1" x14ac:dyDescent="0.25">
      <c r="A547" t="s">
        <v>816</v>
      </c>
    </row>
    <row r="548" spans="1:1" x14ac:dyDescent="0.25">
      <c r="A548" t="s">
        <v>2084</v>
      </c>
    </row>
    <row r="549" spans="1:1" x14ac:dyDescent="0.25">
      <c r="A549" t="s">
        <v>879</v>
      </c>
    </row>
    <row r="550" spans="1:1" x14ac:dyDescent="0.25">
      <c r="A550" t="s">
        <v>2396</v>
      </c>
    </row>
    <row r="551" spans="1:1" x14ac:dyDescent="0.25">
      <c r="A551" t="s">
        <v>880</v>
      </c>
    </row>
    <row r="552" spans="1:1" x14ac:dyDescent="0.25">
      <c r="A552" t="s">
        <v>2397</v>
      </c>
    </row>
    <row r="553" spans="1:1" x14ac:dyDescent="0.25">
      <c r="A553" t="s">
        <v>1065</v>
      </c>
    </row>
    <row r="554" spans="1:1" x14ac:dyDescent="0.25">
      <c r="A554" t="s">
        <v>2396</v>
      </c>
    </row>
    <row r="555" spans="1:1" x14ac:dyDescent="0.25">
      <c r="A555" t="s">
        <v>1066</v>
      </c>
    </row>
    <row r="556" spans="1:1" x14ac:dyDescent="0.25">
      <c r="A556" t="s">
        <v>2397</v>
      </c>
    </row>
    <row r="557" spans="1:1" x14ac:dyDescent="0.25">
      <c r="A557" t="s">
        <v>1067</v>
      </c>
    </row>
    <row r="558" spans="1:1" x14ac:dyDescent="0.25">
      <c r="A558" t="s">
        <v>2396</v>
      </c>
    </row>
    <row r="559" spans="1:1" x14ac:dyDescent="0.25">
      <c r="A559" t="s">
        <v>1068</v>
      </c>
    </row>
    <row r="560" spans="1:1" x14ac:dyDescent="0.25">
      <c r="A560" t="s">
        <v>2397</v>
      </c>
    </row>
    <row r="561" spans="1:1" x14ac:dyDescent="0.25">
      <c r="A561" t="s">
        <v>1069</v>
      </c>
    </row>
    <row r="562" spans="1:1" x14ac:dyDescent="0.25">
      <c r="A562" t="s">
        <v>2396</v>
      </c>
    </row>
    <row r="563" spans="1:1" x14ac:dyDescent="0.25">
      <c r="A563" t="s">
        <v>1070</v>
      </c>
    </row>
    <row r="564" spans="1:1" x14ac:dyDescent="0.25">
      <c r="A564" t="s">
        <v>2397</v>
      </c>
    </row>
    <row r="565" spans="1:1" x14ac:dyDescent="0.25">
      <c r="A565" t="s">
        <v>1071</v>
      </c>
    </row>
    <row r="566" spans="1:1" x14ac:dyDescent="0.25">
      <c r="A566" t="s">
        <v>2396</v>
      </c>
    </row>
    <row r="567" spans="1:1" x14ac:dyDescent="0.25">
      <c r="A567" t="s">
        <v>1072</v>
      </c>
    </row>
    <row r="568" spans="1:1" x14ac:dyDescent="0.25">
      <c r="A568" t="s">
        <v>2397</v>
      </c>
    </row>
    <row r="569" spans="1:1" x14ac:dyDescent="0.25">
      <c r="A569" t="s">
        <v>1073</v>
      </c>
    </row>
    <row r="570" spans="1:1" x14ac:dyDescent="0.25">
      <c r="A570" t="s">
        <v>2396</v>
      </c>
    </row>
    <row r="571" spans="1:1" x14ac:dyDescent="0.25">
      <c r="A571" t="s">
        <v>1074</v>
      </c>
    </row>
    <row r="572" spans="1:1" x14ac:dyDescent="0.25">
      <c r="A572" t="s">
        <v>2397</v>
      </c>
    </row>
    <row r="573" spans="1:1" x14ac:dyDescent="0.25">
      <c r="A573" t="s">
        <v>1075</v>
      </c>
    </row>
    <row r="574" spans="1:1" x14ac:dyDescent="0.25">
      <c r="A574" t="s">
        <v>2396</v>
      </c>
    </row>
    <row r="575" spans="1:1" x14ac:dyDescent="0.25">
      <c r="A575" t="s">
        <v>1076</v>
      </c>
    </row>
    <row r="576" spans="1:1" x14ac:dyDescent="0.25">
      <c r="A576" t="s">
        <v>2397</v>
      </c>
    </row>
    <row r="577" spans="1:1" x14ac:dyDescent="0.25">
      <c r="A577" t="s">
        <v>1077</v>
      </c>
    </row>
    <row r="578" spans="1:1" x14ac:dyDescent="0.25">
      <c r="A578" t="s">
        <v>2396</v>
      </c>
    </row>
    <row r="579" spans="1:1" x14ac:dyDescent="0.25">
      <c r="A579" t="s">
        <v>1078</v>
      </c>
    </row>
    <row r="580" spans="1:1" x14ac:dyDescent="0.25">
      <c r="A580" t="s">
        <v>2397</v>
      </c>
    </row>
    <row r="581" spans="1:1" x14ac:dyDescent="0.25">
      <c r="A581" t="s">
        <v>1955</v>
      </c>
    </row>
    <row r="582" spans="1:1" x14ac:dyDescent="0.25">
      <c r="A582" t="s">
        <v>2396</v>
      </c>
    </row>
    <row r="583" spans="1:1" x14ac:dyDescent="0.25">
      <c r="A583" t="s">
        <v>1958</v>
      </c>
    </row>
    <row r="584" spans="1:1" x14ac:dyDescent="0.25">
      <c r="A584" t="s">
        <v>2397</v>
      </c>
    </row>
    <row r="585" spans="1:1" x14ac:dyDescent="0.25">
      <c r="A585" t="s">
        <v>1961</v>
      </c>
    </row>
    <row r="586" spans="1:1" x14ac:dyDescent="0.25">
      <c r="A586" t="s">
        <v>2396</v>
      </c>
    </row>
    <row r="587" spans="1:1" x14ac:dyDescent="0.25">
      <c r="A587" t="s">
        <v>1964</v>
      </c>
    </row>
    <row r="588" spans="1:1" x14ac:dyDescent="0.25">
      <c r="A588" t="s">
        <v>2397</v>
      </c>
    </row>
    <row r="589" spans="1:1" x14ac:dyDescent="0.25">
      <c r="A589" t="s">
        <v>811</v>
      </c>
    </row>
    <row r="590" spans="1:1" x14ac:dyDescent="0.25">
      <c r="A590" t="s">
        <v>468</v>
      </c>
    </row>
    <row r="591" spans="1:1" x14ac:dyDescent="0.25">
      <c r="A591" t="s">
        <v>634</v>
      </c>
    </row>
    <row r="592" spans="1:1" x14ac:dyDescent="0.25">
      <c r="A592" t="s">
        <v>2400</v>
      </c>
    </row>
    <row r="593" spans="1:1" x14ac:dyDescent="0.25">
      <c r="A593" t="s">
        <v>2393</v>
      </c>
    </row>
    <row r="594" spans="1:1" x14ac:dyDescent="0.25">
      <c r="A594" t="s">
        <v>876</v>
      </c>
    </row>
    <row r="595" spans="1:1" x14ac:dyDescent="0.25">
      <c r="A595" t="s">
        <v>2394</v>
      </c>
    </row>
    <row r="596" spans="1:1" x14ac:dyDescent="0.25">
      <c r="A596" t="s">
        <v>877</v>
      </c>
    </row>
    <row r="597" spans="1:1" x14ac:dyDescent="0.25">
      <c r="A597" t="s">
        <v>2395</v>
      </c>
    </row>
    <row r="598" spans="1:1" x14ac:dyDescent="0.25">
      <c r="A598" t="s">
        <v>1024</v>
      </c>
    </row>
    <row r="599" spans="1:1" x14ac:dyDescent="0.25">
      <c r="A599" t="s">
        <v>2394</v>
      </c>
    </row>
    <row r="600" spans="1:1" x14ac:dyDescent="0.25">
      <c r="A600" t="s">
        <v>1025</v>
      </c>
    </row>
    <row r="601" spans="1:1" x14ac:dyDescent="0.25">
      <c r="A601" t="s">
        <v>2395</v>
      </c>
    </row>
    <row r="602" spans="1:1" x14ac:dyDescent="0.25">
      <c r="A602" t="s">
        <v>1026</v>
      </c>
    </row>
    <row r="603" spans="1:1" x14ac:dyDescent="0.25">
      <c r="A603" t="s">
        <v>2394</v>
      </c>
    </row>
    <row r="604" spans="1:1" x14ac:dyDescent="0.25">
      <c r="A604" t="s">
        <v>1027</v>
      </c>
    </row>
    <row r="605" spans="1:1" x14ac:dyDescent="0.25">
      <c r="A605" t="s">
        <v>2395</v>
      </c>
    </row>
    <row r="606" spans="1:1" x14ac:dyDescent="0.25">
      <c r="A606" t="s">
        <v>1028</v>
      </c>
    </row>
    <row r="607" spans="1:1" x14ac:dyDescent="0.25">
      <c r="A607" t="s">
        <v>2394</v>
      </c>
    </row>
    <row r="608" spans="1:1" x14ac:dyDescent="0.25">
      <c r="A608" t="s">
        <v>1029</v>
      </c>
    </row>
    <row r="609" spans="1:1" x14ac:dyDescent="0.25">
      <c r="A609" t="s">
        <v>2395</v>
      </c>
    </row>
    <row r="610" spans="1:1" x14ac:dyDescent="0.25">
      <c r="A610" t="s">
        <v>1030</v>
      </c>
    </row>
    <row r="611" spans="1:1" x14ac:dyDescent="0.25">
      <c r="A611" t="s">
        <v>2394</v>
      </c>
    </row>
    <row r="612" spans="1:1" x14ac:dyDescent="0.25">
      <c r="A612" t="s">
        <v>1031</v>
      </c>
    </row>
    <row r="613" spans="1:1" x14ac:dyDescent="0.25">
      <c r="A613" t="s">
        <v>2395</v>
      </c>
    </row>
    <row r="614" spans="1:1" x14ac:dyDescent="0.25">
      <c r="A614" t="s">
        <v>1032</v>
      </c>
    </row>
    <row r="615" spans="1:1" x14ac:dyDescent="0.25">
      <c r="A615" t="s">
        <v>2394</v>
      </c>
    </row>
    <row r="616" spans="1:1" x14ac:dyDescent="0.25">
      <c r="A616" t="s">
        <v>1033</v>
      </c>
    </row>
    <row r="617" spans="1:1" x14ac:dyDescent="0.25">
      <c r="A617" t="s">
        <v>2395</v>
      </c>
    </row>
    <row r="618" spans="1:1" x14ac:dyDescent="0.25">
      <c r="A618" t="s">
        <v>1034</v>
      </c>
    </row>
    <row r="619" spans="1:1" x14ac:dyDescent="0.25">
      <c r="A619" t="s">
        <v>2394</v>
      </c>
    </row>
    <row r="620" spans="1:1" x14ac:dyDescent="0.25">
      <c r="A620" t="s">
        <v>1035</v>
      </c>
    </row>
    <row r="621" spans="1:1" x14ac:dyDescent="0.25">
      <c r="A621" t="s">
        <v>2395</v>
      </c>
    </row>
    <row r="622" spans="1:1" x14ac:dyDescent="0.25">
      <c r="A622" t="s">
        <v>1036</v>
      </c>
    </row>
    <row r="623" spans="1:1" x14ac:dyDescent="0.25">
      <c r="A623" t="s">
        <v>2394</v>
      </c>
    </row>
    <row r="624" spans="1:1" x14ac:dyDescent="0.25">
      <c r="A624" t="s">
        <v>1037</v>
      </c>
    </row>
    <row r="625" spans="1:1" x14ac:dyDescent="0.25">
      <c r="A625" t="s">
        <v>2395</v>
      </c>
    </row>
    <row r="626" spans="1:1" x14ac:dyDescent="0.25">
      <c r="A626" t="s">
        <v>1935</v>
      </c>
    </row>
    <row r="627" spans="1:1" x14ac:dyDescent="0.25">
      <c r="A627" t="s">
        <v>2394</v>
      </c>
    </row>
    <row r="628" spans="1:1" x14ac:dyDescent="0.25">
      <c r="A628" t="s">
        <v>1938</v>
      </c>
    </row>
    <row r="629" spans="1:1" x14ac:dyDescent="0.25">
      <c r="A629" t="s">
        <v>2395</v>
      </c>
    </row>
    <row r="630" spans="1:1" x14ac:dyDescent="0.25">
      <c r="A630" t="s">
        <v>1941</v>
      </c>
    </row>
    <row r="631" spans="1:1" x14ac:dyDescent="0.25">
      <c r="A631" t="s">
        <v>2394</v>
      </c>
    </row>
    <row r="632" spans="1:1" x14ac:dyDescent="0.25">
      <c r="A632" t="s">
        <v>1944</v>
      </c>
    </row>
    <row r="633" spans="1:1" x14ac:dyDescent="0.25">
      <c r="A633" t="s">
        <v>845</v>
      </c>
    </row>
    <row r="634" spans="1:1" x14ac:dyDescent="0.25">
      <c r="A634" t="s">
        <v>834</v>
      </c>
    </row>
    <row r="635" spans="1:1" x14ac:dyDescent="0.25">
      <c r="A635" t="s">
        <v>2109</v>
      </c>
    </row>
    <row r="636" spans="1:1" x14ac:dyDescent="0.25">
      <c r="A636" t="s">
        <v>2393</v>
      </c>
    </row>
    <row r="637" spans="1:1" x14ac:dyDescent="0.25">
      <c r="A637" t="s">
        <v>876</v>
      </c>
    </row>
    <row r="638" spans="1:1" x14ac:dyDescent="0.25">
      <c r="A638" t="s">
        <v>2394</v>
      </c>
    </row>
    <row r="639" spans="1:1" x14ac:dyDescent="0.25">
      <c r="A639" t="s">
        <v>877</v>
      </c>
    </row>
    <row r="640" spans="1:1" x14ac:dyDescent="0.25">
      <c r="A640" t="s">
        <v>2395</v>
      </c>
    </row>
    <row r="641" spans="1:1" x14ac:dyDescent="0.25">
      <c r="A641" t="s">
        <v>1024</v>
      </c>
    </row>
    <row r="642" spans="1:1" x14ac:dyDescent="0.25">
      <c r="A642" t="s">
        <v>2394</v>
      </c>
    </row>
    <row r="643" spans="1:1" x14ac:dyDescent="0.25">
      <c r="A643" t="s">
        <v>1025</v>
      </c>
    </row>
    <row r="644" spans="1:1" x14ac:dyDescent="0.25">
      <c r="A644" t="s">
        <v>2395</v>
      </c>
    </row>
    <row r="645" spans="1:1" x14ac:dyDescent="0.25">
      <c r="A645" t="s">
        <v>1026</v>
      </c>
    </row>
    <row r="646" spans="1:1" x14ac:dyDescent="0.25">
      <c r="A646" t="s">
        <v>2394</v>
      </c>
    </row>
    <row r="647" spans="1:1" x14ac:dyDescent="0.25">
      <c r="A647" t="s">
        <v>1027</v>
      </c>
    </row>
    <row r="648" spans="1:1" x14ac:dyDescent="0.25">
      <c r="A648" t="s">
        <v>2395</v>
      </c>
    </row>
    <row r="649" spans="1:1" x14ac:dyDescent="0.25">
      <c r="A649" t="s">
        <v>1028</v>
      </c>
    </row>
    <row r="650" spans="1:1" x14ac:dyDescent="0.25">
      <c r="A650" t="s">
        <v>2394</v>
      </c>
    </row>
    <row r="651" spans="1:1" x14ac:dyDescent="0.25">
      <c r="A651" t="s">
        <v>1029</v>
      </c>
    </row>
    <row r="652" spans="1:1" x14ac:dyDescent="0.25">
      <c r="A652" t="s">
        <v>2395</v>
      </c>
    </row>
    <row r="653" spans="1:1" x14ac:dyDescent="0.25">
      <c r="A653" t="s">
        <v>1030</v>
      </c>
    </row>
    <row r="654" spans="1:1" x14ac:dyDescent="0.25">
      <c r="A654" t="s">
        <v>2394</v>
      </c>
    </row>
    <row r="655" spans="1:1" x14ac:dyDescent="0.25">
      <c r="A655" t="s">
        <v>1031</v>
      </c>
    </row>
    <row r="656" spans="1:1" x14ac:dyDescent="0.25">
      <c r="A656" t="s">
        <v>2395</v>
      </c>
    </row>
    <row r="657" spans="1:1" x14ac:dyDescent="0.25">
      <c r="A657" t="s">
        <v>1032</v>
      </c>
    </row>
    <row r="658" spans="1:1" x14ac:dyDescent="0.25">
      <c r="A658" t="s">
        <v>2394</v>
      </c>
    </row>
    <row r="659" spans="1:1" x14ac:dyDescent="0.25">
      <c r="A659" t="s">
        <v>1033</v>
      </c>
    </row>
    <row r="660" spans="1:1" x14ac:dyDescent="0.25">
      <c r="A660" t="s">
        <v>2395</v>
      </c>
    </row>
    <row r="661" spans="1:1" x14ac:dyDescent="0.25">
      <c r="A661" t="s">
        <v>1034</v>
      </c>
    </row>
    <row r="662" spans="1:1" x14ac:dyDescent="0.25">
      <c r="A662" t="s">
        <v>2394</v>
      </c>
    </row>
    <row r="663" spans="1:1" x14ac:dyDescent="0.25">
      <c r="A663" t="s">
        <v>1035</v>
      </c>
    </row>
    <row r="664" spans="1:1" x14ac:dyDescent="0.25">
      <c r="A664" t="s">
        <v>2395</v>
      </c>
    </row>
    <row r="665" spans="1:1" x14ac:dyDescent="0.25">
      <c r="A665" t="s">
        <v>1036</v>
      </c>
    </row>
    <row r="666" spans="1:1" x14ac:dyDescent="0.25">
      <c r="A666" t="s">
        <v>2394</v>
      </c>
    </row>
    <row r="667" spans="1:1" x14ac:dyDescent="0.25">
      <c r="A667" t="s">
        <v>1037</v>
      </c>
    </row>
    <row r="668" spans="1:1" x14ac:dyDescent="0.25">
      <c r="A668" t="s">
        <v>2395</v>
      </c>
    </row>
    <row r="669" spans="1:1" x14ac:dyDescent="0.25">
      <c r="A669" t="s">
        <v>1935</v>
      </c>
    </row>
    <row r="670" spans="1:1" x14ac:dyDescent="0.25">
      <c r="A670" t="s">
        <v>2394</v>
      </c>
    </row>
    <row r="671" spans="1:1" x14ac:dyDescent="0.25">
      <c r="A671" t="s">
        <v>1938</v>
      </c>
    </row>
    <row r="672" spans="1:1" x14ac:dyDescent="0.25">
      <c r="A672" t="s">
        <v>2395</v>
      </c>
    </row>
    <row r="673" spans="1:1" x14ac:dyDescent="0.25">
      <c r="A673" t="s">
        <v>1941</v>
      </c>
    </row>
    <row r="674" spans="1:1" x14ac:dyDescent="0.25">
      <c r="A674" t="s">
        <v>2394</v>
      </c>
    </row>
    <row r="675" spans="1:1" x14ac:dyDescent="0.25">
      <c r="A675" t="s">
        <v>1944</v>
      </c>
    </row>
    <row r="676" spans="1:1" x14ac:dyDescent="0.25">
      <c r="A676" t="s">
        <v>811</v>
      </c>
    </row>
    <row r="677" spans="1:1" x14ac:dyDescent="0.25">
      <c r="A677" t="s">
        <v>467</v>
      </c>
    </row>
    <row r="678" spans="1:1" x14ac:dyDescent="0.25">
      <c r="A678" t="s">
        <v>634</v>
      </c>
    </row>
    <row r="679" spans="1:1" x14ac:dyDescent="0.25">
      <c r="A679" t="s">
        <v>2122</v>
      </c>
    </row>
    <row r="680" spans="1:1" x14ac:dyDescent="0.25">
      <c r="A680" t="s">
        <v>879</v>
      </c>
    </row>
    <row r="681" spans="1:1" x14ac:dyDescent="0.25">
      <c r="A681" t="s">
        <v>2396</v>
      </c>
    </row>
    <row r="682" spans="1:1" x14ac:dyDescent="0.25">
      <c r="A682" t="s">
        <v>880</v>
      </c>
    </row>
    <row r="683" spans="1:1" x14ac:dyDescent="0.25">
      <c r="A683" t="s">
        <v>2397</v>
      </c>
    </row>
    <row r="684" spans="1:1" x14ac:dyDescent="0.25">
      <c r="A684" t="s">
        <v>1065</v>
      </c>
    </row>
    <row r="685" spans="1:1" x14ac:dyDescent="0.25">
      <c r="A685" t="s">
        <v>2396</v>
      </c>
    </row>
    <row r="686" spans="1:1" x14ac:dyDescent="0.25">
      <c r="A686" t="s">
        <v>1066</v>
      </c>
    </row>
    <row r="687" spans="1:1" x14ac:dyDescent="0.25">
      <c r="A687" t="s">
        <v>2397</v>
      </c>
    </row>
    <row r="688" spans="1:1" x14ac:dyDescent="0.25">
      <c r="A688" t="s">
        <v>1067</v>
      </c>
    </row>
    <row r="689" spans="1:1" x14ac:dyDescent="0.25">
      <c r="A689" t="s">
        <v>2396</v>
      </c>
    </row>
    <row r="690" spans="1:1" x14ac:dyDescent="0.25">
      <c r="A690" t="s">
        <v>1068</v>
      </c>
    </row>
    <row r="691" spans="1:1" x14ac:dyDescent="0.25">
      <c r="A691" t="s">
        <v>2397</v>
      </c>
    </row>
    <row r="692" spans="1:1" x14ac:dyDescent="0.25">
      <c r="A692" t="s">
        <v>1069</v>
      </c>
    </row>
    <row r="693" spans="1:1" x14ac:dyDescent="0.25">
      <c r="A693" t="s">
        <v>2396</v>
      </c>
    </row>
    <row r="694" spans="1:1" x14ac:dyDescent="0.25">
      <c r="A694" t="s">
        <v>1070</v>
      </c>
    </row>
    <row r="695" spans="1:1" x14ac:dyDescent="0.25">
      <c r="A695" t="s">
        <v>2397</v>
      </c>
    </row>
    <row r="696" spans="1:1" x14ac:dyDescent="0.25">
      <c r="A696" t="s">
        <v>1071</v>
      </c>
    </row>
    <row r="697" spans="1:1" x14ac:dyDescent="0.25">
      <c r="A697" t="s">
        <v>2396</v>
      </c>
    </row>
    <row r="698" spans="1:1" x14ac:dyDescent="0.25">
      <c r="A698" t="s">
        <v>1072</v>
      </c>
    </row>
    <row r="699" spans="1:1" x14ac:dyDescent="0.25">
      <c r="A699" t="s">
        <v>2397</v>
      </c>
    </row>
    <row r="700" spans="1:1" x14ac:dyDescent="0.25">
      <c r="A700" t="s">
        <v>1073</v>
      </c>
    </row>
    <row r="701" spans="1:1" x14ac:dyDescent="0.25">
      <c r="A701" t="s">
        <v>2396</v>
      </c>
    </row>
    <row r="702" spans="1:1" x14ac:dyDescent="0.25">
      <c r="A702" t="s">
        <v>1074</v>
      </c>
    </row>
    <row r="703" spans="1:1" x14ac:dyDescent="0.25">
      <c r="A703" t="s">
        <v>2397</v>
      </c>
    </row>
    <row r="704" spans="1:1" x14ac:dyDescent="0.25">
      <c r="A704" t="s">
        <v>1075</v>
      </c>
    </row>
    <row r="705" spans="1:1" x14ac:dyDescent="0.25">
      <c r="A705" t="s">
        <v>2396</v>
      </c>
    </row>
    <row r="706" spans="1:1" x14ac:dyDescent="0.25">
      <c r="A706" t="s">
        <v>1076</v>
      </c>
    </row>
    <row r="707" spans="1:1" x14ac:dyDescent="0.25">
      <c r="A707" t="s">
        <v>2397</v>
      </c>
    </row>
    <row r="708" spans="1:1" x14ac:dyDescent="0.25">
      <c r="A708" t="s">
        <v>1077</v>
      </c>
    </row>
    <row r="709" spans="1:1" x14ac:dyDescent="0.25">
      <c r="A709" t="s">
        <v>2396</v>
      </c>
    </row>
    <row r="710" spans="1:1" x14ac:dyDescent="0.25">
      <c r="A710" t="s">
        <v>1078</v>
      </c>
    </row>
    <row r="711" spans="1:1" x14ac:dyDescent="0.25">
      <c r="A711" t="s">
        <v>2397</v>
      </c>
    </row>
    <row r="712" spans="1:1" x14ac:dyDescent="0.25">
      <c r="A712" t="s">
        <v>1955</v>
      </c>
    </row>
    <row r="713" spans="1:1" x14ac:dyDescent="0.25">
      <c r="A713" t="s">
        <v>2396</v>
      </c>
    </row>
    <row r="714" spans="1:1" x14ac:dyDescent="0.25">
      <c r="A714" t="s">
        <v>1958</v>
      </c>
    </row>
    <row r="715" spans="1:1" x14ac:dyDescent="0.25">
      <c r="A715" t="s">
        <v>2397</v>
      </c>
    </row>
    <row r="716" spans="1:1" x14ac:dyDescent="0.25">
      <c r="A716" t="s">
        <v>1961</v>
      </c>
    </row>
    <row r="717" spans="1:1" x14ac:dyDescent="0.25">
      <c r="A717" t="s">
        <v>2396</v>
      </c>
    </row>
    <row r="718" spans="1:1" x14ac:dyDescent="0.25">
      <c r="A718" t="s">
        <v>1964</v>
      </c>
    </row>
    <row r="719" spans="1:1" x14ac:dyDescent="0.25">
      <c r="A719" t="s">
        <v>2397</v>
      </c>
    </row>
    <row r="720" spans="1:1" x14ac:dyDescent="0.25">
      <c r="A720" t="s">
        <v>845</v>
      </c>
    </row>
    <row r="721" spans="1:1" x14ac:dyDescent="0.25">
      <c r="A721" t="s">
        <v>725</v>
      </c>
    </row>
    <row r="722" spans="1:1" x14ac:dyDescent="0.25">
      <c r="A722" t="s">
        <v>2135</v>
      </c>
    </row>
    <row r="723" spans="1:1" x14ac:dyDescent="0.25">
      <c r="A723" t="s">
        <v>879</v>
      </c>
    </row>
    <row r="724" spans="1:1" x14ac:dyDescent="0.25">
      <c r="A724" t="s">
        <v>2396</v>
      </c>
    </row>
    <row r="725" spans="1:1" x14ac:dyDescent="0.25">
      <c r="A725" t="s">
        <v>880</v>
      </c>
    </row>
    <row r="726" spans="1:1" x14ac:dyDescent="0.25">
      <c r="A726" t="s">
        <v>2397</v>
      </c>
    </row>
    <row r="727" spans="1:1" x14ac:dyDescent="0.25">
      <c r="A727" t="s">
        <v>1065</v>
      </c>
    </row>
    <row r="728" spans="1:1" x14ac:dyDescent="0.25">
      <c r="A728" t="s">
        <v>2396</v>
      </c>
    </row>
    <row r="729" spans="1:1" x14ac:dyDescent="0.25">
      <c r="A729" t="s">
        <v>1066</v>
      </c>
    </row>
    <row r="730" spans="1:1" x14ac:dyDescent="0.25">
      <c r="A730" t="s">
        <v>2397</v>
      </c>
    </row>
    <row r="731" spans="1:1" x14ac:dyDescent="0.25">
      <c r="A731" t="s">
        <v>1067</v>
      </c>
    </row>
    <row r="732" spans="1:1" x14ac:dyDescent="0.25">
      <c r="A732" t="s">
        <v>2396</v>
      </c>
    </row>
    <row r="733" spans="1:1" x14ac:dyDescent="0.25">
      <c r="A733" t="s">
        <v>1068</v>
      </c>
    </row>
    <row r="734" spans="1:1" x14ac:dyDescent="0.25">
      <c r="A734" t="s">
        <v>2397</v>
      </c>
    </row>
    <row r="735" spans="1:1" x14ac:dyDescent="0.25">
      <c r="A735" t="s">
        <v>1069</v>
      </c>
    </row>
    <row r="736" spans="1:1" x14ac:dyDescent="0.25">
      <c r="A736" t="s">
        <v>2396</v>
      </c>
    </row>
    <row r="737" spans="1:1" x14ac:dyDescent="0.25">
      <c r="A737" t="s">
        <v>1070</v>
      </c>
    </row>
    <row r="738" spans="1:1" x14ac:dyDescent="0.25">
      <c r="A738" t="s">
        <v>2397</v>
      </c>
    </row>
    <row r="739" spans="1:1" x14ac:dyDescent="0.25">
      <c r="A739" t="s">
        <v>1071</v>
      </c>
    </row>
    <row r="740" spans="1:1" x14ac:dyDescent="0.25">
      <c r="A740" t="s">
        <v>2396</v>
      </c>
    </row>
    <row r="741" spans="1:1" x14ac:dyDescent="0.25">
      <c r="A741" t="s">
        <v>1072</v>
      </c>
    </row>
    <row r="742" spans="1:1" x14ac:dyDescent="0.25">
      <c r="A742" t="s">
        <v>2397</v>
      </c>
    </row>
    <row r="743" spans="1:1" x14ac:dyDescent="0.25">
      <c r="A743" t="s">
        <v>1073</v>
      </c>
    </row>
    <row r="744" spans="1:1" x14ac:dyDescent="0.25">
      <c r="A744" t="s">
        <v>2396</v>
      </c>
    </row>
    <row r="745" spans="1:1" x14ac:dyDescent="0.25">
      <c r="A745" t="s">
        <v>1074</v>
      </c>
    </row>
    <row r="746" spans="1:1" x14ac:dyDescent="0.25">
      <c r="A746" t="s">
        <v>2397</v>
      </c>
    </row>
    <row r="747" spans="1:1" x14ac:dyDescent="0.25">
      <c r="A747" t="s">
        <v>1075</v>
      </c>
    </row>
    <row r="748" spans="1:1" x14ac:dyDescent="0.25">
      <c r="A748" t="s">
        <v>2396</v>
      </c>
    </row>
    <row r="749" spans="1:1" x14ac:dyDescent="0.25">
      <c r="A749" t="s">
        <v>1076</v>
      </c>
    </row>
    <row r="750" spans="1:1" x14ac:dyDescent="0.25">
      <c r="A750" t="s">
        <v>2397</v>
      </c>
    </row>
    <row r="751" spans="1:1" x14ac:dyDescent="0.25">
      <c r="A751" t="s">
        <v>1077</v>
      </c>
    </row>
    <row r="752" spans="1:1" x14ac:dyDescent="0.25">
      <c r="A752" t="s">
        <v>2396</v>
      </c>
    </row>
    <row r="753" spans="1:1" x14ac:dyDescent="0.25">
      <c r="A753" t="s">
        <v>1078</v>
      </c>
    </row>
    <row r="754" spans="1:1" x14ac:dyDescent="0.25">
      <c r="A754" t="s">
        <v>2397</v>
      </c>
    </row>
    <row r="755" spans="1:1" x14ac:dyDescent="0.25">
      <c r="A755" t="s">
        <v>1955</v>
      </c>
    </row>
    <row r="756" spans="1:1" x14ac:dyDescent="0.25">
      <c r="A756" t="s">
        <v>2396</v>
      </c>
    </row>
    <row r="757" spans="1:1" x14ac:dyDescent="0.25">
      <c r="A757" t="s">
        <v>1958</v>
      </c>
    </row>
    <row r="758" spans="1:1" x14ac:dyDescent="0.25">
      <c r="A758" t="s">
        <v>2397</v>
      </c>
    </row>
    <row r="759" spans="1:1" x14ac:dyDescent="0.25">
      <c r="A759" t="s">
        <v>1961</v>
      </c>
    </row>
    <row r="760" spans="1:1" x14ac:dyDescent="0.25">
      <c r="A760" t="s">
        <v>2396</v>
      </c>
    </row>
    <row r="761" spans="1:1" x14ac:dyDescent="0.25">
      <c r="A761" t="s">
        <v>1964</v>
      </c>
    </row>
    <row r="762" spans="1:1" x14ac:dyDescent="0.25">
      <c r="A762" t="s">
        <v>2397</v>
      </c>
    </row>
    <row r="763" spans="1:1" x14ac:dyDescent="0.25">
      <c r="A763" t="s">
        <v>811</v>
      </c>
    </row>
    <row r="764" spans="1:1" x14ac:dyDescent="0.25">
      <c r="A764" t="s">
        <v>468</v>
      </c>
    </row>
    <row r="765" spans="1:1" x14ac:dyDescent="0.25">
      <c r="A765" t="s">
        <v>634</v>
      </c>
    </row>
    <row r="766" spans="1:1" x14ac:dyDescent="0.25">
      <c r="A766" t="s">
        <v>2401</v>
      </c>
    </row>
    <row r="767" spans="1:1" x14ac:dyDescent="0.25">
      <c r="A767" t="s">
        <v>2393</v>
      </c>
    </row>
    <row r="768" spans="1:1" x14ac:dyDescent="0.25">
      <c r="A768" t="s">
        <v>876</v>
      </c>
    </row>
    <row r="769" spans="1:1" x14ac:dyDescent="0.25">
      <c r="A769" t="s">
        <v>2394</v>
      </c>
    </row>
    <row r="770" spans="1:1" x14ac:dyDescent="0.25">
      <c r="A770" t="s">
        <v>877</v>
      </c>
    </row>
    <row r="771" spans="1:1" x14ac:dyDescent="0.25">
      <c r="A771" t="s">
        <v>2395</v>
      </c>
    </row>
    <row r="772" spans="1:1" x14ac:dyDescent="0.25">
      <c r="A772" t="s">
        <v>1024</v>
      </c>
    </row>
    <row r="773" spans="1:1" x14ac:dyDescent="0.25">
      <c r="A773" t="s">
        <v>2394</v>
      </c>
    </row>
    <row r="774" spans="1:1" x14ac:dyDescent="0.25">
      <c r="A774" t="s">
        <v>1025</v>
      </c>
    </row>
    <row r="775" spans="1:1" x14ac:dyDescent="0.25">
      <c r="A775" t="s">
        <v>2395</v>
      </c>
    </row>
    <row r="776" spans="1:1" x14ac:dyDescent="0.25">
      <c r="A776" t="s">
        <v>1026</v>
      </c>
    </row>
    <row r="777" spans="1:1" x14ac:dyDescent="0.25">
      <c r="A777" t="s">
        <v>2394</v>
      </c>
    </row>
    <row r="778" spans="1:1" x14ac:dyDescent="0.25">
      <c r="A778" t="s">
        <v>1027</v>
      </c>
    </row>
    <row r="779" spans="1:1" x14ac:dyDescent="0.25">
      <c r="A779" t="s">
        <v>2395</v>
      </c>
    </row>
    <row r="780" spans="1:1" x14ac:dyDescent="0.25">
      <c r="A780" t="s">
        <v>1028</v>
      </c>
    </row>
    <row r="781" spans="1:1" x14ac:dyDescent="0.25">
      <c r="A781" t="s">
        <v>2394</v>
      </c>
    </row>
    <row r="782" spans="1:1" x14ac:dyDescent="0.25">
      <c r="A782" t="s">
        <v>1029</v>
      </c>
    </row>
    <row r="783" spans="1:1" x14ac:dyDescent="0.25">
      <c r="A783" t="s">
        <v>2395</v>
      </c>
    </row>
    <row r="784" spans="1:1" x14ac:dyDescent="0.25">
      <c r="A784" t="s">
        <v>1030</v>
      </c>
    </row>
    <row r="785" spans="1:1" x14ac:dyDescent="0.25">
      <c r="A785" t="s">
        <v>2394</v>
      </c>
    </row>
    <row r="786" spans="1:1" x14ac:dyDescent="0.25">
      <c r="A786" t="s">
        <v>1031</v>
      </c>
    </row>
    <row r="787" spans="1:1" x14ac:dyDescent="0.25">
      <c r="A787" t="s">
        <v>2395</v>
      </c>
    </row>
    <row r="788" spans="1:1" x14ac:dyDescent="0.25">
      <c r="A788" t="s">
        <v>1032</v>
      </c>
    </row>
    <row r="789" spans="1:1" x14ac:dyDescent="0.25">
      <c r="A789" t="s">
        <v>2394</v>
      </c>
    </row>
    <row r="790" spans="1:1" x14ac:dyDescent="0.25">
      <c r="A790" t="s">
        <v>1033</v>
      </c>
    </row>
    <row r="791" spans="1:1" x14ac:dyDescent="0.25">
      <c r="A791" t="s">
        <v>2395</v>
      </c>
    </row>
    <row r="792" spans="1:1" x14ac:dyDescent="0.25">
      <c r="A792" t="s">
        <v>1034</v>
      </c>
    </row>
    <row r="793" spans="1:1" x14ac:dyDescent="0.25">
      <c r="A793" t="s">
        <v>2394</v>
      </c>
    </row>
    <row r="794" spans="1:1" x14ac:dyDescent="0.25">
      <c r="A794" t="s">
        <v>1035</v>
      </c>
    </row>
    <row r="795" spans="1:1" x14ac:dyDescent="0.25">
      <c r="A795" t="s">
        <v>2395</v>
      </c>
    </row>
    <row r="796" spans="1:1" x14ac:dyDescent="0.25">
      <c r="A796" t="s">
        <v>1036</v>
      </c>
    </row>
    <row r="797" spans="1:1" x14ac:dyDescent="0.25">
      <c r="A797" t="s">
        <v>2394</v>
      </c>
    </row>
    <row r="798" spans="1:1" x14ac:dyDescent="0.25">
      <c r="A798" t="s">
        <v>1037</v>
      </c>
    </row>
    <row r="799" spans="1:1" x14ac:dyDescent="0.25">
      <c r="A799" t="s">
        <v>2395</v>
      </c>
    </row>
    <row r="800" spans="1:1" x14ac:dyDescent="0.25">
      <c r="A800" t="s">
        <v>1935</v>
      </c>
    </row>
    <row r="801" spans="1:1" x14ac:dyDescent="0.25">
      <c r="A801" t="s">
        <v>2394</v>
      </c>
    </row>
    <row r="802" spans="1:1" x14ac:dyDescent="0.25">
      <c r="A802" t="s">
        <v>1938</v>
      </c>
    </row>
    <row r="803" spans="1:1" x14ac:dyDescent="0.25">
      <c r="A803" t="s">
        <v>2395</v>
      </c>
    </row>
    <row r="804" spans="1:1" x14ac:dyDescent="0.25">
      <c r="A804" t="s">
        <v>1941</v>
      </c>
    </row>
    <row r="805" spans="1:1" x14ac:dyDescent="0.25">
      <c r="A805" t="s">
        <v>2394</v>
      </c>
    </row>
    <row r="806" spans="1:1" x14ac:dyDescent="0.25">
      <c r="A806" t="s">
        <v>1944</v>
      </c>
    </row>
    <row r="807" spans="1:1" x14ac:dyDescent="0.25">
      <c r="A807" t="s">
        <v>845</v>
      </c>
    </row>
    <row r="808" spans="1:1" x14ac:dyDescent="0.25">
      <c r="A808" t="s">
        <v>835</v>
      </c>
    </row>
    <row r="809" spans="1:1" x14ac:dyDescent="0.25">
      <c r="A809" t="s">
        <v>2160</v>
      </c>
    </row>
    <row r="810" spans="1:1" x14ac:dyDescent="0.25">
      <c r="A810" t="s">
        <v>2393</v>
      </c>
    </row>
    <row r="811" spans="1:1" x14ac:dyDescent="0.25">
      <c r="A811" t="s">
        <v>876</v>
      </c>
    </row>
    <row r="812" spans="1:1" x14ac:dyDescent="0.25">
      <c r="A812" t="s">
        <v>2394</v>
      </c>
    </row>
    <row r="813" spans="1:1" x14ac:dyDescent="0.25">
      <c r="A813" t="s">
        <v>877</v>
      </c>
    </row>
    <row r="814" spans="1:1" x14ac:dyDescent="0.25">
      <c r="A814" t="s">
        <v>2395</v>
      </c>
    </row>
    <row r="815" spans="1:1" x14ac:dyDescent="0.25">
      <c r="A815" t="s">
        <v>1024</v>
      </c>
    </row>
    <row r="816" spans="1:1" x14ac:dyDescent="0.25">
      <c r="A816" t="s">
        <v>2394</v>
      </c>
    </row>
    <row r="817" spans="1:1" x14ac:dyDescent="0.25">
      <c r="A817" t="s">
        <v>1025</v>
      </c>
    </row>
    <row r="818" spans="1:1" x14ac:dyDescent="0.25">
      <c r="A818" t="s">
        <v>2395</v>
      </c>
    </row>
    <row r="819" spans="1:1" x14ac:dyDescent="0.25">
      <c r="A819" t="s">
        <v>1026</v>
      </c>
    </row>
    <row r="820" spans="1:1" x14ac:dyDescent="0.25">
      <c r="A820" t="s">
        <v>2394</v>
      </c>
    </row>
    <row r="821" spans="1:1" x14ac:dyDescent="0.25">
      <c r="A821" t="s">
        <v>1027</v>
      </c>
    </row>
    <row r="822" spans="1:1" x14ac:dyDescent="0.25">
      <c r="A822" t="s">
        <v>2395</v>
      </c>
    </row>
    <row r="823" spans="1:1" x14ac:dyDescent="0.25">
      <c r="A823" t="s">
        <v>1028</v>
      </c>
    </row>
    <row r="824" spans="1:1" x14ac:dyDescent="0.25">
      <c r="A824" t="s">
        <v>2394</v>
      </c>
    </row>
    <row r="825" spans="1:1" x14ac:dyDescent="0.25">
      <c r="A825" t="s">
        <v>1029</v>
      </c>
    </row>
    <row r="826" spans="1:1" x14ac:dyDescent="0.25">
      <c r="A826" t="s">
        <v>2395</v>
      </c>
    </row>
    <row r="827" spans="1:1" x14ac:dyDescent="0.25">
      <c r="A827" t="s">
        <v>1030</v>
      </c>
    </row>
    <row r="828" spans="1:1" x14ac:dyDescent="0.25">
      <c r="A828" t="s">
        <v>2394</v>
      </c>
    </row>
    <row r="829" spans="1:1" x14ac:dyDescent="0.25">
      <c r="A829" t="s">
        <v>1031</v>
      </c>
    </row>
    <row r="830" spans="1:1" x14ac:dyDescent="0.25">
      <c r="A830" t="s">
        <v>2395</v>
      </c>
    </row>
    <row r="831" spans="1:1" x14ac:dyDescent="0.25">
      <c r="A831" t="s">
        <v>1032</v>
      </c>
    </row>
    <row r="832" spans="1:1" x14ac:dyDescent="0.25">
      <c r="A832" t="s">
        <v>2394</v>
      </c>
    </row>
    <row r="833" spans="1:1" x14ac:dyDescent="0.25">
      <c r="A833" t="s">
        <v>1033</v>
      </c>
    </row>
    <row r="834" spans="1:1" x14ac:dyDescent="0.25">
      <c r="A834" t="s">
        <v>2395</v>
      </c>
    </row>
    <row r="835" spans="1:1" x14ac:dyDescent="0.25">
      <c r="A835" t="s">
        <v>1034</v>
      </c>
    </row>
    <row r="836" spans="1:1" x14ac:dyDescent="0.25">
      <c r="A836" t="s">
        <v>2394</v>
      </c>
    </row>
    <row r="837" spans="1:1" x14ac:dyDescent="0.25">
      <c r="A837" t="s">
        <v>1035</v>
      </c>
    </row>
    <row r="838" spans="1:1" x14ac:dyDescent="0.25">
      <c r="A838" t="s">
        <v>2395</v>
      </c>
    </row>
    <row r="839" spans="1:1" x14ac:dyDescent="0.25">
      <c r="A839" t="s">
        <v>1036</v>
      </c>
    </row>
    <row r="840" spans="1:1" x14ac:dyDescent="0.25">
      <c r="A840" t="s">
        <v>2394</v>
      </c>
    </row>
    <row r="841" spans="1:1" x14ac:dyDescent="0.25">
      <c r="A841" t="s">
        <v>1037</v>
      </c>
    </row>
    <row r="842" spans="1:1" x14ac:dyDescent="0.25">
      <c r="A842" t="s">
        <v>2395</v>
      </c>
    </row>
    <row r="843" spans="1:1" x14ac:dyDescent="0.25">
      <c r="A843" t="s">
        <v>1935</v>
      </c>
    </row>
    <row r="844" spans="1:1" x14ac:dyDescent="0.25">
      <c r="A844" t="s">
        <v>2394</v>
      </c>
    </row>
    <row r="845" spans="1:1" x14ac:dyDescent="0.25">
      <c r="A845" t="s">
        <v>1938</v>
      </c>
    </row>
    <row r="846" spans="1:1" x14ac:dyDescent="0.25">
      <c r="A846" t="s">
        <v>2395</v>
      </c>
    </row>
    <row r="847" spans="1:1" x14ac:dyDescent="0.25">
      <c r="A847" t="s">
        <v>1941</v>
      </c>
    </row>
    <row r="848" spans="1:1" x14ac:dyDescent="0.25">
      <c r="A848" t="s">
        <v>2394</v>
      </c>
    </row>
    <row r="849" spans="1:1" x14ac:dyDescent="0.25">
      <c r="A849" t="s">
        <v>1944</v>
      </c>
    </row>
    <row r="850" spans="1:1" x14ac:dyDescent="0.25">
      <c r="A850" t="s">
        <v>811</v>
      </c>
    </row>
    <row r="851" spans="1:1" x14ac:dyDescent="0.25">
      <c r="A851" t="s">
        <v>467</v>
      </c>
    </row>
    <row r="852" spans="1:1" x14ac:dyDescent="0.25">
      <c r="A852" t="s">
        <v>634</v>
      </c>
    </row>
    <row r="853" spans="1:1" x14ac:dyDescent="0.25">
      <c r="A853" t="s">
        <v>2173</v>
      </c>
    </row>
    <row r="854" spans="1:1" x14ac:dyDescent="0.25">
      <c r="A854" t="s">
        <v>879</v>
      </c>
    </row>
    <row r="855" spans="1:1" x14ac:dyDescent="0.25">
      <c r="A855" t="s">
        <v>2396</v>
      </c>
    </row>
    <row r="856" spans="1:1" x14ac:dyDescent="0.25">
      <c r="A856" t="s">
        <v>880</v>
      </c>
    </row>
    <row r="857" spans="1:1" x14ac:dyDescent="0.25">
      <c r="A857" t="s">
        <v>2397</v>
      </c>
    </row>
    <row r="858" spans="1:1" x14ac:dyDescent="0.25">
      <c r="A858" t="s">
        <v>1065</v>
      </c>
    </row>
    <row r="859" spans="1:1" x14ac:dyDescent="0.25">
      <c r="A859" t="s">
        <v>2396</v>
      </c>
    </row>
    <row r="860" spans="1:1" x14ac:dyDescent="0.25">
      <c r="A860" t="s">
        <v>1066</v>
      </c>
    </row>
    <row r="861" spans="1:1" x14ac:dyDescent="0.25">
      <c r="A861" t="s">
        <v>2397</v>
      </c>
    </row>
    <row r="862" spans="1:1" x14ac:dyDescent="0.25">
      <c r="A862" t="s">
        <v>1067</v>
      </c>
    </row>
    <row r="863" spans="1:1" x14ac:dyDescent="0.25">
      <c r="A863" t="s">
        <v>2396</v>
      </c>
    </row>
    <row r="864" spans="1:1" x14ac:dyDescent="0.25">
      <c r="A864" t="s">
        <v>1068</v>
      </c>
    </row>
    <row r="865" spans="1:1" x14ac:dyDescent="0.25">
      <c r="A865" t="s">
        <v>2397</v>
      </c>
    </row>
    <row r="866" spans="1:1" x14ac:dyDescent="0.25">
      <c r="A866" t="s">
        <v>1069</v>
      </c>
    </row>
    <row r="867" spans="1:1" x14ac:dyDescent="0.25">
      <c r="A867" t="s">
        <v>2396</v>
      </c>
    </row>
    <row r="868" spans="1:1" x14ac:dyDescent="0.25">
      <c r="A868" t="s">
        <v>1070</v>
      </c>
    </row>
    <row r="869" spans="1:1" x14ac:dyDescent="0.25">
      <c r="A869" t="s">
        <v>2397</v>
      </c>
    </row>
    <row r="870" spans="1:1" x14ac:dyDescent="0.25">
      <c r="A870" t="s">
        <v>1071</v>
      </c>
    </row>
    <row r="871" spans="1:1" x14ac:dyDescent="0.25">
      <c r="A871" t="s">
        <v>2396</v>
      </c>
    </row>
    <row r="872" spans="1:1" x14ac:dyDescent="0.25">
      <c r="A872" t="s">
        <v>1072</v>
      </c>
    </row>
    <row r="873" spans="1:1" x14ac:dyDescent="0.25">
      <c r="A873" t="s">
        <v>2397</v>
      </c>
    </row>
    <row r="874" spans="1:1" x14ac:dyDescent="0.25">
      <c r="A874" t="s">
        <v>1073</v>
      </c>
    </row>
    <row r="875" spans="1:1" x14ac:dyDescent="0.25">
      <c r="A875" t="s">
        <v>2396</v>
      </c>
    </row>
    <row r="876" spans="1:1" x14ac:dyDescent="0.25">
      <c r="A876" t="s">
        <v>1074</v>
      </c>
    </row>
    <row r="877" spans="1:1" x14ac:dyDescent="0.25">
      <c r="A877" t="s">
        <v>2397</v>
      </c>
    </row>
    <row r="878" spans="1:1" x14ac:dyDescent="0.25">
      <c r="A878" t="s">
        <v>1075</v>
      </c>
    </row>
    <row r="879" spans="1:1" x14ac:dyDescent="0.25">
      <c r="A879" t="s">
        <v>2396</v>
      </c>
    </row>
    <row r="880" spans="1:1" x14ac:dyDescent="0.25">
      <c r="A880" t="s">
        <v>1076</v>
      </c>
    </row>
    <row r="881" spans="1:1" x14ac:dyDescent="0.25">
      <c r="A881" t="s">
        <v>2397</v>
      </c>
    </row>
    <row r="882" spans="1:1" x14ac:dyDescent="0.25">
      <c r="A882" t="s">
        <v>1077</v>
      </c>
    </row>
    <row r="883" spans="1:1" x14ac:dyDescent="0.25">
      <c r="A883" t="s">
        <v>2396</v>
      </c>
    </row>
    <row r="884" spans="1:1" x14ac:dyDescent="0.25">
      <c r="A884" t="s">
        <v>1078</v>
      </c>
    </row>
    <row r="885" spans="1:1" x14ac:dyDescent="0.25">
      <c r="A885" t="s">
        <v>2397</v>
      </c>
    </row>
    <row r="886" spans="1:1" x14ac:dyDescent="0.25">
      <c r="A886" t="s">
        <v>1955</v>
      </c>
    </row>
    <row r="887" spans="1:1" x14ac:dyDescent="0.25">
      <c r="A887" t="s">
        <v>2396</v>
      </c>
    </row>
    <row r="888" spans="1:1" x14ac:dyDescent="0.25">
      <c r="A888" t="s">
        <v>1958</v>
      </c>
    </row>
    <row r="889" spans="1:1" x14ac:dyDescent="0.25">
      <c r="A889" t="s">
        <v>2397</v>
      </c>
    </row>
    <row r="890" spans="1:1" x14ac:dyDescent="0.25">
      <c r="A890" t="s">
        <v>1961</v>
      </c>
    </row>
    <row r="891" spans="1:1" x14ac:dyDescent="0.25">
      <c r="A891" t="s">
        <v>2396</v>
      </c>
    </row>
    <row r="892" spans="1:1" x14ac:dyDescent="0.25">
      <c r="A892" t="s">
        <v>1964</v>
      </c>
    </row>
    <row r="893" spans="1:1" x14ac:dyDescent="0.25">
      <c r="A893" t="s">
        <v>2397</v>
      </c>
    </row>
    <row r="894" spans="1:1" x14ac:dyDescent="0.25">
      <c r="A894" t="s">
        <v>845</v>
      </c>
    </row>
    <row r="895" spans="1:1" x14ac:dyDescent="0.25">
      <c r="A895" t="s">
        <v>836</v>
      </c>
    </row>
    <row r="896" spans="1:1" x14ac:dyDescent="0.25">
      <c r="A896" t="s">
        <v>2186</v>
      </c>
    </row>
    <row r="897" spans="1:1" x14ac:dyDescent="0.25">
      <c r="A897" t="s">
        <v>879</v>
      </c>
    </row>
    <row r="898" spans="1:1" x14ac:dyDescent="0.25">
      <c r="A898" t="s">
        <v>2396</v>
      </c>
    </row>
    <row r="899" spans="1:1" x14ac:dyDescent="0.25">
      <c r="A899" t="s">
        <v>880</v>
      </c>
    </row>
    <row r="900" spans="1:1" x14ac:dyDescent="0.25">
      <c r="A900" t="s">
        <v>2397</v>
      </c>
    </row>
    <row r="901" spans="1:1" x14ac:dyDescent="0.25">
      <c r="A901" t="s">
        <v>1065</v>
      </c>
    </row>
    <row r="902" spans="1:1" x14ac:dyDescent="0.25">
      <c r="A902" t="s">
        <v>2396</v>
      </c>
    </row>
    <row r="903" spans="1:1" x14ac:dyDescent="0.25">
      <c r="A903" t="s">
        <v>1066</v>
      </c>
    </row>
    <row r="904" spans="1:1" x14ac:dyDescent="0.25">
      <c r="A904" t="s">
        <v>2397</v>
      </c>
    </row>
    <row r="905" spans="1:1" x14ac:dyDescent="0.25">
      <c r="A905" t="s">
        <v>1067</v>
      </c>
    </row>
    <row r="906" spans="1:1" x14ac:dyDescent="0.25">
      <c r="A906" t="s">
        <v>2396</v>
      </c>
    </row>
    <row r="907" spans="1:1" x14ac:dyDescent="0.25">
      <c r="A907" t="s">
        <v>1068</v>
      </c>
    </row>
    <row r="908" spans="1:1" x14ac:dyDescent="0.25">
      <c r="A908" t="s">
        <v>2397</v>
      </c>
    </row>
    <row r="909" spans="1:1" x14ac:dyDescent="0.25">
      <c r="A909" t="s">
        <v>1069</v>
      </c>
    </row>
    <row r="910" spans="1:1" x14ac:dyDescent="0.25">
      <c r="A910" t="s">
        <v>2396</v>
      </c>
    </row>
    <row r="911" spans="1:1" x14ac:dyDescent="0.25">
      <c r="A911" t="s">
        <v>1070</v>
      </c>
    </row>
    <row r="912" spans="1:1" x14ac:dyDescent="0.25">
      <c r="A912" t="s">
        <v>2397</v>
      </c>
    </row>
    <row r="913" spans="1:1" x14ac:dyDescent="0.25">
      <c r="A913" t="s">
        <v>1071</v>
      </c>
    </row>
    <row r="914" spans="1:1" x14ac:dyDescent="0.25">
      <c r="A914" t="s">
        <v>2396</v>
      </c>
    </row>
    <row r="915" spans="1:1" x14ac:dyDescent="0.25">
      <c r="A915" t="s">
        <v>1072</v>
      </c>
    </row>
    <row r="916" spans="1:1" x14ac:dyDescent="0.25">
      <c r="A916" t="s">
        <v>2397</v>
      </c>
    </row>
    <row r="917" spans="1:1" x14ac:dyDescent="0.25">
      <c r="A917" t="s">
        <v>1073</v>
      </c>
    </row>
    <row r="918" spans="1:1" x14ac:dyDescent="0.25">
      <c r="A918" t="s">
        <v>2396</v>
      </c>
    </row>
    <row r="919" spans="1:1" x14ac:dyDescent="0.25">
      <c r="A919" t="s">
        <v>1074</v>
      </c>
    </row>
    <row r="920" spans="1:1" x14ac:dyDescent="0.25">
      <c r="A920" t="s">
        <v>2397</v>
      </c>
    </row>
    <row r="921" spans="1:1" x14ac:dyDescent="0.25">
      <c r="A921" t="s">
        <v>1075</v>
      </c>
    </row>
    <row r="922" spans="1:1" x14ac:dyDescent="0.25">
      <c r="A922" t="s">
        <v>2396</v>
      </c>
    </row>
    <row r="923" spans="1:1" x14ac:dyDescent="0.25">
      <c r="A923" t="s">
        <v>1076</v>
      </c>
    </row>
    <row r="924" spans="1:1" x14ac:dyDescent="0.25">
      <c r="A924" t="s">
        <v>2397</v>
      </c>
    </row>
    <row r="925" spans="1:1" x14ac:dyDescent="0.25">
      <c r="A925" t="s">
        <v>1077</v>
      </c>
    </row>
    <row r="926" spans="1:1" x14ac:dyDescent="0.25">
      <c r="A926" t="s">
        <v>2396</v>
      </c>
    </row>
    <row r="927" spans="1:1" x14ac:dyDescent="0.25">
      <c r="A927" t="s">
        <v>1078</v>
      </c>
    </row>
    <row r="928" spans="1:1" x14ac:dyDescent="0.25">
      <c r="A928" t="s">
        <v>2397</v>
      </c>
    </row>
    <row r="929" spans="1:1" x14ac:dyDescent="0.25">
      <c r="A929" t="s">
        <v>1955</v>
      </c>
    </row>
    <row r="930" spans="1:1" x14ac:dyDescent="0.25">
      <c r="A930" t="s">
        <v>2396</v>
      </c>
    </row>
    <row r="931" spans="1:1" x14ac:dyDescent="0.25">
      <c r="A931" t="s">
        <v>1958</v>
      </c>
    </row>
    <row r="932" spans="1:1" x14ac:dyDescent="0.25">
      <c r="A932" t="s">
        <v>2397</v>
      </c>
    </row>
    <row r="933" spans="1:1" x14ac:dyDescent="0.25">
      <c r="A933" t="s">
        <v>1961</v>
      </c>
    </row>
    <row r="934" spans="1:1" x14ac:dyDescent="0.25">
      <c r="A934" t="s">
        <v>2396</v>
      </c>
    </row>
    <row r="935" spans="1:1" x14ac:dyDescent="0.25">
      <c r="A935" t="s">
        <v>1964</v>
      </c>
    </row>
    <row r="936" spans="1:1" x14ac:dyDescent="0.25">
      <c r="A936" t="s">
        <v>2397</v>
      </c>
    </row>
    <row r="937" spans="1:1" x14ac:dyDescent="0.25">
      <c r="A937" t="s">
        <v>811</v>
      </c>
    </row>
    <row r="938" spans="1:1" x14ac:dyDescent="0.25">
      <c r="A938" t="s">
        <v>468</v>
      </c>
    </row>
    <row r="939" spans="1:1" x14ac:dyDescent="0.25">
      <c r="A939" t="s">
        <v>634</v>
      </c>
    </row>
    <row r="940" spans="1:1" x14ac:dyDescent="0.25">
      <c r="A940" t="s">
        <v>2402</v>
      </c>
    </row>
    <row r="941" spans="1:1" x14ac:dyDescent="0.25">
      <c r="A941" t="s">
        <v>2393</v>
      </c>
    </row>
    <row r="942" spans="1:1" x14ac:dyDescent="0.25">
      <c r="A942" t="s">
        <v>876</v>
      </c>
    </row>
    <row r="943" spans="1:1" x14ac:dyDescent="0.25">
      <c r="A943" t="s">
        <v>2394</v>
      </c>
    </row>
    <row r="944" spans="1:1" x14ac:dyDescent="0.25">
      <c r="A944" t="s">
        <v>877</v>
      </c>
    </row>
    <row r="945" spans="1:1" x14ac:dyDescent="0.25">
      <c r="A945" t="s">
        <v>2395</v>
      </c>
    </row>
    <row r="946" spans="1:1" x14ac:dyDescent="0.25">
      <c r="A946" t="s">
        <v>1024</v>
      </c>
    </row>
    <row r="947" spans="1:1" x14ac:dyDescent="0.25">
      <c r="A947" t="s">
        <v>2394</v>
      </c>
    </row>
    <row r="948" spans="1:1" x14ac:dyDescent="0.25">
      <c r="A948" t="s">
        <v>1025</v>
      </c>
    </row>
    <row r="949" spans="1:1" x14ac:dyDescent="0.25">
      <c r="A949" t="s">
        <v>2395</v>
      </c>
    </row>
    <row r="950" spans="1:1" x14ac:dyDescent="0.25">
      <c r="A950" t="s">
        <v>1026</v>
      </c>
    </row>
    <row r="951" spans="1:1" x14ac:dyDescent="0.25">
      <c r="A951" t="s">
        <v>2394</v>
      </c>
    </row>
    <row r="952" spans="1:1" x14ac:dyDescent="0.25">
      <c r="A952" t="s">
        <v>1027</v>
      </c>
    </row>
    <row r="953" spans="1:1" x14ac:dyDescent="0.25">
      <c r="A953" t="s">
        <v>2395</v>
      </c>
    </row>
    <row r="954" spans="1:1" x14ac:dyDescent="0.25">
      <c r="A954" t="s">
        <v>1028</v>
      </c>
    </row>
    <row r="955" spans="1:1" x14ac:dyDescent="0.25">
      <c r="A955" t="s">
        <v>2394</v>
      </c>
    </row>
    <row r="956" spans="1:1" x14ac:dyDescent="0.25">
      <c r="A956" t="s">
        <v>1029</v>
      </c>
    </row>
    <row r="957" spans="1:1" x14ac:dyDescent="0.25">
      <c r="A957" t="s">
        <v>2395</v>
      </c>
    </row>
    <row r="958" spans="1:1" x14ac:dyDescent="0.25">
      <c r="A958" t="s">
        <v>1030</v>
      </c>
    </row>
    <row r="959" spans="1:1" x14ac:dyDescent="0.25">
      <c r="A959" t="s">
        <v>2394</v>
      </c>
    </row>
    <row r="960" spans="1:1" x14ac:dyDescent="0.25">
      <c r="A960" t="s">
        <v>1031</v>
      </c>
    </row>
    <row r="961" spans="1:1" x14ac:dyDescent="0.25">
      <c r="A961" t="s">
        <v>2395</v>
      </c>
    </row>
    <row r="962" spans="1:1" x14ac:dyDescent="0.25">
      <c r="A962" t="s">
        <v>1032</v>
      </c>
    </row>
    <row r="963" spans="1:1" x14ac:dyDescent="0.25">
      <c r="A963" t="s">
        <v>2394</v>
      </c>
    </row>
    <row r="964" spans="1:1" x14ac:dyDescent="0.25">
      <c r="A964" t="s">
        <v>1033</v>
      </c>
    </row>
    <row r="965" spans="1:1" x14ac:dyDescent="0.25">
      <c r="A965" t="s">
        <v>2395</v>
      </c>
    </row>
    <row r="966" spans="1:1" x14ac:dyDescent="0.25">
      <c r="A966" t="s">
        <v>1034</v>
      </c>
    </row>
    <row r="967" spans="1:1" x14ac:dyDescent="0.25">
      <c r="A967" t="s">
        <v>2394</v>
      </c>
    </row>
    <row r="968" spans="1:1" x14ac:dyDescent="0.25">
      <c r="A968" t="s">
        <v>1035</v>
      </c>
    </row>
    <row r="969" spans="1:1" x14ac:dyDescent="0.25">
      <c r="A969" t="s">
        <v>2395</v>
      </c>
    </row>
    <row r="970" spans="1:1" x14ac:dyDescent="0.25">
      <c r="A970" t="s">
        <v>1036</v>
      </c>
    </row>
    <row r="971" spans="1:1" x14ac:dyDescent="0.25">
      <c r="A971" t="s">
        <v>2394</v>
      </c>
    </row>
    <row r="972" spans="1:1" x14ac:dyDescent="0.25">
      <c r="A972" t="s">
        <v>1037</v>
      </c>
    </row>
    <row r="973" spans="1:1" x14ac:dyDescent="0.25">
      <c r="A973" t="s">
        <v>2395</v>
      </c>
    </row>
    <row r="974" spans="1:1" x14ac:dyDescent="0.25">
      <c r="A974" t="s">
        <v>1935</v>
      </c>
    </row>
    <row r="975" spans="1:1" x14ac:dyDescent="0.25">
      <c r="A975" t="s">
        <v>2394</v>
      </c>
    </row>
    <row r="976" spans="1:1" x14ac:dyDescent="0.25">
      <c r="A976" t="s">
        <v>1938</v>
      </c>
    </row>
    <row r="977" spans="1:1" x14ac:dyDescent="0.25">
      <c r="A977" t="s">
        <v>2395</v>
      </c>
    </row>
    <row r="978" spans="1:1" x14ac:dyDescent="0.25">
      <c r="A978" t="s">
        <v>1941</v>
      </c>
    </row>
    <row r="979" spans="1:1" x14ac:dyDescent="0.25">
      <c r="A979" t="s">
        <v>2394</v>
      </c>
    </row>
    <row r="980" spans="1:1" x14ac:dyDescent="0.25">
      <c r="A980" t="s">
        <v>1944</v>
      </c>
    </row>
    <row r="981" spans="1:1" x14ac:dyDescent="0.25">
      <c r="A981" t="s">
        <v>845</v>
      </c>
    </row>
    <row r="982" spans="1:1" x14ac:dyDescent="0.25">
      <c r="A982" t="s">
        <v>837</v>
      </c>
    </row>
    <row r="983" spans="1:1" x14ac:dyDescent="0.25">
      <c r="A983" t="s">
        <v>2211</v>
      </c>
    </row>
    <row r="984" spans="1:1" x14ac:dyDescent="0.25">
      <c r="A984" t="s">
        <v>2393</v>
      </c>
    </row>
    <row r="985" spans="1:1" x14ac:dyDescent="0.25">
      <c r="A985" t="s">
        <v>876</v>
      </c>
    </row>
    <row r="986" spans="1:1" x14ac:dyDescent="0.25">
      <c r="A986" t="s">
        <v>2394</v>
      </c>
    </row>
    <row r="987" spans="1:1" x14ac:dyDescent="0.25">
      <c r="A987" t="s">
        <v>877</v>
      </c>
    </row>
    <row r="988" spans="1:1" x14ac:dyDescent="0.25">
      <c r="A988" t="s">
        <v>2395</v>
      </c>
    </row>
    <row r="989" spans="1:1" x14ac:dyDescent="0.25">
      <c r="A989" t="s">
        <v>1024</v>
      </c>
    </row>
    <row r="990" spans="1:1" x14ac:dyDescent="0.25">
      <c r="A990" t="s">
        <v>2394</v>
      </c>
    </row>
    <row r="991" spans="1:1" x14ac:dyDescent="0.25">
      <c r="A991" t="s">
        <v>1025</v>
      </c>
    </row>
    <row r="992" spans="1:1" x14ac:dyDescent="0.25">
      <c r="A992" t="s">
        <v>2395</v>
      </c>
    </row>
    <row r="993" spans="1:1" x14ac:dyDescent="0.25">
      <c r="A993" t="s">
        <v>1026</v>
      </c>
    </row>
    <row r="994" spans="1:1" x14ac:dyDescent="0.25">
      <c r="A994" t="s">
        <v>2394</v>
      </c>
    </row>
    <row r="995" spans="1:1" x14ac:dyDescent="0.25">
      <c r="A995" t="s">
        <v>1027</v>
      </c>
    </row>
    <row r="996" spans="1:1" x14ac:dyDescent="0.25">
      <c r="A996" t="s">
        <v>2395</v>
      </c>
    </row>
    <row r="997" spans="1:1" x14ac:dyDescent="0.25">
      <c r="A997" t="s">
        <v>1028</v>
      </c>
    </row>
    <row r="998" spans="1:1" x14ac:dyDescent="0.25">
      <c r="A998" t="s">
        <v>2394</v>
      </c>
    </row>
    <row r="999" spans="1:1" x14ac:dyDescent="0.25">
      <c r="A999" t="s">
        <v>1029</v>
      </c>
    </row>
    <row r="1000" spans="1:1" x14ac:dyDescent="0.25">
      <c r="A1000" t="s">
        <v>2395</v>
      </c>
    </row>
    <row r="1001" spans="1:1" x14ac:dyDescent="0.25">
      <c r="A1001" t="s">
        <v>1030</v>
      </c>
    </row>
    <row r="1002" spans="1:1" x14ac:dyDescent="0.25">
      <c r="A1002" t="s">
        <v>2394</v>
      </c>
    </row>
    <row r="1003" spans="1:1" x14ac:dyDescent="0.25">
      <c r="A1003" t="s">
        <v>1031</v>
      </c>
    </row>
    <row r="1004" spans="1:1" x14ac:dyDescent="0.25">
      <c r="A1004" t="s">
        <v>2395</v>
      </c>
    </row>
    <row r="1005" spans="1:1" x14ac:dyDescent="0.25">
      <c r="A1005" t="s">
        <v>1032</v>
      </c>
    </row>
    <row r="1006" spans="1:1" x14ac:dyDescent="0.25">
      <c r="A1006" t="s">
        <v>2394</v>
      </c>
    </row>
    <row r="1007" spans="1:1" x14ac:dyDescent="0.25">
      <c r="A1007" t="s">
        <v>1033</v>
      </c>
    </row>
    <row r="1008" spans="1:1" x14ac:dyDescent="0.25">
      <c r="A1008" t="s">
        <v>2395</v>
      </c>
    </row>
    <row r="1009" spans="1:1" x14ac:dyDescent="0.25">
      <c r="A1009" t="s">
        <v>1034</v>
      </c>
    </row>
    <row r="1010" spans="1:1" x14ac:dyDescent="0.25">
      <c r="A1010" t="s">
        <v>2394</v>
      </c>
    </row>
    <row r="1011" spans="1:1" x14ac:dyDescent="0.25">
      <c r="A1011" t="s">
        <v>1035</v>
      </c>
    </row>
    <row r="1012" spans="1:1" x14ac:dyDescent="0.25">
      <c r="A1012" t="s">
        <v>2395</v>
      </c>
    </row>
    <row r="1013" spans="1:1" x14ac:dyDescent="0.25">
      <c r="A1013" t="s">
        <v>1036</v>
      </c>
    </row>
    <row r="1014" spans="1:1" x14ac:dyDescent="0.25">
      <c r="A1014" t="s">
        <v>2394</v>
      </c>
    </row>
    <row r="1015" spans="1:1" x14ac:dyDescent="0.25">
      <c r="A1015" t="s">
        <v>1037</v>
      </c>
    </row>
    <row r="1016" spans="1:1" x14ac:dyDescent="0.25">
      <c r="A1016" t="s">
        <v>2395</v>
      </c>
    </row>
    <row r="1017" spans="1:1" x14ac:dyDescent="0.25">
      <c r="A1017" t="s">
        <v>1935</v>
      </c>
    </row>
    <row r="1018" spans="1:1" x14ac:dyDescent="0.25">
      <c r="A1018" t="s">
        <v>2394</v>
      </c>
    </row>
    <row r="1019" spans="1:1" x14ac:dyDescent="0.25">
      <c r="A1019" t="s">
        <v>1938</v>
      </c>
    </row>
    <row r="1020" spans="1:1" x14ac:dyDescent="0.25">
      <c r="A1020" t="s">
        <v>2395</v>
      </c>
    </row>
    <row r="1021" spans="1:1" x14ac:dyDescent="0.25">
      <c r="A1021" t="s">
        <v>1941</v>
      </c>
    </row>
    <row r="1022" spans="1:1" x14ac:dyDescent="0.25">
      <c r="A1022" t="s">
        <v>2394</v>
      </c>
    </row>
    <row r="1023" spans="1:1" x14ac:dyDescent="0.25">
      <c r="A1023" t="s">
        <v>1944</v>
      </c>
    </row>
    <row r="1024" spans="1:1" x14ac:dyDescent="0.25">
      <c r="A1024" t="s">
        <v>811</v>
      </c>
    </row>
    <row r="1025" spans="1:1" x14ac:dyDescent="0.25">
      <c r="A1025" t="s">
        <v>467</v>
      </c>
    </row>
    <row r="1026" spans="1:1" x14ac:dyDescent="0.25">
      <c r="A1026" t="s">
        <v>634</v>
      </c>
    </row>
    <row r="1027" spans="1:1" x14ac:dyDescent="0.25">
      <c r="A1027" t="s">
        <v>2224</v>
      </c>
    </row>
    <row r="1028" spans="1:1" x14ac:dyDescent="0.25">
      <c r="A1028" t="s">
        <v>879</v>
      </c>
    </row>
    <row r="1029" spans="1:1" x14ac:dyDescent="0.25">
      <c r="A1029" t="s">
        <v>2396</v>
      </c>
    </row>
    <row r="1030" spans="1:1" x14ac:dyDescent="0.25">
      <c r="A1030" t="s">
        <v>880</v>
      </c>
    </row>
    <row r="1031" spans="1:1" x14ac:dyDescent="0.25">
      <c r="A1031" t="s">
        <v>2397</v>
      </c>
    </row>
    <row r="1032" spans="1:1" x14ac:dyDescent="0.25">
      <c r="A1032" t="s">
        <v>1065</v>
      </c>
    </row>
    <row r="1033" spans="1:1" x14ac:dyDescent="0.25">
      <c r="A1033" t="s">
        <v>2396</v>
      </c>
    </row>
    <row r="1034" spans="1:1" x14ac:dyDescent="0.25">
      <c r="A1034" t="s">
        <v>1066</v>
      </c>
    </row>
    <row r="1035" spans="1:1" x14ac:dyDescent="0.25">
      <c r="A1035" t="s">
        <v>2397</v>
      </c>
    </row>
    <row r="1036" spans="1:1" x14ac:dyDescent="0.25">
      <c r="A1036" t="s">
        <v>1067</v>
      </c>
    </row>
    <row r="1037" spans="1:1" x14ac:dyDescent="0.25">
      <c r="A1037" t="s">
        <v>2396</v>
      </c>
    </row>
    <row r="1038" spans="1:1" x14ac:dyDescent="0.25">
      <c r="A1038" t="s">
        <v>1068</v>
      </c>
    </row>
    <row r="1039" spans="1:1" x14ac:dyDescent="0.25">
      <c r="A1039" t="s">
        <v>2397</v>
      </c>
    </row>
    <row r="1040" spans="1:1" x14ac:dyDescent="0.25">
      <c r="A1040" t="s">
        <v>1069</v>
      </c>
    </row>
    <row r="1041" spans="1:1" x14ac:dyDescent="0.25">
      <c r="A1041" t="s">
        <v>2396</v>
      </c>
    </row>
    <row r="1042" spans="1:1" x14ac:dyDescent="0.25">
      <c r="A1042" t="s">
        <v>1070</v>
      </c>
    </row>
    <row r="1043" spans="1:1" x14ac:dyDescent="0.25">
      <c r="A1043" t="s">
        <v>2397</v>
      </c>
    </row>
    <row r="1044" spans="1:1" x14ac:dyDescent="0.25">
      <c r="A1044" t="s">
        <v>1071</v>
      </c>
    </row>
    <row r="1045" spans="1:1" x14ac:dyDescent="0.25">
      <c r="A1045" t="s">
        <v>2396</v>
      </c>
    </row>
    <row r="1046" spans="1:1" x14ac:dyDescent="0.25">
      <c r="A1046" t="s">
        <v>1072</v>
      </c>
    </row>
    <row r="1047" spans="1:1" x14ac:dyDescent="0.25">
      <c r="A1047" t="s">
        <v>2397</v>
      </c>
    </row>
    <row r="1048" spans="1:1" x14ac:dyDescent="0.25">
      <c r="A1048" t="s">
        <v>1073</v>
      </c>
    </row>
    <row r="1049" spans="1:1" x14ac:dyDescent="0.25">
      <c r="A1049" t="s">
        <v>2396</v>
      </c>
    </row>
    <row r="1050" spans="1:1" x14ac:dyDescent="0.25">
      <c r="A1050" t="s">
        <v>1074</v>
      </c>
    </row>
    <row r="1051" spans="1:1" x14ac:dyDescent="0.25">
      <c r="A1051" t="s">
        <v>2397</v>
      </c>
    </row>
    <row r="1052" spans="1:1" x14ac:dyDescent="0.25">
      <c r="A1052" t="s">
        <v>1075</v>
      </c>
    </row>
    <row r="1053" spans="1:1" x14ac:dyDescent="0.25">
      <c r="A1053" t="s">
        <v>2396</v>
      </c>
    </row>
    <row r="1054" spans="1:1" x14ac:dyDescent="0.25">
      <c r="A1054" t="s">
        <v>1076</v>
      </c>
    </row>
    <row r="1055" spans="1:1" x14ac:dyDescent="0.25">
      <c r="A1055" t="s">
        <v>2397</v>
      </c>
    </row>
    <row r="1056" spans="1:1" x14ac:dyDescent="0.25">
      <c r="A1056" t="s">
        <v>1077</v>
      </c>
    </row>
    <row r="1057" spans="1:1" x14ac:dyDescent="0.25">
      <c r="A1057" t="s">
        <v>2396</v>
      </c>
    </row>
    <row r="1058" spans="1:1" x14ac:dyDescent="0.25">
      <c r="A1058" t="s">
        <v>1078</v>
      </c>
    </row>
    <row r="1059" spans="1:1" x14ac:dyDescent="0.25">
      <c r="A1059" t="s">
        <v>2397</v>
      </c>
    </row>
    <row r="1060" spans="1:1" x14ac:dyDescent="0.25">
      <c r="A1060" t="s">
        <v>1955</v>
      </c>
    </row>
    <row r="1061" spans="1:1" x14ac:dyDescent="0.25">
      <c r="A1061" t="s">
        <v>2396</v>
      </c>
    </row>
    <row r="1062" spans="1:1" x14ac:dyDescent="0.25">
      <c r="A1062" t="s">
        <v>1958</v>
      </c>
    </row>
    <row r="1063" spans="1:1" x14ac:dyDescent="0.25">
      <c r="A1063" t="s">
        <v>2397</v>
      </c>
    </row>
    <row r="1064" spans="1:1" x14ac:dyDescent="0.25">
      <c r="A1064" t="s">
        <v>1961</v>
      </c>
    </row>
    <row r="1065" spans="1:1" x14ac:dyDescent="0.25">
      <c r="A1065" t="s">
        <v>2396</v>
      </c>
    </row>
    <row r="1066" spans="1:1" x14ac:dyDescent="0.25">
      <c r="A1066" t="s">
        <v>1964</v>
      </c>
    </row>
    <row r="1067" spans="1:1" x14ac:dyDescent="0.25">
      <c r="A1067" t="s">
        <v>2397</v>
      </c>
    </row>
    <row r="1068" spans="1:1" x14ac:dyDescent="0.25">
      <c r="A1068" t="s">
        <v>845</v>
      </c>
    </row>
    <row r="1069" spans="1:1" x14ac:dyDescent="0.25">
      <c r="A1069" t="s">
        <v>838</v>
      </c>
    </row>
    <row r="1070" spans="1:1" x14ac:dyDescent="0.25">
      <c r="A1070" t="s">
        <v>2237</v>
      </c>
    </row>
    <row r="1071" spans="1:1" x14ac:dyDescent="0.25">
      <c r="A1071" t="s">
        <v>879</v>
      </c>
    </row>
    <row r="1072" spans="1:1" x14ac:dyDescent="0.25">
      <c r="A1072" t="s">
        <v>2396</v>
      </c>
    </row>
    <row r="1073" spans="1:1" x14ac:dyDescent="0.25">
      <c r="A1073" t="s">
        <v>880</v>
      </c>
    </row>
    <row r="1074" spans="1:1" x14ac:dyDescent="0.25">
      <c r="A1074" t="s">
        <v>2397</v>
      </c>
    </row>
    <row r="1075" spans="1:1" x14ac:dyDescent="0.25">
      <c r="A1075" t="s">
        <v>1065</v>
      </c>
    </row>
    <row r="1076" spans="1:1" x14ac:dyDescent="0.25">
      <c r="A1076" t="s">
        <v>2396</v>
      </c>
    </row>
    <row r="1077" spans="1:1" x14ac:dyDescent="0.25">
      <c r="A1077" t="s">
        <v>1066</v>
      </c>
    </row>
    <row r="1078" spans="1:1" x14ac:dyDescent="0.25">
      <c r="A1078" t="s">
        <v>2397</v>
      </c>
    </row>
    <row r="1079" spans="1:1" x14ac:dyDescent="0.25">
      <c r="A1079" t="s">
        <v>1067</v>
      </c>
    </row>
    <row r="1080" spans="1:1" x14ac:dyDescent="0.25">
      <c r="A1080" t="s">
        <v>2396</v>
      </c>
    </row>
    <row r="1081" spans="1:1" x14ac:dyDescent="0.25">
      <c r="A1081" t="s">
        <v>1068</v>
      </c>
    </row>
    <row r="1082" spans="1:1" x14ac:dyDescent="0.25">
      <c r="A1082" t="s">
        <v>2397</v>
      </c>
    </row>
    <row r="1083" spans="1:1" x14ac:dyDescent="0.25">
      <c r="A1083" t="s">
        <v>1069</v>
      </c>
    </row>
    <row r="1084" spans="1:1" x14ac:dyDescent="0.25">
      <c r="A1084" t="s">
        <v>2396</v>
      </c>
    </row>
    <row r="1085" spans="1:1" x14ac:dyDescent="0.25">
      <c r="A1085" t="s">
        <v>1070</v>
      </c>
    </row>
    <row r="1086" spans="1:1" x14ac:dyDescent="0.25">
      <c r="A1086" t="s">
        <v>2397</v>
      </c>
    </row>
    <row r="1087" spans="1:1" x14ac:dyDescent="0.25">
      <c r="A1087" t="s">
        <v>1071</v>
      </c>
    </row>
    <row r="1088" spans="1:1" x14ac:dyDescent="0.25">
      <c r="A1088" t="s">
        <v>2396</v>
      </c>
    </row>
    <row r="1089" spans="1:1" x14ac:dyDescent="0.25">
      <c r="A1089" t="s">
        <v>1072</v>
      </c>
    </row>
    <row r="1090" spans="1:1" x14ac:dyDescent="0.25">
      <c r="A1090" t="s">
        <v>2397</v>
      </c>
    </row>
    <row r="1091" spans="1:1" x14ac:dyDescent="0.25">
      <c r="A1091" t="s">
        <v>1073</v>
      </c>
    </row>
    <row r="1092" spans="1:1" x14ac:dyDescent="0.25">
      <c r="A1092" t="s">
        <v>2396</v>
      </c>
    </row>
    <row r="1093" spans="1:1" x14ac:dyDescent="0.25">
      <c r="A1093" t="s">
        <v>1074</v>
      </c>
    </row>
    <row r="1094" spans="1:1" x14ac:dyDescent="0.25">
      <c r="A1094" t="s">
        <v>2397</v>
      </c>
    </row>
    <row r="1095" spans="1:1" x14ac:dyDescent="0.25">
      <c r="A1095" t="s">
        <v>1075</v>
      </c>
    </row>
    <row r="1096" spans="1:1" x14ac:dyDescent="0.25">
      <c r="A1096" t="s">
        <v>2396</v>
      </c>
    </row>
    <row r="1097" spans="1:1" x14ac:dyDescent="0.25">
      <c r="A1097" t="s">
        <v>1076</v>
      </c>
    </row>
    <row r="1098" spans="1:1" x14ac:dyDescent="0.25">
      <c r="A1098" t="s">
        <v>2397</v>
      </c>
    </row>
    <row r="1099" spans="1:1" x14ac:dyDescent="0.25">
      <c r="A1099" t="s">
        <v>1077</v>
      </c>
    </row>
    <row r="1100" spans="1:1" x14ac:dyDescent="0.25">
      <c r="A1100" t="s">
        <v>2396</v>
      </c>
    </row>
    <row r="1101" spans="1:1" x14ac:dyDescent="0.25">
      <c r="A1101" t="s">
        <v>1078</v>
      </c>
    </row>
    <row r="1102" spans="1:1" x14ac:dyDescent="0.25">
      <c r="A1102" t="s">
        <v>2397</v>
      </c>
    </row>
    <row r="1103" spans="1:1" x14ac:dyDescent="0.25">
      <c r="A1103" t="s">
        <v>1955</v>
      </c>
    </row>
    <row r="1104" spans="1:1" x14ac:dyDescent="0.25">
      <c r="A1104" t="s">
        <v>2396</v>
      </c>
    </row>
    <row r="1105" spans="1:1" x14ac:dyDescent="0.25">
      <c r="A1105" t="s">
        <v>1958</v>
      </c>
    </row>
    <row r="1106" spans="1:1" x14ac:dyDescent="0.25">
      <c r="A1106" t="s">
        <v>2397</v>
      </c>
    </row>
    <row r="1107" spans="1:1" x14ac:dyDescent="0.25">
      <c r="A1107" t="s">
        <v>1961</v>
      </c>
    </row>
    <row r="1108" spans="1:1" x14ac:dyDescent="0.25">
      <c r="A1108" t="s">
        <v>2396</v>
      </c>
    </row>
    <row r="1109" spans="1:1" x14ac:dyDescent="0.25">
      <c r="A1109" t="s">
        <v>1964</v>
      </c>
    </row>
    <row r="1110" spans="1:1" x14ac:dyDescent="0.25">
      <c r="A1110" t="s">
        <v>2397</v>
      </c>
    </row>
    <row r="1111" spans="1:1" x14ac:dyDescent="0.25">
      <c r="A1111" t="s">
        <v>811</v>
      </c>
    </row>
    <row r="1112" spans="1:1" x14ac:dyDescent="0.25">
      <c r="A1112" t="s">
        <v>468</v>
      </c>
    </row>
    <row r="1113" spans="1:1" x14ac:dyDescent="0.25">
      <c r="A1113" t="s">
        <v>634</v>
      </c>
    </row>
    <row r="1114" spans="1:1" x14ac:dyDescent="0.25">
      <c r="A1114" t="s">
        <v>2403</v>
      </c>
    </row>
    <row r="1115" spans="1:1" x14ac:dyDescent="0.25">
      <c r="A1115" t="s">
        <v>2393</v>
      </c>
    </row>
    <row r="1116" spans="1:1" x14ac:dyDescent="0.25">
      <c r="A1116" t="s">
        <v>876</v>
      </c>
    </row>
    <row r="1117" spans="1:1" x14ac:dyDescent="0.25">
      <c r="A1117" t="s">
        <v>2394</v>
      </c>
    </row>
    <row r="1118" spans="1:1" x14ac:dyDescent="0.25">
      <c r="A1118" t="s">
        <v>877</v>
      </c>
    </row>
    <row r="1119" spans="1:1" x14ac:dyDescent="0.25">
      <c r="A1119" t="s">
        <v>2395</v>
      </c>
    </row>
    <row r="1120" spans="1:1" x14ac:dyDescent="0.25">
      <c r="A1120" t="s">
        <v>1024</v>
      </c>
    </row>
    <row r="1121" spans="1:1" x14ac:dyDescent="0.25">
      <c r="A1121" t="s">
        <v>2394</v>
      </c>
    </row>
    <row r="1122" spans="1:1" x14ac:dyDescent="0.25">
      <c r="A1122" t="s">
        <v>1025</v>
      </c>
    </row>
    <row r="1123" spans="1:1" x14ac:dyDescent="0.25">
      <c r="A1123" t="s">
        <v>2395</v>
      </c>
    </row>
    <row r="1124" spans="1:1" x14ac:dyDescent="0.25">
      <c r="A1124" t="s">
        <v>1026</v>
      </c>
    </row>
    <row r="1125" spans="1:1" x14ac:dyDescent="0.25">
      <c r="A1125" t="s">
        <v>2394</v>
      </c>
    </row>
    <row r="1126" spans="1:1" x14ac:dyDescent="0.25">
      <c r="A1126" t="s">
        <v>1027</v>
      </c>
    </row>
    <row r="1127" spans="1:1" x14ac:dyDescent="0.25">
      <c r="A1127" t="s">
        <v>2395</v>
      </c>
    </row>
    <row r="1128" spans="1:1" x14ac:dyDescent="0.25">
      <c r="A1128" t="s">
        <v>1028</v>
      </c>
    </row>
    <row r="1129" spans="1:1" x14ac:dyDescent="0.25">
      <c r="A1129" t="s">
        <v>2394</v>
      </c>
    </row>
    <row r="1130" spans="1:1" x14ac:dyDescent="0.25">
      <c r="A1130" t="s">
        <v>1029</v>
      </c>
    </row>
    <row r="1131" spans="1:1" x14ac:dyDescent="0.25">
      <c r="A1131" t="s">
        <v>2395</v>
      </c>
    </row>
    <row r="1132" spans="1:1" x14ac:dyDescent="0.25">
      <c r="A1132" t="s">
        <v>1030</v>
      </c>
    </row>
    <row r="1133" spans="1:1" x14ac:dyDescent="0.25">
      <c r="A1133" t="s">
        <v>2394</v>
      </c>
    </row>
    <row r="1134" spans="1:1" x14ac:dyDescent="0.25">
      <c r="A1134" t="s">
        <v>1031</v>
      </c>
    </row>
    <row r="1135" spans="1:1" x14ac:dyDescent="0.25">
      <c r="A1135" t="s">
        <v>2395</v>
      </c>
    </row>
    <row r="1136" spans="1:1" x14ac:dyDescent="0.25">
      <c r="A1136" t="s">
        <v>1032</v>
      </c>
    </row>
    <row r="1137" spans="1:1" x14ac:dyDescent="0.25">
      <c r="A1137" t="s">
        <v>2394</v>
      </c>
    </row>
    <row r="1138" spans="1:1" x14ac:dyDescent="0.25">
      <c r="A1138" t="s">
        <v>1033</v>
      </c>
    </row>
    <row r="1139" spans="1:1" x14ac:dyDescent="0.25">
      <c r="A1139" t="s">
        <v>2395</v>
      </c>
    </row>
    <row r="1140" spans="1:1" x14ac:dyDescent="0.25">
      <c r="A1140" t="s">
        <v>1034</v>
      </c>
    </row>
    <row r="1141" spans="1:1" x14ac:dyDescent="0.25">
      <c r="A1141" t="s">
        <v>2394</v>
      </c>
    </row>
    <row r="1142" spans="1:1" x14ac:dyDescent="0.25">
      <c r="A1142" t="s">
        <v>1035</v>
      </c>
    </row>
    <row r="1143" spans="1:1" x14ac:dyDescent="0.25">
      <c r="A1143" t="s">
        <v>2395</v>
      </c>
    </row>
    <row r="1144" spans="1:1" x14ac:dyDescent="0.25">
      <c r="A1144" t="s">
        <v>1036</v>
      </c>
    </row>
    <row r="1145" spans="1:1" x14ac:dyDescent="0.25">
      <c r="A1145" t="s">
        <v>2394</v>
      </c>
    </row>
    <row r="1146" spans="1:1" x14ac:dyDescent="0.25">
      <c r="A1146" t="s">
        <v>1037</v>
      </c>
    </row>
    <row r="1147" spans="1:1" x14ac:dyDescent="0.25">
      <c r="A1147" t="s">
        <v>2395</v>
      </c>
    </row>
    <row r="1148" spans="1:1" x14ac:dyDescent="0.25">
      <c r="A1148" t="s">
        <v>1935</v>
      </c>
    </row>
    <row r="1149" spans="1:1" x14ac:dyDescent="0.25">
      <c r="A1149" t="s">
        <v>2394</v>
      </c>
    </row>
    <row r="1150" spans="1:1" x14ac:dyDescent="0.25">
      <c r="A1150" t="s">
        <v>1938</v>
      </c>
    </row>
    <row r="1151" spans="1:1" x14ac:dyDescent="0.25">
      <c r="A1151" t="s">
        <v>2395</v>
      </c>
    </row>
    <row r="1152" spans="1:1" x14ac:dyDescent="0.25">
      <c r="A1152" t="s">
        <v>1941</v>
      </c>
    </row>
    <row r="1153" spans="1:1" x14ac:dyDescent="0.25">
      <c r="A1153" t="s">
        <v>2394</v>
      </c>
    </row>
    <row r="1154" spans="1:1" x14ac:dyDescent="0.25">
      <c r="A1154" t="s">
        <v>1944</v>
      </c>
    </row>
    <row r="1155" spans="1:1" x14ac:dyDescent="0.25">
      <c r="A1155" t="s">
        <v>845</v>
      </c>
    </row>
    <row r="1156" spans="1:1" x14ac:dyDescent="0.25">
      <c r="A1156" t="s">
        <v>839</v>
      </c>
    </row>
    <row r="1157" spans="1:1" x14ac:dyDescent="0.25">
      <c r="A1157" t="s">
        <v>2262</v>
      </c>
    </row>
    <row r="1158" spans="1:1" x14ac:dyDescent="0.25">
      <c r="A1158" t="s">
        <v>2393</v>
      </c>
    </row>
    <row r="1159" spans="1:1" x14ac:dyDescent="0.25">
      <c r="A1159" t="s">
        <v>876</v>
      </c>
    </row>
    <row r="1160" spans="1:1" x14ac:dyDescent="0.25">
      <c r="A1160" t="s">
        <v>2394</v>
      </c>
    </row>
    <row r="1161" spans="1:1" x14ac:dyDescent="0.25">
      <c r="A1161" t="s">
        <v>877</v>
      </c>
    </row>
    <row r="1162" spans="1:1" x14ac:dyDescent="0.25">
      <c r="A1162" t="s">
        <v>2395</v>
      </c>
    </row>
    <row r="1163" spans="1:1" x14ac:dyDescent="0.25">
      <c r="A1163" t="s">
        <v>1024</v>
      </c>
    </row>
    <row r="1164" spans="1:1" x14ac:dyDescent="0.25">
      <c r="A1164" t="s">
        <v>2394</v>
      </c>
    </row>
    <row r="1165" spans="1:1" x14ac:dyDescent="0.25">
      <c r="A1165" t="s">
        <v>1025</v>
      </c>
    </row>
    <row r="1166" spans="1:1" x14ac:dyDescent="0.25">
      <c r="A1166" t="s">
        <v>2395</v>
      </c>
    </row>
    <row r="1167" spans="1:1" x14ac:dyDescent="0.25">
      <c r="A1167" t="s">
        <v>1026</v>
      </c>
    </row>
    <row r="1168" spans="1:1" x14ac:dyDescent="0.25">
      <c r="A1168" t="s">
        <v>2394</v>
      </c>
    </row>
    <row r="1169" spans="1:1" x14ac:dyDescent="0.25">
      <c r="A1169" t="s">
        <v>1027</v>
      </c>
    </row>
    <row r="1170" spans="1:1" x14ac:dyDescent="0.25">
      <c r="A1170" t="s">
        <v>2395</v>
      </c>
    </row>
    <row r="1171" spans="1:1" x14ac:dyDescent="0.25">
      <c r="A1171" t="s">
        <v>1028</v>
      </c>
    </row>
    <row r="1172" spans="1:1" x14ac:dyDescent="0.25">
      <c r="A1172" t="s">
        <v>2394</v>
      </c>
    </row>
    <row r="1173" spans="1:1" x14ac:dyDescent="0.25">
      <c r="A1173" t="s">
        <v>1029</v>
      </c>
    </row>
    <row r="1174" spans="1:1" x14ac:dyDescent="0.25">
      <c r="A1174" t="s">
        <v>2395</v>
      </c>
    </row>
    <row r="1175" spans="1:1" x14ac:dyDescent="0.25">
      <c r="A1175" t="s">
        <v>1030</v>
      </c>
    </row>
    <row r="1176" spans="1:1" x14ac:dyDescent="0.25">
      <c r="A1176" t="s">
        <v>2394</v>
      </c>
    </row>
    <row r="1177" spans="1:1" x14ac:dyDescent="0.25">
      <c r="A1177" t="s">
        <v>1031</v>
      </c>
    </row>
    <row r="1178" spans="1:1" x14ac:dyDescent="0.25">
      <c r="A1178" t="s">
        <v>2395</v>
      </c>
    </row>
    <row r="1179" spans="1:1" x14ac:dyDescent="0.25">
      <c r="A1179" t="s">
        <v>1032</v>
      </c>
    </row>
    <row r="1180" spans="1:1" x14ac:dyDescent="0.25">
      <c r="A1180" t="s">
        <v>2394</v>
      </c>
    </row>
    <row r="1181" spans="1:1" x14ac:dyDescent="0.25">
      <c r="A1181" t="s">
        <v>1033</v>
      </c>
    </row>
    <row r="1182" spans="1:1" x14ac:dyDescent="0.25">
      <c r="A1182" t="s">
        <v>2395</v>
      </c>
    </row>
    <row r="1183" spans="1:1" x14ac:dyDescent="0.25">
      <c r="A1183" t="s">
        <v>1034</v>
      </c>
    </row>
    <row r="1184" spans="1:1" x14ac:dyDescent="0.25">
      <c r="A1184" t="s">
        <v>2394</v>
      </c>
    </row>
    <row r="1185" spans="1:1" x14ac:dyDescent="0.25">
      <c r="A1185" t="s">
        <v>1035</v>
      </c>
    </row>
    <row r="1186" spans="1:1" x14ac:dyDescent="0.25">
      <c r="A1186" t="s">
        <v>2395</v>
      </c>
    </row>
    <row r="1187" spans="1:1" x14ac:dyDescent="0.25">
      <c r="A1187" t="s">
        <v>1036</v>
      </c>
    </row>
    <row r="1188" spans="1:1" x14ac:dyDescent="0.25">
      <c r="A1188" t="s">
        <v>2394</v>
      </c>
    </row>
    <row r="1189" spans="1:1" x14ac:dyDescent="0.25">
      <c r="A1189" t="s">
        <v>1037</v>
      </c>
    </row>
    <row r="1190" spans="1:1" x14ac:dyDescent="0.25">
      <c r="A1190" t="s">
        <v>2395</v>
      </c>
    </row>
    <row r="1191" spans="1:1" x14ac:dyDescent="0.25">
      <c r="A1191" t="s">
        <v>1935</v>
      </c>
    </row>
    <row r="1192" spans="1:1" x14ac:dyDescent="0.25">
      <c r="A1192" t="s">
        <v>2394</v>
      </c>
    </row>
    <row r="1193" spans="1:1" x14ac:dyDescent="0.25">
      <c r="A1193" t="s">
        <v>1938</v>
      </c>
    </row>
    <row r="1194" spans="1:1" x14ac:dyDescent="0.25">
      <c r="A1194" t="s">
        <v>2395</v>
      </c>
    </row>
    <row r="1195" spans="1:1" x14ac:dyDescent="0.25">
      <c r="A1195" t="s">
        <v>1941</v>
      </c>
    </row>
    <row r="1196" spans="1:1" x14ac:dyDescent="0.25">
      <c r="A1196" t="s">
        <v>2394</v>
      </c>
    </row>
    <row r="1197" spans="1:1" x14ac:dyDescent="0.25">
      <c r="A1197" t="s">
        <v>1944</v>
      </c>
    </row>
    <row r="1198" spans="1:1" x14ac:dyDescent="0.25">
      <c r="A1198" t="s">
        <v>811</v>
      </c>
    </row>
    <row r="1199" spans="1:1" x14ac:dyDescent="0.25">
      <c r="A1199" t="s">
        <v>467</v>
      </c>
    </row>
    <row r="1200" spans="1:1" x14ac:dyDescent="0.25">
      <c r="A1200" t="s">
        <v>634</v>
      </c>
    </row>
    <row r="1201" spans="1:1" x14ac:dyDescent="0.25">
      <c r="A1201" t="s">
        <v>2275</v>
      </c>
    </row>
    <row r="1202" spans="1:1" x14ac:dyDescent="0.25">
      <c r="A1202" t="s">
        <v>879</v>
      </c>
    </row>
    <row r="1203" spans="1:1" x14ac:dyDescent="0.25">
      <c r="A1203" t="s">
        <v>2396</v>
      </c>
    </row>
    <row r="1204" spans="1:1" x14ac:dyDescent="0.25">
      <c r="A1204" t="s">
        <v>880</v>
      </c>
    </row>
    <row r="1205" spans="1:1" x14ac:dyDescent="0.25">
      <c r="A1205" t="s">
        <v>2397</v>
      </c>
    </row>
    <row r="1206" spans="1:1" x14ac:dyDescent="0.25">
      <c r="A1206" t="s">
        <v>1065</v>
      </c>
    </row>
    <row r="1207" spans="1:1" x14ac:dyDescent="0.25">
      <c r="A1207" t="s">
        <v>2396</v>
      </c>
    </row>
    <row r="1208" spans="1:1" x14ac:dyDescent="0.25">
      <c r="A1208" t="s">
        <v>1066</v>
      </c>
    </row>
    <row r="1209" spans="1:1" x14ac:dyDescent="0.25">
      <c r="A1209" t="s">
        <v>2397</v>
      </c>
    </row>
    <row r="1210" spans="1:1" x14ac:dyDescent="0.25">
      <c r="A1210" t="s">
        <v>1067</v>
      </c>
    </row>
    <row r="1211" spans="1:1" x14ac:dyDescent="0.25">
      <c r="A1211" t="s">
        <v>2396</v>
      </c>
    </row>
    <row r="1212" spans="1:1" x14ac:dyDescent="0.25">
      <c r="A1212" t="s">
        <v>1068</v>
      </c>
    </row>
    <row r="1213" spans="1:1" x14ac:dyDescent="0.25">
      <c r="A1213" t="s">
        <v>2397</v>
      </c>
    </row>
    <row r="1214" spans="1:1" x14ac:dyDescent="0.25">
      <c r="A1214" t="s">
        <v>1069</v>
      </c>
    </row>
    <row r="1215" spans="1:1" x14ac:dyDescent="0.25">
      <c r="A1215" t="s">
        <v>2396</v>
      </c>
    </row>
    <row r="1216" spans="1:1" x14ac:dyDescent="0.25">
      <c r="A1216" t="s">
        <v>1070</v>
      </c>
    </row>
    <row r="1217" spans="1:1" x14ac:dyDescent="0.25">
      <c r="A1217" t="s">
        <v>2397</v>
      </c>
    </row>
    <row r="1218" spans="1:1" x14ac:dyDescent="0.25">
      <c r="A1218" t="s">
        <v>1071</v>
      </c>
    </row>
    <row r="1219" spans="1:1" x14ac:dyDescent="0.25">
      <c r="A1219" t="s">
        <v>2396</v>
      </c>
    </row>
    <row r="1220" spans="1:1" x14ac:dyDescent="0.25">
      <c r="A1220" t="s">
        <v>1072</v>
      </c>
    </row>
    <row r="1221" spans="1:1" x14ac:dyDescent="0.25">
      <c r="A1221" t="s">
        <v>2397</v>
      </c>
    </row>
    <row r="1222" spans="1:1" x14ac:dyDescent="0.25">
      <c r="A1222" t="s">
        <v>1073</v>
      </c>
    </row>
    <row r="1223" spans="1:1" x14ac:dyDescent="0.25">
      <c r="A1223" t="s">
        <v>2396</v>
      </c>
    </row>
    <row r="1224" spans="1:1" x14ac:dyDescent="0.25">
      <c r="A1224" t="s">
        <v>1074</v>
      </c>
    </row>
    <row r="1225" spans="1:1" x14ac:dyDescent="0.25">
      <c r="A1225" t="s">
        <v>2397</v>
      </c>
    </row>
    <row r="1226" spans="1:1" x14ac:dyDescent="0.25">
      <c r="A1226" t="s">
        <v>1075</v>
      </c>
    </row>
    <row r="1227" spans="1:1" x14ac:dyDescent="0.25">
      <c r="A1227" t="s">
        <v>2396</v>
      </c>
    </row>
    <row r="1228" spans="1:1" x14ac:dyDescent="0.25">
      <c r="A1228" t="s">
        <v>1076</v>
      </c>
    </row>
    <row r="1229" spans="1:1" x14ac:dyDescent="0.25">
      <c r="A1229" t="s">
        <v>2397</v>
      </c>
    </row>
    <row r="1230" spans="1:1" x14ac:dyDescent="0.25">
      <c r="A1230" t="s">
        <v>1077</v>
      </c>
    </row>
    <row r="1231" spans="1:1" x14ac:dyDescent="0.25">
      <c r="A1231" t="s">
        <v>2396</v>
      </c>
    </row>
    <row r="1232" spans="1:1" x14ac:dyDescent="0.25">
      <c r="A1232" t="s">
        <v>1078</v>
      </c>
    </row>
    <row r="1233" spans="1:1" x14ac:dyDescent="0.25">
      <c r="A1233" t="s">
        <v>2397</v>
      </c>
    </row>
    <row r="1234" spans="1:1" x14ac:dyDescent="0.25">
      <c r="A1234" t="s">
        <v>1955</v>
      </c>
    </row>
    <row r="1235" spans="1:1" x14ac:dyDescent="0.25">
      <c r="A1235" t="s">
        <v>2396</v>
      </c>
    </row>
    <row r="1236" spans="1:1" x14ac:dyDescent="0.25">
      <c r="A1236" t="s">
        <v>1958</v>
      </c>
    </row>
    <row r="1237" spans="1:1" x14ac:dyDescent="0.25">
      <c r="A1237" t="s">
        <v>2397</v>
      </c>
    </row>
    <row r="1238" spans="1:1" x14ac:dyDescent="0.25">
      <c r="A1238" t="s">
        <v>1961</v>
      </c>
    </row>
    <row r="1239" spans="1:1" x14ac:dyDescent="0.25">
      <c r="A1239" t="s">
        <v>2396</v>
      </c>
    </row>
    <row r="1240" spans="1:1" x14ac:dyDescent="0.25">
      <c r="A1240" t="s">
        <v>1964</v>
      </c>
    </row>
    <row r="1241" spans="1:1" x14ac:dyDescent="0.25">
      <c r="A1241" t="s">
        <v>2397</v>
      </c>
    </row>
    <row r="1242" spans="1:1" x14ac:dyDescent="0.25">
      <c r="A1242" t="s">
        <v>845</v>
      </c>
    </row>
    <row r="1243" spans="1:1" x14ac:dyDescent="0.25">
      <c r="A1243" t="s">
        <v>840</v>
      </c>
    </row>
    <row r="1244" spans="1:1" x14ac:dyDescent="0.25">
      <c r="A1244" t="s">
        <v>2288</v>
      </c>
    </row>
    <row r="1245" spans="1:1" x14ac:dyDescent="0.25">
      <c r="A1245" t="s">
        <v>879</v>
      </c>
    </row>
    <row r="1246" spans="1:1" x14ac:dyDescent="0.25">
      <c r="A1246" t="s">
        <v>2396</v>
      </c>
    </row>
    <row r="1247" spans="1:1" x14ac:dyDescent="0.25">
      <c r="A1247" t="s">
        <v>880</v>
      </c>
    </row>
    <row r="1248" spans="1:1" x14ac:dyDescent="0.25">
      <c r="A1248" t="s">
        <v>2397</v>
      </c>
    </row>
    <row r="1249" spans="1:1" x14ac:dyDescent="0.25">
      <c r="A1249" t="s">
        <v>1065</v>
      </c>
    </row>
    <row r="1250" spans="1:1" x14ac:dyDescent="0.25">
      <c r="A1250" t="s">
        <v>2396</v>
      </c>
    </row>
    <row r="1251" spans="1:1" x14ac:dyDescent="0.25">
      <c r="A1251" t="s">
        <v>1066</v>
      </c>
    </row>
    <row r="1252" spans="1:1" x14ac:dyDescent="0.25">
      <c r="A1252" t="s">
        <v>2397</v>
      </c>
    </row>
    <row r="1253" spans="1:1" x14ac:dyDescent="0.25">
      <c r="A1253" t="s">
        <v>1067</v>
      </c>
    </row>
    <row r="1254" spans="1:1" x14ac:dyDescent="0.25">
      <c r="A1254" t="s">
        <v>2396</v>
      </c>
    </row>
    <row r="1255" spans="1:1" x14ac:dyDescent="0.25">
      <c r="A1255" t="s">
        <v>1068</v>
      </c>
    </row>
    <row r="1256" spans="1:1" x14ac:dyDescent="0.25">
      <c r="A1256" t="s">
        <v>2397</v>
      </c>
    </row>
    <row r="1257" spans="1:1" x14ac:dyDescent="0.25">
      <c r="A1257" t="s">
        <v>1069</v>
      </c>
    </row>
    <row r="1258" spans="1:1" x14ac:dyDescent="0.25">
      <c r="A1258" t="s">
        <v>2396</v>
      </c>
    </row>
    <row r="1259" spans="1:1" x14ac:dyDescent="0.25">
      <c r="A1259" t="s">
        <v>1070</v>
      </c>
    </row>
    <row r="1260" spans="1:1" x14ac:dyDescent="0.25">
      <c r="A1260" t="s">
        <v>2397</v>
      </c>
    </row>
    <row r="1261" spans="1:1" x14ac:dyDescent="0.25">
      <c r="A1261" t="s">
        <v>1071</v>
      </c>
    </row>
    <row r="1262" spans="1:1" x14ac:dyDescent="0.25">
      <c r="A1262" t="s">
        <v>2396</v>
      </c>
    </row>
    <row r="1263" spans="1:1" x14ac:dyDescent="0.25">
      <c r="A1263" t="s">
        <v>1072</v>
      </c>
    </row>
    <row r="1264" spans="1:1" x14ac:dyDescent="0.25">
      <c r="A1264" t="s">
        <v>2397</v>
      </c>
    </row>
    <row r="1265" spans="1:1" x14ac:dyDescent="0.25">
      <c r="A1265" t="s">
        <v>1073</v>
      </c>
    </row>
    <row r="1266" spans="1:1" x14ac:dyDescent="0.25">
      <c r="A1266" t="s">
        <v>2396</v>
      </c>
    </row>
    <row r="1267" spans="1:1" x14ac:dyDescent="0.25">
      <c r="A1267" t="s">
        <v>1074</v>
      </c>
    </row>
    <row r="1268" spans="1:1" x14ac:dyDescent="0.25">
      <c r="A1268" t="s">
        <v>2397</v>
      </c>
    </row>
    <row r="1269" spans="1:1" x14ac:dyDescent="0.25">
      <c r="A1269" t="s">
        <v>1075</v>
      </c>
    </row>
    <row r="1270" spans="1:1" x14ac:dyDescent="0.25">
      <c r="A1270" t="s">
        <v>2396</v>
      </c>
    </row>
    <row r="1271" spans="1:1" x14ac:dyDescent="0.25">
      <c r="A1271" t="s">
        <v>1076</v>
      </c>
    </row>
    <row r="1272" spans="1:1" x14ac:dyDescent="0.25">
      <c r="A1272" t="s">
        <v>2397</v>
      </c>
    </row>
    <row r="1273" spans="1:1" x14ac:dyDescent="0.25">
      <c r="A1273" t="s">
        <v>1077</v>
      </c>
    </row>
    <row r="1274" spans="1:1" x14ac:dyDescent="0.25">
      <c r="A1274" t="s">
        <v>2396</v>
      </c>
    </row>
    <row r="1275" spans="1:1" x14ac:dyDescent="0.25">
      <c r="A1275" t="s">
        <v>1078</v>
      </c>
    </row>
    <row r="1276" spans="1:1" x14ac:dyDescent="0.25">
      <c r="A1276" t="s">
        <v>2397</v>
      </c>
    </row>
    <row r="1277" spans="1:1" x14ac:dyDescent="0.25">
      <c r="A1277" t="s">
        <v>1955</v>
      </c>
    </row>
    <row r="1278" spans="1:1" x14ac:dyDescent="0.25">
      <c r="A1278" t="s">
        <v>2396</v>
      </c>
    </row>
    <row r="1279" spans="1:1" x14ac:dyDescent="0.25">
      <c r="A1279" t="s">
        <v>1958</v>
      </c>
    </row>
    <row r="1280" spans="1:1" x14ac:dyDescent="0.25">
      <c r="A1280" t="s">
        <v>2397</v>
      </c>
    </row>
    <row r="1281" spans="1:1" x14ac:dyDescent="0.25">
      <c r="A1281" t="s">
        <v>1961</v>
      </c>
    </row>
    <row r="1282" spans="1:1" x14ac:dyDescent="0.25">
      <c r="A1282" t="s">
        <v>2396</v>
      </c>
    </row>
    <row r="1283" spans="1:1" x14ac:dyDescent="0.25">
      <c r="A1283" t="s">
        <v>1964</v>
      </c>
    </row>
    <row r="1284" spans="1:1" x14ac:dyDescent="0.25">
      <c r="A1284" t="s">
        <v>2397</v>
      </c>
    </row>
    <row r="1285" spans="1:1" x14ac:dyDescent="0.25">
      <c r="A1285" t="s">
        <v>811</v>
      </c>
    </row>
    <row r="1286" spans="1:1" x14ac:dyDescent="0.25">
      <c r="A1286" t="s">
        <v>468</v>
      </c>
    </row>
    <row r="1287" spans="1:1" x14ac:dyDescent="0.25">
      <c r="A1287" t="s">
        <v>634</v>
      </c>
    </row>
    <row r="1288" spans="1:1" x14ac:dyDescent="0.25">
      <c r="A1288" t="s">
        <v>2404</v>
      </c>
    </row>
    <row r="1289" spans="1:1" x14ac:dyDescent="0.25">
      <c r="A1289" t="s">
        <v>2393</v>
      </c>
    </row>
    <row r="1290" spans="1:1" x14ac:dyDescent="0.25">
      <c r="A1290" t="s">
        <v>876</v>
      </c>
    </row>
    <row r="1291" spans="1:1" x14ac:dyDescent="0.25">
      <c r="A1291" t="s">
        <v>2394</v>
      </c>
    </row>
    <row r="1292" spans="1:1" x14ac:dyDescent="0.25">
      <c r="A1292" t="s">
        <v>877</v>
      </c>
    </row>
    <row r="1293" spans="1:1" x14ac:dyDescent="0.25">
      <c r="A1293" t="s">
        <v>2395</v>
      </c>
    </row>
    <row r="1294" spans="1:1" x14ac:dyDescent="0.25">
      <c r="A1294" t="s">
        <v>1024</v>
      </c>
    </row>
    <row r="1295" spans="1:1" x14ac:dyDescent="0.25">
      <c r="A1295" t="s">
        <v>2394</v>
      </c>
    </row>
    <row r="1296" spans="1:1" x14ac:dyDescent="0.25">
      <c r="A1296" t="s">
        <v>1025</v>
      </c>
    </row>
    <row r="1297" spans="1:1" x14ac:dyDescent="0.25">
      <c r="A1297" t="s">
        <v>2395</v>
      </c>
    </row>
    <row r="1298" spans="1:1" x14ac:dyDescent="0.25">
      <c r="A1298" t="s">
        <v>1026</v>
      </c>
    </row>
    <row r="1299" spans="1:1" x14ac:dyDescent="0.25">
      <c r="A1299" t="s">
        <v>2394</v>
      </c>
    </row>
    <row r="1300" spans="1:1" x14ac:dyDescent="0.25">
      <c r="A1300" t="s">
        <v>1027</v>
      </c>
    </row>
    <row r="1301" spans="1:1" x14ac:dyDescent="0.25">
      <c r="A1301" t="s">
        <v>2395</v>
      </c>
    </row>
    <row r="1302" spans="1:1" x14ac:dyDescent="0.25">
      <c r="A1302" t="s">
        <v>1028</v>
      </c>
    </row>
    <row r="1303" spans="1:1" x14ac:dyDescent="0.25">
      <c r="A1303" t="s">
        <v>2394</v>
      </c>
    </row>
    <row r="1304" spans="1:1" x14ac:dyDescent="0.25">
      <c r="A1304" t="s">
        <v>1029</v>
      </c>
    </row>
    <row r="1305" spans="1:1" x14ac:dyDescent="0.25">
      <c r="A1305" t="s">
        <v>2395</v>
      </c>
    </row>
    <row r="1306" spans="1:1" x14ac:dyDescent="0.25">
      <c r="A1306" t="s">
        <v>1030</v>
      </c>
    </row>
    <row r="1307" spans="1:1" x14ac:dyDescent="0.25">
      <c r="A1307" t="s">
        <v>2394</v>
      </c>
    </row>
    <row r="1308" spans="1:1" x14ac:dyDescent="0.25">
      <c r="A1308" t="s">
        <v>1031</v>
      </c>
    </row>
    <row r="1309" spans="1:1" x14ac:dyDescent="0.25">
      <c r="A1309" t="s">
        <v>2395</v>
      </c>
    </row>
    <row r="1310" spans="1:1" x14ac:dyDescent="0.25">
      <c r="A1310" t="s">
        <v>1032</v>
      </c>
    </row>
    <row r="1311" spans="1:1" x14ac:dyDescent="0.25">
      <c r="A1311" t="s">
        <v>2394</v>
      </c>
    </row>
    <row r="1312" spans="1:1" x14ac:dyDescent="0.25">
      <c r="A1312" t="s">
        <v>1033</v>
      </c>
    </row>
    <row r="1313" spans="1:1" x14ac:dyDescent="0.25">
      <c r="A1313" t="s">
        <v>2395</v>
      </c>
    </row>
    <row r="1314" spans="1:1" x14ac:dyDescent="0.25">
      <c r="A1314" t="s">
        <v>1034</v>
      </c>
    </row>
    <row r="1315" spans="1:1" x14ac:dyDescent="0.25">
      <c r="A1315" t="s">
        <v>2394</v>
      </c>
    </row>
    <row r="1316" spans="1:1" x14ac:dyDescent="0.25">
      <c r="A1316" t="s">
        <v>1035</v>
      </c>
    </row>
    <row r="1317" spans="1:1" x14ac:dyDescent="0.25">
      <c r="A1317" t="s">
        <v>2395</v>
      </c>
    </row>
    <row r="1318" spans="1:1" x14ac:dyDescent="0.25">
      <c r="A1318" t="s">
        <v>1036</v>
      </c>
    </row>
    <row r="1319" spans="1:1" x14ac:dyDescent="0.25">
      <c r="A1319" t="s">
        <v>2394</v>
      </c>
    </row>
    <row r="1320" spans="1:1" x14ac:dyDescent="0.25">
      <c r="A1320" t="s">
        <v>1037</v>
      </c>
    </row>
    <row r="1321" spans="1:1" x14ac:dyDescent="0.25">
      <c r="A1321" t="s">
        <v>2395</v>
      </c>
    </row>
    <row r="1322" spans="1:1" x14ac:dyDescent="0.25">
      <c r="A1322" t="s">
        <v>1935</v>
      </c>
    </row>
    <row r="1323" spans="1:1" x14ac:dyDescent="0.25">
      <c r="A1323" t="s">
        <v>2394</v>
      </c>
    </row>
    <row r="1324" spans="1:1" x14ac:dyDescent="0.25">
      <c r="A1324" t="s">
        <v>1938</v>
      </c>
    </row>
    <row r="1325" spans="1:1" x14ac:dyDescent="0.25">
      <c r="A1325" t="s">
        <v>2395</v>
      </c>
    </row>
    <row r="1326" spans="1:1" x14ac:dyDescent="0.25">
      <c r="A1326" t="s">
        <v>1941</v>
      </c>
    </row>
    <row r="1327" spans="1:1" x14ac:dyDescent="0.25">
      <c r="A1327" t="s">
        <v>2394</v>
      </c>
    </row>
    <row r="1328" spans="1:1" x14ac:dyDescent="0.25">
      <c r="A1328" t="s">
        <v>1944</v>
      </c>
    </row>
    <row r="1329" spans="1:1" x14ac:dyDescent="0.25">
      <c r="A1329" t="s">
        <v>845</v>
      </c>
    </row>
    <row r="1330" spans="1:1" x14ac:dyDescent="0.25">
      <c r="A1330" t="s">
        <v>841</v>
      </c>
    </row>
    <row r="1331" spans="1:1" x14ac:dyDescent="0.25">
      <c r="A1331" t="s">
        <v>2313</v>
      </c>
    </row>
    <row r="1332" spans="1:1" x14ac:dyDescent="0.25">
      <c r="A1332" t="s">
        <v>2393</v>
      </c>
    </row>
    <row r="1333" spans="1:1" x14ac:dyDescent="0.25">
      <c r="A1333" t="s">
        <v>876</v>
      </c>
    </row>
    <row r="1334" spans="1:1" x14ac:dyDescent="0.25">
      <c r="A1334" t="s">
        <v>2394</v>
      </c>
    </row>
    <row r="1335" spans="1:1" x14ac:dyDescent="0.25">
      <c r="A1335" t="s">
        <v>877</v>
      </c>
    </row>
    <row r="1336" spans="1:1" x14ac:dyDescent="0.25">
      <c r="A1336" t="s">
        <v>2395</v>
      </c>
    </row>
    <row r="1337" spans="1:1" x14ac:dyDescent="0.25">
      <c r="A1337" t="s">
        <v>1024</v>
      </c>
    </row>
    <row r="1338" spans="1:1" x14ac:dyDescent="0.25">
      <c r="A1338" t="s">
        <v>2394</v>
      </c>
    </row>
    <row r="1339" spans="1:1" x14ac:dyDescent="0.25">
      <c r="A1339" t="s">
        <v>1025</v>
      </c>
    </row>
    <row r="1340" spans="1:1" x14ac:dyDescent="0.25">
      <c r="A1340" t="s">
        <v>2395</v>
      </c>
    </row>
    <row r="1341" spans="1:1" x14ac:dyDescent="0.25">
      <c r="A1341" t="s">
        <v>1026</v>
      </c>
    </row>
    <row r="1342" spans="1:1" x14ac:dyDescent="0.25">
      <c r="A1342" t="s">
        <v>2394</v>
      </c>
    </row>
    <row r="1343" spans="1:1" x14ac:dyDescent="0.25">
      <c r="A1343" t="s">
        <v>1027</v>
      </c>
    </row>
    <row r="1344" spans="1:1" x14ac:dyDescent="0.25">
      <c r="A1344" t="s">
        <v>2395</v>
      </c>
    </row>
    <row r="1345" spans="1:1" x14ac:dyDescent="0.25">
      <c r="A1345" t="s">
        <v>1028</v>
      </c>
    </row>
    <row r="1346" spans="1:1" x14ac:dyDescent="0.25">
      <c r="A1346" t="s">
        <v>2394</v>
      </c>
    </row>
    <row r="1347" spans="1:1" x14ac:dyDescent="0.25">
      <c r="A1347" t="s">
        <v>1029</v>
      </c>
    </row>
    <row r="1348" spans="1:1" x14ac:dyDescent="0.25">
      <c r="A1348" t="s">
        <v>2395</v>
      </c>
    </row>
    <row r="1349" spans="1:1" x14ac:dyDescent="0.25">
      <c r="A1349" t="s">
        <v>1030</v>
      </c>
    </row>
    <row r="1350" spans="1:1" x14ac:dyDescent="0.25">
      <c r="A1350" t="s">
        <v>2394</v>
      </c>
    </row>
    <row r="1351" spans="1:1" x14ac:dyDescent="0.25">
      <c r="A1351" t="s">
        <v>1031</v>
      </c>
    </row>
    <row r="1352" spans="1:1" x14ac:dyDescent="0.25">
      <c r="A1352" t="s">
        <v>2395</v>
      </c>
    </row>
    <row r="1353" spans="1:1" x14ac:dyDescent="0.25">
      <c r="A1353" t="s">
        <v>1032</v>
      </c>
    </row>
    <row r="1354" spans="1:1" x14ac:dyDescent="0.25">
      <c r="A1354" t="s">
        <v>2394</v>
      </c>
    </row>
    <row r="1355" spans="1:1" x14ac:dyDescent="0.25">
      <c r="A1355" t="s">
        <v>1033</v>
      </c>
    </row>
    <row r="1356" spans="1:1" x14ac:dyDescent="0.25">
      <c r="A1356" t="s">
        <v>2395</v>
      </c>
    </row>
    <row r="1357" spans="1:1" x14ac:dyDescent="0.25">
      <c r="A1357" t="s">
        <v>1034</v>
      </c>
    </row>
    <row r="1358" spans="1:1" x14ac:dyDescent="0.25">
      <c r="A1358" t="s">
        <v>2394</v>
      </c>
    </row>
    <row r="1359" spans="1:1" x14ac:dyDescent="0.25">
      <c r="A1359" t="s">
        <v>1035</v>
      </c>
    </row>
    <row r="1360" spans="1:1" x14ac:dyDescent="0.25">
      <c r="A1360" t="s">
        <v>2395</v>
      </c>
    </row>
    <row r="1361" spans="1:1" x14ac:dyDescent="0.25">
      <c r="A1361" t="s">
        <v>1036</v>
      </c>
    </row>
    <row r="1362" spans="1:1" x14ac:dyDescent="0.25">
      <c r="A1362" t="s">
        <v>2394</v>
      </c>
    </row>
    <row r="1363" spans="1:1" x14ac:dyDescent="0.25">
      <c r="A1363" t="s">
        <v>1037</v>
      </c>
    </row>
    <row r="1364" spans="1:1" x14ac:dyDescent="0.25">
      <c r="A1364" t="s">
        <v>2395</v>
      </c>
    </row>
    <row r="1365" spans="1:1" x14ac:dyDescent="0.25">
      <c r="A1365" t="s">
        <v>1935</v>
      </c>
    </row>
    <row r="1366" spans="1:1" x14ac:dyDescent="0.25">
      <c r="A1366" t="s">
        <v>2394</v>
      </c>
    </row>
    <row r="1367" spans="1:1" x14ac:dyDescent="0.25">
      <c r="A1367" t="s">
        <v>1938</v>
      </c>
    </row>
    <row r="1368" spans="1:1" x14ac:dyDescent="0.25">
      <c r="A1368" t="s">
        <v>2395</v>
      </c>
    </row>
    <row r="1369" spans="1:1" x14ac:dyDescent="0.25">
      <c r="A1369" t="s">
        <v>1941</v>
      </c>
    </row>
    <row r="1370" spans="1:1" x14ac:dyDescent="0.25">
      <c r="A1370" t="s">
        <v>2394</v>
      </c>
    </row>
    <row r="1371" spans="1:1" x14ac:dyDescent="0.25">
      <c r="A1371" t="s">
        <v>1944</v>
      </c>
    </row>
    <row r="1372" spans="1:1" x14ac:dyDescent="0.25">
      <c r="A1372" t="s">
        <v>811</v>
      </c>
    </row>
    <row r="1373" spans="1:1" x14ac:dyDescent="0.25">
      <c r="A1373" t="s">
        <v>467</v>
      </c>
    </row>
    <row r="1374" spans="1:1" x14ac:dyDescent="0.25">
      <c r="A1374" t="s">
        <v>634</v>
      </c>
    </row>
    <row r="1375" spans="1:1" x14ac:dyDescent="0.25">
      <c r="A1375" t="s">
        <v>2326</v>
      </c>
    </row>
    <row r="1376" spans="1:1" x14ac:dyDescent="0.25">
      <c r="A1376" t="s">
        <v>879</v>
      </c>
    </row>
    <row r="1377" spans="1:1" x14ac:dyDescent="0.25">
      <c r="A1377" t="s">
        <v>2396</v>
      </c>
    </row>
    <row r="1378" spans="1:1" x14ac:dyDescent="0.25">
      <c r="A1378" t="s">
        <v>880</v>
      </c>
    </row>
    <row r="1379" spans="1:1" x14ac:dyDescent="0.25">
      <c r="A1379" t="s">
        <v>2397</v>
      </c>
    </row>
    <row r="1380" spans="1:1" x14ac:dyDescent="0.25">
      <c r="A1380" t="s">
        <v>1065</v>
      </c>
    </row>
    <row r="1381" spans="1:1" x14ac:dyDescent="0.25">
      <c r="A1381" t="s">
        <v>2396</v>
      </c>
    </row>
    <row r="1382" spans="1:1" x14ac:dyDescent="0.25">
      <c r="A1382" t="s">
        <v>1066</v>
      </c>
    </row>
    <row r="1383" spans="1:1" x14ac:dyDescent="0.25">
      <c r="A1383" t="s">
        <v>2397</v>
      </c>
    </row>
    <row r="1384" spans="1:1" x14ac:dyDescent="0.25">
      <c r="A1384" t="s">
        <v>1067</v>
      </c>
    </row>
    <row r="1385" spans="1:1" x14ac:dyDescent="0.25">
      <c r="A1385" t="s">
        <v>2396</v>
      </c>
    </row>
    <row r="1386" spans="1:1" x14ac:dyDescent="0.25">
      <c r="A1386" t="s">
        <v>1068</v>
      </c>
    </row>
    <row r="1387" spans="1:1" x14ac:dyDescent="0.25">
      <c r="A1387" t="s">
        <v>2397</v>
      </c>
    </row>
    <row r="1388" spans="1:1" x14ac:dyDescent="0.25">
      <c r="A1388" t="s">
        <v>1069</v>
      </c>
    </row>
    <row r="1389" spans="1:1" x14ac:dyDescent="0.25">
      <c r="A1389" t="s">
        <v>2396</v>
      </c>
    </row>
    <row r="1390" spans="1:1" x14ac:dyDescent="0.25">
      <c r="A1390" t="s">
        <v>1070</v>
      </c>
    </row>
    <row r="1391" spans="1:1" x14ac:dyDescent="0.25">
      <c r="A1391" t="s">
        <v>2397</v>
      </c>
    </row>
    <row r="1392" spans="1:1" x14ac:dyDescent="0.25">
      <c r="A1392" t="s">
        <v>1071</v>
      </c>
    </row>
    <row r="1393" spans="1:1" x14ac:dyDescent="0.25">
      <c r="A1393" t="s">
        <v>2396</v>
      </c>
    </row>
    <row r="1394" spans="1:1" x14ac:dyDescent="0.25">
      <c r="A1394" t="s">
        <v>1072</v>
      </c>
    </row>
    <row r="1395" spans="1:1" x14ac:dyDescent="0.25">
      <c r="A1395" t="s">
        <v>2397</v>
      </c>
    </row>
    <row r="1396" spans="1:1" x14ac:dyDescent="0.25">
      <c r="A1396" t="s">
        <v>1073</v>
      </c>
    </row>
    <row r="1397" spans="1:1" x14ac:dyDescent="0.25">
      <c r="A1397" t="s">
        <v>2396</v>
      </c>
    </row>
    <row r="1398" spans="1:1" x14ac:dyDescent="0.25">
      <c r="A1398" t="s">
        <v>1074</v>
      </c>
    </row>
    <row r="1399" spans="1:1" x14ac:dyDescent="0.25">
      <c r="A1399" t="s">
        <v>2397</v>
      </c>
    </row>
    <row r="1400" spans="1:1" x14ac:dyDescent="0.25">
      <c r="A1400" t="s">
        <v>1075</v>
      </c>
    </row>
    <row r="1401" spans="1:1" x14ac:dyDescent="0.25">
      <c r="A1401" t="s">
        <v>2396</v>
      </c>
    </row>
    <row r="1402" spans="1:1" x14ac:dyDescent="0.25">
      <c r="A1402" t="s">
        <v>1076</v>
      </c>
    </row>
    <row r="1403" spans="1:1" x14ac:dyDescent="0.25">
      <c r="A1403" t="s">
        <v>2397</v>
      </c>
    </row>
    <row r="1404" spans="1:1" x14ac:dyDescent="0.25">
      <c r="A1404" t="s">
        <v>1077</v>
      </c>
    </row>
    <row r="1405" spans="1:1" x14ac:dyDescent="0.25">
      <c r="A1405" t="s">
        <v>2396</v>
      </c>
    </row>
    <row r="1406" spans="1:1" x14ac:dyDescent="0.25">
      <c r="A1406" t="s">
        <v>1078</v>
      </c>
    </row>
    <row r="1407" spans="1:1" x14ac:dyDescent="0.25">
      <c r="A1407" t="s">
        <v>2397</v>
      </c>
    </row>
    <row r="1408" spans="1:1" x14ac:dyDescent="0.25">
      <c r="A1408" t="s">
        <v>1955</v>
      </c>
    </row>
    <row r="1409" spans="1:1" x14ac:dyDescent="0.25">
      <c r="A1409" t="s">
        <v>2396</v>
      </c>
    </row>
    <row r="1410" spans="1:1" x14ac:dyDescent="0.25">
      <c r="A1410" t="s">
        <v>1958</v>
      </c>
    </row>
    <row r="1411" spans="1:1" x14ac:dyDescent="0.25">
      <c r="A1411" t="s">
        <v>2397</v>
      </c>
    </row>
    <row r="1412" spans="1:1" x14ac:dyDescent="0.25">
      <c r="A1412" t="s">
        <v>1961</v>
      </c>
    </row>
    <row r="1413" spans="1:1" x14ac:dyDescent="0.25">
      <c r="A1413" t="s">
        <v>2396</v>
      </c>
    </row>
    <row r="1414" spans="1:1" x14ac:dyDescent="0.25">
      <c r="A1414" t="s">
        <v>1964</v>
      </c>
    </row>
    <row r="1415" spans="1:1" x14ac:dyDescent="0.25">
      <c r="A1415" t="s">
        <v>2397</v>
      </c>
    </row>
    <row r="1416" spans="1:1" x14ac:dyDescent="0.25">
      <c r="A1416" t="s">
        <v>845</v>
      </c>
    </row>
    <row r="1417" spans="1:1" x14ac:dyDescent="0.25">
      <c r="A1417" t="s">
        <v>842</v>
      </c>
    </row>
    <row r="1418" spans="1:1" x14ac:dyDescent="0.25">
      <c r="A1418" t="s">
        <v>2339</v>
      </c>
    </row>
    <row r="1419" spans="1:1" x14ac:dyDescent="0.25">
      <c r="A1419" t="s">
        <v>879</v>
      </c>
    </row>
    <row r="1420" spans="1:1" x14ac:dyDescent="0.25">
      <c r="A1420" t="s">
        <v>2396</v>
      </c>
    </row>
    <row r="1421" spans="1:1" x14ac:dyDescent="0.25">
      <c r="A1421" t="s">
        <v>880</v>
      </c>
    </row>
    <row r="1422" spans="1:1" x14ac:dyDescent="0.25">
      <c r="A1422" t="s">
        <v>2397</v>
      </c>
    </row>
    <row r="1423" spans="1:1" x14ac:dyDescent="0.25">
      <c r="A1423" t="s">
        <v>1065</v>
      </c>
    </row>
    <row r="1424" spans="1:1" x14ac:dyDescent="0.25">
      <c r="A1424" t="s">
        <v>2396</v>
      </c>
    </row>
    <row r="1425" spans="1:1" x14ac:dyDescent="0.25">
      <c r="A1425" t="s">
        <v>1066</v>
      </c>
    </row>
    <row r="1426" spans="1:1" x14ac:dyDescent="0.25">
      <c r="A1426" t="s">
        <v>2397</v>
      </c>
    </row>
    <row r="1427" spans="1:1" x14ac:dyDescent="0.25">
      <c r="A1427" t="s">
        <v>1067</v>
      </c>
    </row>
    <row r="1428" spans="1:1" x14ac:dyDescent="0.25">
      <c r="A1428" t="s">
        <v>2396</v>
      </c>
    </row>
    <row r="1429" spans="1:1" x14ac:dyDescent="0.25">
      <c r="A1429" t="s">
        <v>1068</v>
      </c>
    </row>
    <row r="1430" spans="1:1" x14ac:dyDescent="0.25">
      <c r="A1430" t="s">
        <v>2397</v>
      </c>
    </row>
    <row r="1431" spans="1:1" x14ac:dyDescent="0.25">
      <c r="A1431" t="s">
        <v>1069</v>
      </c>
    </row>
    <row r="1432" spans="1:1" x14ac:dyDescent="0.25">
      <c r="A1432" t="s">
        <v>2396</v>
      </c>
    </row>
    <row r="1433" spans="1:1" x14ac:dyDescent="0.25">
      <c r="A1433" t="s">
        <v>1070</v>
      </c>
    </row>
    <row r="1434" spans="1:1" x14ac:dyDescent="0.25">
      <c r="A1434" t="s">
        <v>2397</v>
      </c>
    </row>
    <row r="1435" spans="1:1" x14ac:dyDescent="0.25">
      <c r="A1435" t="s">
        <v>1071</v>
      </c>
    </row>
    <row r="1436" spans="1:1" x14ac:dyDescent="0.25">
      <c r="A1436" t="s">
        <v>2396</v>
      </c>
    </row>
    <row r="1437" spans="1:1" x14ac:dyDescent="0.25">
      <c r="A1437" t="s">
        <v>1072</v>
      </c>
    </row>
    <row r="1438" spans="1:1" x14ac:dyDescent="0.25">
      <c r="A1438" t="s">
        <v>2397</v>
      </c>
    </row>
    <row r="1439" spans="1:1" x14ac:dyDescent="0.25">
      <c r="A1439" t="s">
        <v>1073</v>
      </c>
    </row>
    <row r="1440" spans="1:1" x14ac:dyDescent="0.25">
      <c r="A1440" t="s">
        <v>2396</v>
      </c>
    </row>
    <row r="1441" spans="1:1" x14ac:dyDescent="0.25">
      <c r="A1441" t="s">
        <v>1074</v>
      </c>
    </row>
    <row r="1442" spans="1:1" x14ac:dyDescent="0.25">
      <c r="A1442" t="s">
        <v>2397</v>
      </c>
    </row>
    <row r="1443" spans="1:1" x14ac:dyDescent="0.25">
      <c r="A1443" t="s">
        <v>1075</v>
      </c>
    </row>
    <row r="1444" spans="1:1" x14ac:dyDescent="0.25">
      <c r="A1444" t="s">
        <v>2396</v>
      </c>
    </row>
    <row r="1445" spans="1:1" x14ac:dyDescent="0.25">
      <c r="A1445" t="s">
        <v>1076</v>
      </c>
    </row>
    <row r="1446" spans="1:1" x14ac:dyDescent="0.25">
      <c r="A1446" t="s">
        <v>2397</v>
      </c>
    </row>
    <row r="1447" spans="1:1" x14ac:dyDescent="0.25">
      <c r="A1447" t="s">
        <v>1077</v>
      </c>
    </row>
    <row r="1448" spans="1:1" x14ac:dyDescent="0.25">
      <c r="A1448" t="s">
        <v>2396</v>
      </c>
    </row>
    <row r="1449" spans="1:1" x14ac:dyDescent="0.25">
      <c r="A1449" t="s">
        <v>1078</v>
      </c>
    </row>
    <row r="1450" spans="1:1" x14ac:dyDescent="0.25">
      <c r="A1450" t="s">
        <v>2397</v>
      </c>
    </row>
    <row r="1451" spans="1:1" x14ac:dyDescent="0.25">
      <c r="A1451" t="s">
        <v>1955</v>
      </c>
    </row>
    <row r="1452" spans="1:1" x14ac:dyDescent="0.25">
      <c r="A1452" t="s">
        <v>2396</v>
      </c>
    </row>
    <row r="1453" spans="1:1" x14ac:dyDescent="0.25">
      <c r="A1453" t="s">
        <v>1958</v>
      </c>
    </row>
    <row r="1454" spans="1:1" x14ac:dyDescent="0.25">
      <c r="A1454" t="s">
        <v>2397</v>
      </c>
    </row>
    <row r="1455" spans="1:1" x14ac:dyDescent="0.25">
      <c r="A1455" t="s">
        <v>1961</v>
      </c>
    </row>
    <row r="1456" spans="1:1" x14ac:dyDescent="0.25">
      <c r="A1456" t="s">
        <v>2396</v>
      </c>
    </row>
    <row r="1457" spans="1:1" x14ac:dyDescent="0.25">
      <c r="A1457" t="s">
        <v>1964</v>
      </c>
    </row>
    <row r="1458" spans="1:1" x14ac:dyDescent="0.25">
      <c r="A1458" t="s">
        <v>2397</v>
      </c>
    </row>
    <row r="1459" spans="1:1" x14ac:dyDescent="0.25">
      <c r="A1459" t="s">
        <v>811</v>
      </c>
    </row>
    <row r="1460" spans="1:1" x14ac:dyDescent="0.25">
      <c r="A1460" t="s">
        <v>468</v>
      </c>
    </row>
    <row r="1461" spans="1:1" x14ac:dyDescent="0.25">
      <c r="A1461" t="s">
        <v>634</v>
      </c>
    </row>
    <row r="1462" spans="1:1" x14ac:dyDescent="0.25">
      <c r="A1462" t="s">
        <v>2405</v>
      </c>
    </row>
    <row r="1463" spans="1:1" x14ac:dyDescent="0.25">
      <c r="A1463" t="s">
        <v>2393</v>
      </c>
    </row>
    <row r="1464" spans="1:1" x14ac:dyDescent="0.25">
      <c r="A1464" t="s">
        <v>876</v>
      </c>
    </row>
    <row r="1465" spans="1:1" x14ac:dyDescent="0.25">
      <c r="A1465" t="s">
        <v>2394</v>
      </c>
    </row>
    <row r="1466" spans="1:1" x14ac:dyDescent="0.25">
      <c r="A1466" t="s">
        <v>877</v>
      </c>
    </row>
    <row r="1467" spans="1:1" x14ac:dyDescent="0.25">
      <c r="A1467" t="s">
        <v>2395</v>
      </c>
    </row>
    <row r="1468" spans="1:1" x14ac:dyDescent="0.25">
      <c r="A1468" t="s">
        <v>1024</v>
      </c>
    </row>
    <row r="1469" spans="1:1" x14ac:dyDescent="0.25">
      <c r="A1469" t="s">
        <v>2394</v>
      </c>
    </row>
    <row r="1470" spans="1:1" x14ac:dyDescent="0.25">
      <c r="A1470" t="s">
        <v>1025</v>
      </c>
    </row>
    <row r="1471" spans="1:1" x14ac:dyDescent="0.25">
      <c r="A1471" t="s">
        <v>2395</v>
      </c>
    </row>
    <row r="1472" spans="1:1" x14ac:dyDescent="0.25">
      <c r="A1472" t="s">
        <v>1026</v>
      </c>
    </row>
    <row r="1473" spans="1:1" x14ac:dyDescent="0.25">
      <c r="A1473" t="s">
        <v>2394</v>
      </c>
    </row>
    <row r="1474" spans="1:1" x14ac:dyDescent="0.25">
      <c r="A1474" t="s">
        <v>1027</v>
      </c>
    </row>
    <row r="1475" spans="1:1" x14ac:dyDescent="0.25">
      <c r="A1475" t="s">
        <v>2395</v>
      </c>
    </row>
    <row r="1476" spans="1:1" x14ac:dyDescent="0.25">
      <c r="A1476" t="s">
        <v>1028</v>
      </c>
    </row>
    <row r="1477" spans="1:1" x14ac:dyDescent="0.25">
      <c r="A1477" t="s">
        <v>2394</v>
      </c>
    </row>
    <row r="1478" spans="1:1" x14ac:dyDescent="0.25">
      <c r="A1478" t="s">
        <v>1029</v>
      </c>
    </row>
    <row r="1479" spans="1:1" x14ac:dyDescent="0.25">
      <c r="A1479" t="s">
        <v>2395</v>
      </c>
    </row>
    <row r="1480" spans="1:1" x14ac:dyDescent="0.25">
      <c r="A1480" t="s">
        <v>1030</v>
      </c>
    </row>
    <row r="1481" spans="1:1" x14ac:dyDescent="0.25">
      <c r="A1481" t="s">
        <v>2394</v>
      </c>
    </row>
    <row r="1482" spans="1:1" x14ac:dyDescent="0.25">
      <c r="A1482" t="s">
        <v>1031</v>
      </c>
    </row>
    <row r="1483" spans="1:1" x14ac:dyDescent="0.25">
      <c r="A1483" t="s">
        <v>2395</v>
      </c>
    </row>
    <row r="1484" spans="1:1" x14ac:dyDescent="0.25">
      <c r="A1484" t="s">
        <v>1032</v>
      </c>
    </row>
    <row r="1485" spans="1:1" x14ac:dyDescent="0.25">
      <c r="A1485" t="s">
        <v>2394</v>
      </c>
    </row>
    <row r="1486" spans="1:1" x14ac:dyDescent="0.25">
      <c r="A1486" t="s">
        <v>1033</v>
      </c>
    </row>
    <row r="1487" spans="1:1" x14ac:dyDescent="0.25">
      <c r="A1487" t="s">
        <v>2395</v>
      </c>
    </row>
    <row r="1488" spans="1:1" x14ac:dyDescent="0.25">
      <c r="A1488" t="s">
        <v>1034</v>
      </c>
    </row>
    <row r="1489" spans="1:1" x14ac:dyDescent="0.25">
      <c r="A1489" t="s">
        <v>2394</v>
      </c>
    </row>
    <row r="1490" spans="1:1" x14ac:dyDescent="0.25">
      <c r="A1490" t="s">
        <v>1035</v>
      </c>
    </row>
    <row r="1491" spans="1:1" x14ac:dyDescent="0.25">
      <c r="A1491" t="s">
        <v>2395</v>
      </c>
    </row>
    <row r="1492" spans="1:1" x14ac:dyDescent="0.25">
      <c r="A1492" t="s">
        <v>1036</v>
      </c>
    </row>
    <row r="1493" spans="1:1" x14ac:dyDescent="0.25">
      <c r="A1493" t="s">
        <v>2394</v>
      </c>
    </row>
    <row r="1494" spans="1:1" x14ac:dyDescent="0.25">
      <c r="A1494" t="s">
        <v>1037</v>
      </c>
    </row>
    <row r="1495" spans="1:1" x14ac:dyDescent="0.25">
      <c r="A1495" t="s">
        <v>2395</v>
      </c>
    </row>
    <row r="1496" spans="1:1" x14ac:dyDescent="0.25">
      <c r="A1496" t="s">
        <v>1935</v>
      </c>
    </row>
    <row r="1497" spans="1:1" x14ac:dyDescent="0.25">
      <c r="A1497" t="s">
        <v>2394</v>
      </c>
    </row>
    <row r="1498" spans="1:1" x14ac:dyDescent="0.25">
      <c r="A1498" t="s">
        <v>1938</v>
      </c>
    </row>
    <row r="1499" spans="1:1" x14ac:dyDescent="0.25">
      <c r="A1499" t="s">
        <v>2395</v>
      </c>
    </row>
    <row r="1500" spans="1:1" x14ac:dyDescent="0.25">
      <c r="A1500" t="s">
        <v>1941</v>
      </c>
    </row>
    <row r="1501" spans="1:1" x14ac:dyDescent="0.25">
      <c r="A1501" t="s">
        <v>2394</v>
      </c>
    </row>
    <row r="1502" spans="1:1" x14ac:dyDescent="0.25">
      <c r="A1502" t="s">
        <v>1944</v>
      </c>
    </row>
    <row r="1503" spans="1:1" x14ac:dyDescent="0.25">
      <c r="A1503" t="s">
        <v>845</v>
      </c>
    </row>
    <row r="1504" spans="1:1" x14ac:dyDescent="0.25">
      <c r="A1504" t="s">
        <v>843</v>
      </c>
    </row>
    <row r="1505" spans="1:1" x14ac:dyDescent="0.25">
      <c r="A1505" t="s">
        <v>2364</v>
      </c>
    </row>
    <row r="1506" spans="1:1" x14ac:dyDescent="0.25">
      <c r="A1506" t="s">
        <v>2393</v>
      </c>
    </row>
    <row r="1507" spans="1:1" x14ac:dyDescent="0.25">
      <c r="A1507" t="s">
        <v>876</v>
      </c>
    </row>
    <row r="1508" spans="1:1" x14ac:dyDescent="0.25">
      <c r="A1508" t="s">
        <v>2394</v>
      </c>
    </row>
    <row r="1509" spans="1:1" x14ac:dyDescent="0.25">
      <c r="A1509" t="s">
        <v>877</v>
      </c>
    </row>
    <row r="1510" spans="1:1" x14ac:dyDescent="0.25">
      <c r="A1510" t="s">
        <v>2395</v>
      </c>
    </row>
    <row r="1511" spans="1:1" x14ac:dyDescent="0.25">
      <c r="A1511" t="s">
        <v>1024</v>
      </c>
    </row>
    <row r="1512" spans="1:1" x14ac:dyDescent="0.25">
      <c r="A1512" t="s">
        <v>2394</v>
      </c>
    </row>
    <row r="1513" spans="1:1" x14ac:dyDescent="0.25">
      <c r="A1513" t="s">
        <v>1025</v>
      </c>
    </row>
    <row r="1514" spans="1:1" x14ac:dyDescent="0.25">
      <c r="A1514" t="s">
        <v>2395</v>
      </c>
    </row>
    <row r="1515" spans="1:1" x14ac:dyDescent="0.25">
      <c r="A1515" t="s">
        <v>1026</v>
      </c>
    </row>
    <row r="1516" spans="1:1" x14ac:dyDescent="0.25">
      <c r="A1516" t="s">
        <v>2394</v>
      </c>
    </row>
    <row r="1517" spans="1:1" x14ac:dyDescent="0.25">
      <c r="A1517" t="s">
        <v>1027</v>
      </c>
    </row>
    <row r="1518" spans="1:1" x14ac:dyDescent="0.25">
      <c r="A1518" t="s">
        <v>2395</v>
      </c>
    </row>
    <row r="1519" spans="1:1" x14ac:dyDescent="0.25">
      <c r="A1519" t="s">
        <v>1028</v>
      </c>
    </row>
    <row r="1520" spans="1:1" x14ac:dyDescent="0.25">
      <c r="A1520" t="s">
        <v>2394</v>
      </c>
    </row>
    <row r="1521" spans="1:1" x14ac:dyDescent="0.25">
      <c r="A1521" t="s">
        <v>1029</v>
      </c>
    </row>
    <row r="1522" spans="1:1" x14ac:dyDescent="0.25">
      <c r="A1522" t="s">
        <v>2395</v>
      </c>
    </row>
    <row r="1523" spans="1:1" x14ac:dyDescent="0.25">
      <c r="A1523" t="s">
        <v>1030</v>
      </c>
    </row>
    <row r="1524" spans="1:1" x14ac:dyDescent="0.25">
      <c r="A1524" t="s">
        <v>2394</v>
      </c>
    </row>
    <row r="1525" spans="1:1" x14ac:dyDescent="0.25">
      <c r="A1525" t="s">
        <v>1031</v>
      </c>
    </row>
    <row r="1526" spans="1:1" x14ac:dyDescent="0.25">
      <c r="A1526" t="s">
        <v>2395</v>
      </c>
    </row>
    <row r="1527" spans="1:1" x14ac:dyDescent="0.25">
      <c r="A1527" t="s">
        <v>1032</v>
      </c>
    </row>
    <row r="1528" spans="1:1" x14ac:dyDescent="0.25">
      <c r="A1528" t="s">
        <v>2394</v>
      </c>
    </row>
    <row r="1529" spans="1:1" x14ac:dyDescent="0.25">
      <c r="A1529" t="s">
        <v>1033</v>
      </c>
    </row>
    <row r="1530" spans="1:1" x14ac:dyDescent="0.25">
      <c r="A1530" t="s">
        <v>2395</v>
      </c>
    </row>
    <row r="1531" spans="1:1" x14ac:dyDescent="0.25">
      <c r="A1531" t="s">
        <v>1034</v>
      </c>
    </row>
    <row r="1532" spans="1:1" x14ac:dyDescent="0.25">
      <c r="A1532" t="s">
        <v>2394</v>
      </c>
    </row>
    <row r="1533" spans="1:1" x14ac:dyDescent="0.25">
      <c r="A1533" t="s">
        <v>1035</v>
      </c>
    </row>
    <row r="1534" spans="1:1" x14ac:dyDescent="0.25">
      <c r="A1534" t="s">
        <v>2395</v>
      </c>
    </row>
    <row r="1535" spans="1:1" x14ac:dyDescent="0.25">
      <c r="A1535" t="s">
        <v>1036</v>
      </c>
    </row>
    <row r="1536" spans="1:1" x14ac:dyDescent="0.25">
      <c r="A1536" t="s">
        <v>2394</v>
      </c>
    </row>
    <row r="1537" spans="1:1" x14ac:dyDescent="0.25">
      <c r="A1537" t="s">
        <v>1037</v>
      </c>
    </row>
    <row r="1538" spans="1:1" x14ac:dyDescent="0.25">
      <c r="A1538" t="s">
        <v>2395</v>
      </c>
    </row>
    <row r="1539" spans="1:1" x14ac:dyDescent="0.25">
      <c r="A1539" t="s">
        <v>1935</v>
      </c>
    </row>
    <row r="1540" spans="1:1" x14ac:dyDescent="0.25">
      <c r="A1540" t="s">
        <v>2394</v>
      </c>
    </row>
    <row r="1541" spans="1:1" x14ac:dyDescent="0.25">
      <c r="A1541" t="s">
        <v>1938</v>
      </c>
    </row>
    <row r="1542" spans="1:1" x14ac:dyDescent="0.25">
      <c r="A1542" t="s">
        <v>2395</v>
      </c>
    </row>
    <row r="1543" spans="1:1" x14ac:dyDescent="0.25">
      <c r="A1543" t="s">
        <v>1941</v>
      </c>
    </row>
    <row r="1544" spans="1:1" x14ac:dyDescent="0.25">
      <c r="A1544" t="s">
        <v>2394</v>
      </c>
    </row>
    <row r="1545" spans="1:1" x14ac:dyDescent="0.25">
      <c r="A1545" t="s">
        <v>1944</v>
      </c>
    </row>
    <row r="1546" spans="1:1" x14ac:dyDescent="0.25">
      <c r="A1546" t="s">
        <v>811</v>
      </c>
    </row>
    <row r="1547" spans="1:1" x14ac:dyDescent="0.25">
      <c r="A1547" t="s">
        <v>467</v>
      </c>
    </row>
    <row r="1548" spans="1:1" x14ac:dyDescent="0.25">
      <c r="A1548" t="s">
        <v>634</v>
      </c>
    </row>
    <row r="1549" spans="1:1" x14ac:dyDescent="0.25">
      <c r="A1549" t="s">
        <v>2377</v>
      </c>
    </row>
    <row r="1550" spans="1:1" x14ac:dyDescent="0.25">
      <c r="A1550" t="s">
        <v>879</v>
      </c>
    </row>
    <row r="1551" spans="1:1" x14ac:dyDescent="0.25">
      <c r="A1551" t="s">
        <v>2396</v>
      </c>
    </row>
    <row r="1552" spans="1:1" x14ac:dyDescent="0.25">
      <c r="A1552" t="s">
        <v>880</v>
      </c>
    </row>
    <row r="1553" spans="1:1" x14ac:dyDescent="0.25">
      <c r="A1553" t="s">
        <v>2397</v>
      </c>
    </row>
    <row r="1554" spans="1:1" x14ac:dyDescent="0.25">
      <c r="A1554" t="s">
        <v>1065</v>
      </c>
    </row>
    <row r="1555" spans="1:1" x14ac:dyDescent="0.25">
      <c r="A1555" t="s">
        <v>2396</v>
      </c>
    </row>
    <row r="1556" spans="1:1" x14ac:dyDescent="0.25">
      <c r="A1556" t="s">
        <v>1066</v>
      </c>
    </row>
    <row r="1557" spans="1:1" x14ac:dyDescent="0.25">
      <c r="A1557" t="s">
        <v>2397</v>
      </c>
    </row>
    <row r="1558" spans="1:1" x14ac:dyDescent="0.25">
      <c r="A1558" t="s">
        <v>1067</v>
      </c>
    </row>
    <row r="1559" spans="1:1" x14ac:dyDescent="0.25">
      <c r="A1559" t="s">
        <v>2396</v>
      </c>
    </row>
    <row r="1560" spans="1:1" x14ac:dyDescent="0.25">
      <c r="A1560" t="s">
        <v>1068</v>
      </c>
    </row>
    <row r="1561" spans="1:1" x14ac:dyDescent="0.25">
      <c r="A1561" t="s">
        <v>2397</v>
      </c>
    </row>
    <row r="1562" spans="1:1" x14ac:dyDescent="0.25">
      <c r="A1562" t="s">
        <v>1069</v>
      </c>
    </row>
    <row r="1563" spans="1:1" x14ac:dyDescent="0.25">
      <c r="A1563" t="s">
        <v>2396</v>
      </c>
    </row>
    <row r="1564" spans="1:1" x14ac:dyDescent="0.25">
      <c r="A1564" t="s">
        <v>1070</v>
      </c>
    </row>
    <row r="1565" spans="1:1" x14ac:dyDescent="0.25">
      <c r="A1565" t="s">
        <v>2397</v>
      </c>
    </row>
    <row r="1566" spans="1:1" x14ac:dyDescent="0.25">
      <c r="A1566" t="s">
        <v>1071</v>
      </c>
    </row>
    <row r="1567" spans="1:1" x14ac:dyDescent="0.25">
      <c r="A1567" t="s">
        <v>2396</v>
      </c>
    </row>
    <row r="1568" spans="1:1" x14ac:dyDescent="0.25">
      <c r="A1568" t="s">
        <v>1072</v>
      </c>
    </row>
    <row r="1569" spans="1:1" x14ac:dyDescent="0.25">
      <c r="A1569" t="s">
        <v>2397</v>
      </c>
    </row>
    <row r="1570" spans="1:1" x14ac:dyDescent="0.25">
      <c r="A1570" t="s">
        <v>1073</v>
      </c>
    </row>
    <row r="1571" spans="1:1" x14ac:dyDescent="0.25">
      <c r="A1571" t="s">
        <v>2396</v>
      </c>
    </row>
    <row r="1572" spans="1:1" x14ac:dyDescent="0.25">
      <c r="A1572" t="s">
        <v>1074</v>
      </c>
    </row>
    <row r="1573" spans="1:1" x14ac:dyDescent="0.25">
      <c r="A1573" t="s">
        <v>2397</v>
      </c>
    </row>
    <row r="1574" spans="1:1" x14ac:dyDescent="0.25">
      <c r="A1574" t="s">
        <v>1075</v>
      </c>
    </row>
    <row r="1575" spans="1:1" x14ac:dyDescent="0.25">
      <c r="A1575" t="s">
        <v>2396</v>
      </c>
    </row>
    <row r="1576" spans="1:1" x14ac:dyDescent="0.25">
      <c r="A1576" t="s">
        <v>1076</v>
      </c>
    </row>
    <row r="1577" spans="1:1" x14ac:dyDescent="0.25">
      <c r="A1577" t="s">
        <v>2397</v>
      </c>
    </row>
    <row r="1578" spans="1:1" x14ac:dyDescent="0.25">
      <c r="A1578" t="s">
        <v>1077</v>
      </c>
    </row>
    <row r="1579" spans="1:1" x14ac:dyDescent="0.25">
      <c r="A1579" t="s">
        <v>2396</v>
      </c>
    </row>
    <row r="1580" spans="1:1" x14ac:dyDescent="0.25">
      <c r="A1580" t="s">
        <v>1078</v>
      </c>
    </row>
    <row r="1581" spans="1:1" x14ac:dyDescent="0.25">
      <c r="A1581" t="s">
        <v>2397</v>
      </c>
    </row>
    <row r="1582" spans="1:1" x14ac:dyDescent="0.25">
      <c r="A1582" t="s">
        <v>1955</v>
      </c>
    </row>
    <row r="1583" spans="1:1" x14ac:dyDescent="0.25">
      <c r="A1583" t="s">
        <v>2396</v>
      </c>
    </row>
    <row r="1584" spans="1:1" x14ac:dyDescent="0.25">
      <c r="A1584" t="s">
        <v>1958</v>
      </c>
    </row>
    <row r="1585" spans="1:1" x14ac:dyDescent="0.25">
      <c r="A1585" t="s">
        <v>2397</v>
      </c>
    </row>
    <row r="1586" spans="1:1" x14ac:dyDescent="0.25">
      <c r="A1586" t="s">
        <v>1961</v>
      </c>
    </row>
    <row r="1587" spans="1:1" x14ac:dyDescent="0.25">
      <c r="A1587" t="s">
        <v>2396</v>
      </c>
    </row>
    <row r="1588" spans="1:1" x14ac:dyDescent="0.25">
      <c r="A1588" t="s">
        <v>1964</v>
      </c>
    </row>
    <row r="1589" spans="1:1" x14ac:dyDescent="0.25">
      <c r="A1589" t="s">
        <v>2397</v>
      </c>
    </row>
    <row r="1590" spans="1:1" x14ac:dyDescent="0.25">
      <c r="A1590" t="s">
        <v>845</v>
      </c>
    </row>
    <row r="1591" spans="1:1" x14ac:dyDescent="0.25">
      <c r="A1591" t="s">
        <v>844</v>
      </c>
    </row>
    <row r="1593" spans="1:1" x14ac:dyDescent="0.25">
      <c r="A1593" t="s">
        <v>638</v>
      </c>
    </row>
    <row r="1595" spans="1:1" x14ac:dyDescent="0.25">
      <c r="A1595" t="s">
        <v>491</v>
      </c>
    </row>
    <row r="1596" spans="1:1" x14ac:dyDescent="0.25">
      <c r="A1596" t="s">
        <v>492</v>
      </c>
    </row>
    <row r="1597" spans="1:1" x14ac:dyDescent="0.25">
      <c r="A1597" t="s">
        <v>493</v>
      </c>
    </row>
    <row r="1598" spans="1:1" x14ac:dyDescent="0.25">
      <c r="A1598" t="s">
        <v>439</v>
      </c>
    </row>
    <row r="1600" spans="1:1" x14ac:dyDescent="0.25">
      <c r="A1600" t="s">
        <v>494</v>
      </c>
    </row>
    <row r="1601" spans="1:1" x14ac:dyDescent="0.25">
      <c r="A1601" t="s">
        <v>495</v>
      </c>
    </row>
    <row r="1603" spans="1:1" x14ac:dyDescent="0.25">
      <c r="A1603" t="s">
        <v>639</v>
      </c>
    </row>
    <row r="1604" spans="1:1" x14ac:dyDescent="0.25">
      <c r="A1604" t="s">
        <v>640</v>
      </c>
    </row>
    <row r="1606" spans="1:1" x14ac:dyDescent="0.25">
      <c r="A1606" t="s">
        <v>496</v>
      </c>
    </row>
    <row r="1607" spans="1:1" x14ac:dyDescent="0.25">
      <c r="A1607" t="s">
        <v>641</v>
      </c>
    </row>
    <row r="1609" spans="1:1" x14ac:dyDescent="0.25">
      <c r="A1609" t="s">
        <v>498</v>
      </c>
    </row>
    <row r="1611" spans="1:1" x14ac:dyDescent="0.25">
      <c r="A161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2022-02-21T19:01:18Z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