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3373020C-CD0F-4D9C-9D77-E15AA20A15E9}"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AmpFactor">'Main Sheet'!$T$51</definedName>
    <definedName name="BedTemp">'Main Sheet'!$T$15</definedName>
    <definedName name="ExtrusionHeight">'Main Sheet'!$T$40</definedName>
    <definedName name="ExtrusionSpacing">'Main Sheet'!$T$37</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MaxAmp">'Main Sheet'!$T$50</definedName>
    <definedName name="NozzleFeedratePrinting">'Main Sheet'!$T$16</definedName>
    <definedName name="NozzleFeedrateTravelling">'Main Sheet'!$T$17</definedName>
    <definedName name="NozzleTemp">'Main Sheet'!$T$18</definedName>
    <definedName name="NumPeriods">'Main Sheet'!$T$49</definedName>
    <definedName name="Radius">'Main Sheet'!$T$48</definedName>
    <definedName name="SineLayerHeight">'Main Sheet'!$T$52</definedName>
    <definedName name="StartTool">'Main Sheet'!$T$41</definedName>
    <definedName name="StartX">'Main Sheet'!$T$46</definedName>
    <definedName name="StartY">'Main Sheet'!$T$47</definedName>
    <definedName name="Width">'Main Sheet'!$T$44</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0" i="1" l="1"/>
  <c r="K12" i="1"/>
  <c r="L12" i="1"/>
  <c r="B38" i="4"/>
  <c r="B39" i="4"/>
  <c r="H8" i="1"/>
  <c r="L10" i="1"/>
  <c r="K10" i="1"/>
  <c r="L8" i="1"/>
  <c r="K8" i="1"/>
  <c r="B25" i="4"/>
  <c r="B21" i="4"/>
  <c r="B20" i="4"/>
  <c r="B18" i="4"/>
  <c r="B7" i="4"/>
  <c r="B6"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<sst xmlns="http://schemas.openxmlformats.org/spreadsheetml/2006/main" count="3960" uniqueCount="739">
  <si>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</si>
  <si>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</si>
  <si>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</si>
  <si>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</si>
  <si>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</si>
  <si>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</si>
  <si>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</si>
  <si>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</si>
  <si>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</si>
  <si>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</si>
  <si>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</si>
  <si>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</si>
  <si>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</si>
  <si>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</si>
  <si>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</si>
  <si>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</si>
  <si>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</si>
  <si>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</si>
  <si>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</si>
  <si>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</si>
  <si>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</si>
  <si>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</si>
  <si>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</si>
  <si>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</si>
  <si>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</si>
  <si>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</si>
  <si>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</si>
  <si>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</si>
  <si>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</si>
  <si>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</si>
  <si>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</si>
  <si>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</si>
  <si>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</si>
  <si>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</si>
  <si>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</si>
  <si>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</si>
  <si>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</si>
  <si>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</si>
  <si>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</si>
  <si>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</si>
  <si>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</si>
  <si>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</si>
  <si>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</si>
  <si>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</si>
  <si>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</si>
  <si>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</si>
  <si>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</si>
  <si>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</si>
  <si>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</si>
  <si>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</si>
  <si>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</si>
  <si>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</si>
  <si>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</si>
  <si>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</si>
  <si>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</si>
  <si>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</si>
  <si>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</si>
  <si>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</si>
  <si>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</si>
  <si>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</si>
  <si>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</si>
  <si>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</si>
  <si>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</si>
  <si>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</si>
  <si>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</si>
  <si>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</si>
  <si>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</si>
  <si>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</si>
  <si>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</si>
  <si>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</si>
  <si>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</si>
  <si>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</si>
  <si>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</si>
  <si>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</si>
  <si>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</si>
  <si>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</si>
  <si>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</si>
  <si>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</si>
  <si>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</si>
  <si>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</si>
  <si>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</si>
  <si>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</si>
  <si>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</si>
  <si>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</si>
  <si>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</si>
  <si>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</si>
  <si>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</si>
  <si>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</si>
  <si>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</si>
  <si>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</si>
  <si>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</si>
  <si>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</si>
  <si>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</si>
  <si>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</si>
  <si>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</si>
  <si>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</si>
  <si>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</si>
  <si>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</si>
  <si>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</si>
  <si>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</si>
  <si>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</si>
  <si>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</si>
  <si>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</si>
  <si>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</si>
  <si>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</si>
  <si>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</si>
  <si>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</si>
  <si>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</si>
  <si>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</si>
  <si>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</si>
  <si>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</si>
  <si>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</si>
  <si>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</si>
  <si>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</si>
  <si>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</si>
  <si>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</si>
  <si>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</si>
  <si>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</si>
  <si>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</si>
  <si>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</si>
  <si>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</si>
  <si>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</si>
  <si>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</si>
  <si>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</si>
  <si>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</si>
  <si>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</si>
  <si>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</si>
  <si>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</si>
  <si>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</si>
  <si>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</si>
  <si>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</si>
  <si>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</si>
  <si>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</si>
  <si>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</si>
  <si>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</si>
  <si>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</si>
  <si>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</si>
  <si>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</si>
  <si>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</si>
  <si>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</si>
  <si>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</si>
  <si>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</si>
  <si>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</si>
  <si>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</si>
  <si>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</si>
  <si>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</si>
  <si>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</si>
  <si>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</si>
  <si>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</si>
  <si>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</si>
  <si>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</si>
  <si>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</si>
  <si>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</si>
  <si>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</si>
  <si>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</si>
  <si>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</si>
  <si>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</si>
  <si>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</si>
  <si>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</si>
  <si>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</si>
  <si>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</si>
  <si>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</si>
  <si>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</si>
  <si>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</si>
  <si>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</si>
  <si>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</si>
  <si>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</si>
  <si>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</si>
  <si>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</si>
  <si>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</si>
  <si>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</si>
  <si>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</si>
  <si>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</si>
  <si>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</si>
  <si>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</si>
  <si>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</si>
  <si>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</si>
  <si>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</si>
  <si>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</si>
  <si>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</si>
  <si>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</si>
  <si>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</si>
  <si>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</si>
  <si>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</si>
  <si>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</si>
  <si>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</si>
  <si>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</si>
  <si>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</si>
  <si>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</si>
  <si>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</si>
  <si>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</si>
  <si>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</si>
  <si>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</si>
  <si>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</si>
  <si>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</si>
  <si>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</si>
  <si>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</si>
  <si>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</si>
  <si>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</si>
  <si>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</si>
  <si>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</si>
  <si>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</si>
  <si>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</si>
  <si>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</si>
  <si>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</si>
  <si>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</si>
  <si>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</si>
  <si>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</si>
  <si>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</si>
  <si>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</si>
  <si>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</si>
  <si>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</si>
  <si>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</si>
  <si>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</si>
  <si>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</si>
  <si>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</si>
  <si>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</si>
  <si>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</si>
  <si>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</si>
  <si>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</si>
  <si>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</si>
  <si>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</si>
  <si>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</si>
  <si>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</si>
  <si>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</si>
  <si>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</si>
  <si>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</si>
  <si>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</si>
  <si>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</si>
  <si>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</si>
  <si>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</si>
  <si>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</si>
  <si>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</si>
  <si>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</si>
  <si>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</si>
  <si>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</si>
  <si>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</si>
  <si>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</si>
  <si>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</si>
  <si>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</si>
  <si>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</si>
  <si>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</si>
  <si>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</si>
  <si>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</si>
  <si>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</si>
  <si>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</si>
  <si>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</si>
  <si>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</si>
  <si>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</si>
  <si>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</si>
  <si>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</si>
  <si>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</si>
  <si>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</si>
  <si>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</si>
  <si>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</si>
  <si>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</si>
  <si>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</si>
  <si>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</si>
  <si>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</si>
  <si>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</si>
  <si>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</si>
  <si>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</si>
  <si>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</si>
  <si>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</si>
  <si>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</si>
  <si>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</si>
  <si>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</si>
  <si>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</si>
  <si>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</si>
  <si>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</si>
  <si>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</si>
  <si>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</si>
  <si>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</si>
  <si>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</si>
  <si>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</si>
  <si>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</si>
  <si>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</si>
  <si>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</si>
  <si>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</si>
  <si>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</si>
  <si>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</si>
  <si>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</si>
  <si>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</si>
  <si>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</si>
  <si>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</si>
  <si>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</si>
  <si>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</si>
  <si>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</si>
  <si>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</si>
  <si>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</si>
  <si>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</si>
  <si>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</si>
  <si>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</si>
  <si>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</si>
  <si>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</si>
  <si>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</si>
  <si>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</si>
  <si>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</si>
  <si>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</si>
  <si>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</si>
  <si>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</si>
  <si>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</si>
  <si>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</si>
  <si>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</si>
  <si>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</si>
  <si>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</si>
  <si>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</si>
  <si>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</si>
  <si>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</si>
  <si>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</si>
  <si>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</si>
  <si>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</si>
  <si>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</si>
  <si>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</si>
  <si>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</si>
  <si>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</si>
  <si>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</si>
  <si>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</si>
  <si>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</si>
  <si>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</si>
  <si>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</si>
  <si>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</si>
  <si>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</si>
  <si>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</si>
  <si>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</si>
  <si>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</si>
  <si>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</si>
  <si>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</si>
  <si>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</si>
  <si>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</si>
  <si>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</si>
  <si>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</si>
  <si>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</si>
  <si>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</si>
  <si>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</si>
  <si>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</si>
  <si>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</si>
  <si>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</si>
  <si>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</si>
  <si>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</si>
  <si>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</si>
  <si>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</si>
  <si>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</si>
  <si>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</si>
  <si>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</si>
  <si>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</si>
  <si>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</si>
  <si>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</si>
  <si>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</si>
  <si>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</si>
  <si>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</si>
  <si>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</si>
  <si>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</si>
  <si>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</si>
  <si>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</si>
  <si>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</si>
  <si>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</si>
  <si>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</si>
  <si>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</si>
  <si>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</si>
  <si>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</si>
  <si>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</si>
  <si>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</si>
  <si>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</si>
  <si>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</si>
  <si>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</si>
  <si>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</si>
  <si>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</si>
  <si>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</si>
  <si>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</si>
  <si>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</si>
  <si>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</si>
  <si>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</si>
  <si>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</si>
  <si>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</si>
  <si>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</si>
  <si>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</si>
  <si>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</si>
  <si>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</si>
  <si>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</si>
  <si>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</si>
  <si>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</si>
  <si>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</si>
  <si>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</si>
  <si>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</si>
  <si>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</si>
  <si>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</si>
  <si>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</si>
  <si>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</si>
  <si>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</si>
  <si>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</si>
  <si>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</si>
  <si>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</si>
  <si>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</si>
  <si>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</si>
  <si>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</si>
  <si>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</si>
  <si>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</si>
  <si>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</si>
  <si>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</si>
  <si>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</si>
  <si>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</si>
  <si>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</si>
  <si>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</si>
  <si>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</si>
  <si>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</si>
  <si>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</si>
  <si>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</si>
  <si>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</si>
  <si>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</si>
  <si>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</si>
  <si>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</si>
  <si>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</si>
  <si>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</si>
  <si>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</si>
  <si>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</si>
  <si>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</si>
  <si>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</si>
  <si>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</si>
  <si>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</si>
  <si>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</si>
  <si>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</si>
  <si>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</si>
  <si>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</si>
  <si>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</si>
  <si>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</si>
  <si>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</si>
  <si>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</si>
  <si>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</si>
  <si>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</si>
  <si>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</si>
  <si>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</si>
  <si>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</si>
  <si>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</si>
  <si>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</si>
  <si>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</si>
  <si>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</si>
  <si>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</si>
  <si>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</si>
  <si>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</si>
  <si>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</si>
  <si>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</si>
  <si>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</si>
  <si>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</si>
  <si>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</si>
  <si>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</si>
  <si>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</si>
  <si>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</si>
  <si>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</si>
  <si>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</si>
  <si>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</si>
  <si>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</si>
  <si>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</si>
  <si>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</si>
  <si>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</si>
  <si>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</si>
  <si>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</si>
  <si>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</si>
  <si>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</si>
  <si>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</si>
  <si>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</si>
  <si>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</si>
  <si>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</si>
  <si>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</si>
  <si>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</si>
  <si>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</si>
  <si>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</si>
  <si>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</si>
  <si>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</si>
  <si>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</si>
  <si>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</si>
  <si>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</si>
  <si>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</si>
  <si>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</si>
  <si>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</si>
  <si>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</si>
  <si>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</si>
  <si>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</si>
  <si>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</si>
  <si>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</si>
  <si>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</si>
  <si>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</si>
  <si>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</si>
  <si>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</si>
  <si>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</si>
  <si>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</si>
  <si>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</si>
  <si>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</si>
  <si>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</si>
  <si>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</si>
  <si>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</si>
  <si>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</si>
  <si>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</si>
  <si>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</si>
  <si>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</si>
  <si>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</si>
  <si>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</si>
  <si>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</si>
  <si>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</si>
  <si>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</si>
  <si>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</si>
  <si>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</si>
  <si>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</si>
  <si>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</si>
  <si>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</si>
  <si>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</si>
  <si>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</si>
  <si>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</si>
  <si>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</si>
  <si>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</si>
  <si>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</si>
  <si>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</si>
  <si>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</si>
  <si>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</si>
  <si>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</si>
  <si>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</si>
  <si>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</si>
  <si>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</si>
  <si>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</si>
  <si>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</si>
  <si>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</si>
  <si>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</si>
  <si>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</si>
  <si>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</si>
  <si>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</si>
  <si>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</si>
  <si>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</si>
  <si>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</si>
  <si>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</si>
  <si>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</si>
  <si>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</si>
  <si>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</si>
  <si>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</si>
  <si>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</si>
  <si>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</si>
  <si>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</si>
  <si>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</si>
  <si>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</si>
  <si>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</si>
  <si>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</si>
  <si>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</si>
  <si>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</si>
  <si>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</si>
  <si>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</si>
  <si>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</si>
  <si>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</si>
  <si>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</si>
  <si>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</si>
  <si>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</si>
  <si>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</si>
  <si>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</si>
  <si>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</si>
  <si>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</si>
  <si>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</si>
  <si>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</si>
  <si>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</si>
  <si>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</si>
  <si>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</si>
  <si>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</si>
  <si>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</si>
  <si>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</si>
  <si>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</si>
  <si>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</si>
  <si>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</si>
  <si>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</si>
  <si>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</si>
  <si>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</si>
  <si>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</si>
  <si>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</si>
  <si>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</si>
  <si>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</si>
  <si>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</si>
  <si>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</si>
  <si>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</si>
  <si>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</si>
  <si>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</si>
  <si>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</si>
  <si>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</si>
  <si>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</si>
  <si>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</si>
  <si>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</si>
  <si>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</si>
  <si>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</si>
  <si>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</si>
  <si>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</si>
  <si>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</si>
  <si>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</si>
  <si>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</si>
  <si>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</si>
  <si>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</si>
  <si>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</si>
  <si>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</si>
  <si>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</si>
  <si>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</si>
  <si>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</si>
  <si>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</si>
  <si>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</si>
  <si>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</si>
  <si>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</si>
  <si>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</si>
  <si>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</si>
  <si>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</si>
  <si>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</si>
  <si>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</si>
  <si>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</si>
  <si>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</si>
  <si>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</si>
  <si>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</si>
  <si>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</si>
  <si>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</si>
  <si>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</si>
  <si>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</si>
  <si>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</si>
  <si>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</si>
  <si>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</si>
  <si>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</si>
  <si>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</si>
  <si>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</si>
  <si>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</si>
  <si>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</si>
  <si>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</si>
  <si>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</si>
  <si>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</si>
  <si>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</si>
  <si>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</si>
  <si>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</si>
  <si>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</si>
  <si>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</si>
  <si>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</si>
  <si>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</si>
  <si>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</si>
  <si>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</si>
  <si>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</si>
  <si>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</si>
  <si>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</si>
  <si>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</si>
  <si>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</si>
  <si>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</si>
  <si>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</si>
  <si>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</si>
  <si>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</si>
  <si>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</si>
  <si>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</si>
  <si>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</si>
  <si>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</si>
  <si>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</si>
  <si>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</si>
  <si>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</si>
  <si>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</si>
  <si>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</si>
  <si>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</si>
  <si>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</si>
  <si>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</si>
  <si>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</si>
  <si>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</si>
  <si>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</si>
  <si>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</si>
  <si>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</si>
  <si>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</si>
  <si>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</si>
  <si>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</si>
  <si>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</si>
  <si>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</si>
  <si>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</si>
  <si>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</si>
  <si>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</si>
  <si>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</si>
  <si>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</si>
  <si>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</si>
  <si>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</si>
  <si>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</si>
  <si>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</si>
  <si>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</si>
  <si>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</si>
  <si>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</si>
  <si>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</si>
  <si>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</si>
  <si>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</si>
  <si>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</si>
  <si>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</si>
  <si>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</si>
  <si>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</si>
  <si>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</si>
  <si>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</si>
  <si>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</si>
  <si>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</si>
  <si>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</si>
  <si>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</si>
  <si>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</si>
  <si>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SKIP_Line equation polar</t>
  </si>
  <si>
    <t>Tval</t>
  </si>
  <si>
    <t>Zval*AmpFactor*SIN(NumPeriods*Tval)</t>
  </si>
  <si>
    <t>Zval*AmpFactor*SIN(NumPeriods*Tval)+0.9</t>
  </si>
  <si>
    <t>Zval*AmpFactor*SIN(NumPeriods*Tval)+1.8</t>
  </si>
  <si>
    <t>Zval*AmpFactor*SIN(NumPeriods*Tval)+2.7</t>
  </si>
  <si>
    <t>Zval*AmpFactor*SIN(NumPeriods*Tval)+3.6</t>
  </si>
  <si>
    <t>Zval*AmpFactor*SIN(NumPeriods*Tval)+4.5</t>
  </si>
  <si>
    <t>(FLOOR(MaxAmp/LayerHeight, 1)+1)*LayerHeight*AmpFactor*0.8*SIN(NumPeriods*Tval)+(FLOOR(MaxAmp/LayerHeight, 1)+1.5)*LayerHeight</t>
  </si>
  <si>
    <t>14</t>
  </si>
  <si>
    <t>14,15</t>
  </si>
  <si>
    <t>;M98 P"prime.g"</t>
  </si>
  <si>
    <t>; move over bucket and purge</t>
  </si>
  <si>
    <t>; move back out</t>
  </si>
  <si>
    <t>; prime</t>
  </si>
  <si>
    <t>;G1 Y265 F3000</t>
  </si>
  <si>
    <t>;G1 E4 F15</t>
  </si>
  <si>
    <t>;G1 Y150 F4000</t>
  </si>
  <si>
    <t>;M201 X6000 Y6000 Z400 ; turn acceleration back up</t>
  </si>
  <si>
    <t>T3</t>
  </si>
  <si>
    <t>LineFeat1</t>
  </si>
  <si>
    <t>2</t>
  </si>
  <si>
    <t>LineFeat2</t>
  </si>
  <si>
    <t>3</t>
  </si>
  <si>
    <t>LineFeat3</t>
  </si>
  <si>
    <t>M109 S0</t>
  </si>
  <si>
    <t>M190 S0</t>
  </si>
  <si>
    <t>R75</t>
  </si>
  <si>
    <t>R-25</t>
  </si>
  <si>
    <t>RetractionFeat1</t>
  </si>
  <si>
    <t>RetractionZhop</t>
  </si>
  <si>
    <t>5</t>
  </si>
  <si>
    <t>RetractionFeat2</t>
  </si>
  <si>
    <t>G1 X225 E0.75 F600</t>
  </si>
  <si>
    <t>G1 F80.0 E-0.35</t>
  </si>
  <si>
    <t>RetractionFeat3</t>
  </si>
  <si>
    <t>G1 F80.0 E0.45</t>
  </si>
  <si>
    <t>set global.printing = false</t>
  </si>
  <si>
    <t>; set printing variable for tool changing</t>
  </si>
  <si>
    <t>if (exists(global.printing))</t>
  </si>
  <si>
    <t xml:space="preserve">    set global.printing = true</t>
  </si>
  <si>
    <t>else</t>
  </si>
  <si>
    <t xml:space="preserve">    global printing = true</t>
  </si>
  <si>
    <t>G0 F3000 X225.0 Y140.0 Z2.0</t>
  </si>
  <si>
    <t>G0 F3000.0 Z4.0</t>
  </si>
  <si>
    <t>G0 Z4.0</t>
  </si>
  <si>
    <t>G1 F600 X200.0 Z2.0 E0.072742</t>
  </si>
  <si>
    <t>G1 X275 Y160 Z2 F3000</t>
  </si>
  <si>
    <t>G1 F600 Y65.0 E0.21753</t>
  </si>
  <si>
    <t>G1 F600 Y140.0 E0.21753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</si>
</sst>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2"/>
  <sheetViews>
    <sheetView showGridLines="0" tabSelected="1" topLeftCell="G1" zoomScale="85" zoomScaleNormal="85" workbookViewId="0">
      <pane ySplit="1" topLeftCell="A11" activePane="bottomLeft" state="frozen"/>
      <selection activeCell="G268" sqref="G268"/>
      <selection pane="bottomLeft" activeCell="B8" sqref="B8:O13"/>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671</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v>225</v>
      </c>
      <c r="E8" s="2">
        <v>140</v>
      </c>
      <c r="F8" s="2">
        <v>0</v>
      </c>
      <c r="G8" s="2" t="s">
        <v>100</v>
      </c>
      <c r="H8" s="2" t="str">
        <f>CONCATENATE("R-", 75)</f>
        <v>R-75</v>
      </c>
      <c r="I8" s="2">
        <v>0</v>
      </c>
      <c r="J8" s="2" t="s">
        <v>19</v>
      </c>
      <c r="K8" s="2">
        <f>ExtrusionWidth</f>
        <v>2.5</v>
      </c>
      <c r="L8" s="2">
        <f>ExtrusionHeight</f>
        <v>1.457902</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39</v>
      </c>
      <c r="C9" s="2">
        <v>0.35</v>
      </c>
      <c r="D9" s="2">
        <v>80</v>
      </c>
      <c r="E9" s="2">
        <v>2</v>
      </c>
      <c r="F9" s="2">
        <v>3000</v>
      </c>
      <c r="G9" s="2"/>
      <c r="H9" s="2"/>
      <c r="I9" s="2"/>
      <c r="J9" s="2"/>
      <c r="K9" s="2"/>
      <c r="L9" s="2"/>
      <c r="M9" s="2"/>
      <c r="N9" s="2"/>
      <c r="O9" s="2"/>
      <c r="P9" s="2"/>
      <c r="Q9" s="2"/>
      <c r="R9"/>
      <c r="S9" s="5" t="s">
        <v>98</v>
      </c>
      <c r="T9" s="5">
        <v>2</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
        <v>717</v>
      </c>
      <c r="H10" s="2" t="s">
        <v>100</v>
      </c>
      <c r="I10" s="2">
        <v>0</v>
      </c>
      <c r="J10" s="2" t="s">
        <v>19</v>
      </c>
      <c r="K10" s="2">
        <f>ExtrusionWidth</f>
        <v>2.5</v>
      </c>
      <c r="L10" s="2">
        <f>ExtrusionHeight</f>
        <v>1.457902</v>
      </c>
      <c r="M10" s="2"/>
      <c r="N10" s="2"/>
      <c r="O10" s="2"/>
      <c r="P10" s="2"/>
      <c r="Q10" s="2"/>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2" t="s">
        <v>39</v>
      </c>
      <c r="C11" s="2">
        <v>-0.45</v>
      </c>
      <c r="D11" s="2">
        <v>80</v>
      </c>
      <c r="E11" s="2">
        <v>0</v>
      </c>
      <c r="F11" s="2">
        <v>0</v>
      </c>
      <c r="G11" s="2"/>
      <c r="H11" s="2"/>
      <c r="I11" s="2"/>
      <c r="J11" s="2"/>
      <c r="K11" s="2"/>
      <c r="L11" s="2"/>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2" t="s">
        <v>1</v>
      </c>
      <c r="C12" s="2" t="s">
        <v>18</v>
      </c>
      <c r="D12" s="2" t="s">
        <v>100</v>
      </c>
      <c r="E12" s="2" t="s">
        <v>100</v>
      </c>
      <c r="F12" s="2" t="s">
        <v>100</v>
      </c>
      <c r="G12" s="2" t="s">
        <v>100</v>
      </c>
      <c r="H12" s="2" t="s">
        <v>716</v>
      </c>
      <c r="I12" s="2">
        <v>0</v>
      </c>
      <c r="J12" s="2" t="s">
        <v>19</v>
      </c>
      <c r="K12" s="2">
        <f>ExtrusionWidth</f>
        <v>2.5</v>
      </c>
      <c r="L12" s="2">
        <f>ExtrusionHeight</f>
        <v>1.457902</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39</v>
      </c>
      <c r="C13" s="2">
        <v>0.35</v>
      </c>
      <c r="D13" s="2">
        <v>80</v>
      </c>
      <c r="E13" s="2">
        <v>2</v>
      </c>
      <c r="F13" s="2">
        <v>3000</v>
      </c>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c r="C14" s="98"/>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2"/>
      <c r="G15" s="2"/>
      <c r="H15" s="2"/>
      <c r="I15" s="2"/>
      <c r="J15" s="2"/>
      <c r="K15" s="2"/>
      <c r="L15" s="2"/>
      <c r="M15" s="2"/>
      <c r="N15" s="2"/>
      <c r="O15" s="2"/>
      <c r="P15" s="2"/>
      <c r="Q15" s="2"/>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s="122">
        <v>46.85</v>
      </c>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v>0.72895100000000002</v>
      </c>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662</v>
      </c>
      <c r="T37" s="75">
        <v>3.2</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c r="T38" s="75"/>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673</v>
      </c>
      <c r="T39" s="75">
        <v>2.5</v>
      </c>
      <c r="U39" s="92" t="s">
        <v>109</v>
      </c>
    </row>
    <row r="40" spans="1:40" x14ac:dyDescent="0.25">
      <c r="A40" s="2">
        <v>33</v>
      </c>
      <c r="B40" s="2"/>
      <c r="C40" s="98"/>
      <c r="D40" s="2"/>
      <c r="E40" s="2"/>
      <c r="F40" s="2"/>
      <c r="G40" s="2"/>
      <c r="H40" s="2"/>
      <c r="I40" s="2"/>
      <c r="J40" s="2"/>
      <c r="K40" s="2"/>
      <c r="L40" s="2"/>
      <c r="M40" s="2"/>
      <c r="N40" s="2"/>
      <c r="O40" s="2"/>
      <c r="P40" s="2"/>
      <c r="Q40" s="2"/>
      <c r="S40" s="75" t="s">
        <v>674</v>
      </c>
      <c r="T40" s="75">
        <f>2*0.728951</f>
        <v>1.457902</v>
      </c>
      <c r="U40" s="92" t="s">
        <v>109</v>
      </c>
    </row>
    <row r="41" spans="1:40" x14ac:dyDescent="0.25">
      <c r="A41" s="2">
        <v>34</v>
      </c>
      <c r="B41" s="143"/>
      <c r="C41" s="2"/>
      <c r="D41" s="2"/>
      <c r="E41" s="2"/>
      <c r="F41" s="2"/>
      <c r="G41" s="2"/>
      <c r="H41" s="2"/>
      <c r="I41" s="2"/>
      <c r="J41" s="2"/>
      <c r="K41" s="2"/>
      <c r="L41" s="2"/>
      <c r="M41" s="2"/>
      <c r="N41" s="2"/>
      <c r="O41" s="2"/>
      <c r="P41" s="2"/>
      <c r="Q41" s="2"/>
      <c r="S41" s="75" t="s">
        <v>644</v>
      </c>
      <c r="T41" s="75" t="s">
        <v>708</v>
      </c>
      <c r="U41" s="92" t="s">
        <v>109</v>
      </c>
    </row>
    <row r="42" spans="1:40" x14ac:dyDescent="0.25">
      <c r="A42" s="2">
        <v>35</v>
      </c>
      <c r="B42" s="143"/>
      <c r="C42" s="2"/>
      <c r="D42" s="2"/>
      <c r="E42" s="2"/>
      <c r="F42" s="2"/>
      <c r="G42" s="2"/>
      <c r="H42" s="2"/>
      <c r="I42" s="2"/>
      <c r="J42" s="2"/>
      <c r="K42" s="2"/>
      <c r="L42" s="2"/>
      <c r="M42" s="2"/>
      <c r="N42" s="2"/>
      <c r="O42" s="2"/>
      <c r="P42" s="2"/>
      <c r="Q42" s="2"/>
      <c r="S42" s="75" t="s">
        <v>309</v>
      </c>
      <c r="T42" s="75">
        <v>2</v>
      </c>
      <c r="U42" s="92" t="s">
        <v>109</v>
      </c>
    </row>
    <row r="43" spans="1:40" x14ac:dyDescent="0.25">
      <c r="A43" s="2">
        <v>36</v>
      </c>
      <c r="B43" s="143"/>
      <c r="C43" s="2"/>
      <c r="D43" s="2"/>
      <c r="E43" s="2"/>
      <c r="F43" s="2"/>
      <c r="G43" s="2"/>
      <c r="H43" s="2"/>
      <c r="I43" s="2"/>
      <c r="J43" s="2"/>
      <c r="K43" s="2"/>
      <c r="L43" s="2"/>
      <c r="M43" s="2"/>
      <c r="N43" s="2"/>
      <c r="O43" s="2"/>
      <c r="P43" s="2"/>
      <c r="Q43" s="2"/>
      <c r="S43" s="75" t="s">
        <v>679</v>
      </c>
      <c r="T43" s="75">
        <v>125</v>
      </c>
      <c r="U43" s="92" t="s">
        <v>109</v>
      </c>
    </row>
    <row r="44" spans="1:40" x14ac:dyDescent="0.25">
      <c r="A44" s="2">
        <v>37</v>
      </c>
      <c r="B44" s="143"/>
      <c r="C44" s="2"/>
      <c r="D44" s="2"/>
      <c r="E44" s="2"/>
      <c r="F44" s="2"/>
      <c r="G44" s="2"/>
      <c r="H44" s="2"/>
      <c r="I44" s="2"/>
      <c r="J44" s="2"/>
      <c r="K44" s="2"/>
      <c r="L44" s="2"/>
      <c r="M44" s="2"/>
      <c r="N44" s="2"/>
      <c r="O44" s="2"/>
      <c r="P44" s="2"/>
      <c r="Q44" s="2"/>
      <c r="S44" s="75" t="s">
        <v>179</v>
      </c>
      <c r="T44" s="75">
        <v>25</v>
      </c>
      <c r="U44" s="92" t="s">
        <v>109</v>
      </c>
    </row>
    <row r="45" spans="1:40" x14ac:dyDescent="0.25">
      <c r="A45" s="2">
        <v>38</v>
      </c>
      <c r="B45" s="143"/>
      <c r="C45" s="2"/>
      <c r="D45" s="2"/>
      <c r="E45" s="2"/>
      <c r="F45" s="2"/>
      <c r="G45" s="2"/>
      <c r="H45" s="2"/>
      <c r="I45" s="2"/>
      <c r="J45" s="2"/>
      <c r="K45" s="2"/>
      <c r="L45" s="2"/>
      <c r="M45" s="2"/>
      <c r="N45" s="2"/>
      <c r="O45" s="2"/>
      <c r="P45" s="2"/>
      <c r="Q45" s="2"/>
      <c r="S45" s="75" t="s">
        <v>180</v>
      </c>
      <c r="T45" s="75">
        <v>15.3</v>
      </c>
      <c r="U45" s="92" t="s">
        <v>109</v>
      </c>
    </row>
    <row r="46" spans="1:40" x14ac:dyDescent="0.25">
      <c r="A46" s="2">
        <v>39</v>
      </c>
      <c r="B46" s="143"/>
      <c r="C46" s="2"/>
      <c r="D46" s="2"/>
      <c r="E46" s="2"/>
      <c r="F46" s="2"/>
      <c r="G46" s="2"/>
      <c r="H46" s="2"/>
      <c r="I46" s="2"/>
      <c r="J46" s="2"/>
      <c r="K46" s="2"/>
      <c r="L46" s="2"/>
      <c r="M46" s="2"/>
      <c r="N46" s="2"/>
      <c r="O46" s="2"/>
      <c r="P46" s="2"/>
      <c r="Q46" s="2"/>
      <c r="S46" s="75" t="s">
        <v>271</v>
      </c>
      <c r="T46" s="75">
        <v>40</v>
      </c>
      <c r="U46" s="92" t="s">
        <v>109</v>
      </c>
    </row>
    <row r="47" spans="1:40" x14ac:dyDescent="0.25">
      <c r="A47" s="2">
        <v>40</v>
      </c>
      <c r="B47" s="143"/>
      <c r="C47" s="2"/>
      <c r="D47" s="2"/>
      <c r="E47" s="2"/>
      <c r="F47" s="2"/>
      <c r="G47" s="2"/>
      <c r="H47" s="2"/>
      <c r="I47" s="2"/>
      <c r="J47" s="2"/>
      <c r="K47" s="2"/>
      <c r="L47" s="2"/>
      <c r="M47" s="2"/>
      <c r="N47" s="2"/>
      <c r="O47" s="2"/>
      <c r="P47" s="2"/>
      <c r="Q47" s="2"/>
      <c r="S47" s="75" t="s">
        <v>272</v>
      </c>
      <c r="T47" s="75">
        <v>100</v>
      </c>
      <c r="U47" s="92" t="s">
        <v>109</v>
      </c>
    </row>
    <row r="48" spans="1:40" x14ac:dyDescent="0.25">
      <c r="S48" s="75"/>
      <c r="T48" s="75"/>
      <c r="U48" s="92" t="s">
        <v>109</v>
      </c>
    </row>
    <row r="49" spans="19:21" x14ac:dyDescent="0.25">
      <c r="S49" s="75"/>
      <c r="T49" s="75"/>
      <c r="U49" s="92" t="s">
        <v>109</v>
      </c>
    </row>
    <row r="50" spans="19:21" x14ac:dyDescent="0.25">
      <c r="S50" s="75"/>
      <c r="T50" s="75"/>
      <c r="U50" s="92" t="s">
        <v>109</v>
      </c>
    </row>
    <row r="51" spans="19:21" x14ac:dyDescent="0.25">
      <c r="S51" s="75"/>
      <c r="T51" s="75"/>
      <c r="U51" s="92" t="s">
        <v>109</v>
      </c>
    </row>
    <row r="52" spans="19:21" x14ac:dyDescent="0.25">
      <c r="S52" s="75"/>
      <c r="T52" s="75"/>
      <c r="U52"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680</v>
      </c>
      <c r="C37" s="58" t="s">
        <v>128</v>
      </c>
      <c r="D37" s="2" t="s">
        <v>617</v>
      </c>
      <c r="U37" s="89"/>
      <c r="AO37" t="s">
        <v>130</v>
      </c>
      <c r="AP37" t="s">
        <v>681</v>
      </c>
      <c r="AQ37" t="s">
        <v>129</v>
      </c>
      <c r="AR37" t="s">
        <v>680</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666</v>
      </c>
      <c r="C40" s="2" t="s">
        <v>203</v>
      </c>
      <c r="D40" s="2">
        <v>0</v>
      </c>
      <c r="E40" s="2"/>
      <c r="F40" s="2"/>
      <c r="G40" s="2"/>
      <c r="H40" s="2"/>
      <c r="I40" s="2"/>
      <c r="J40" s="2"/>
      <c r="K40" s="2"/>
      <c r="L40" s="2"/>
      <c r="M40" s="2"/>
      <c r="N40" s="2"/>
      <c r="O40" s="2"/>
      <c r="P40" s="2"/>
      <c r="Q40" s="2" t="s">
        <v>661</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40</v>
      </c>
      <c r="E42" s="2">
        <f>StartY</f>
        <v>100</v>
      </c>
      <c r="F42" s="2">
        <v>0</v>
      </c>
      <c r="G42" s="2" t="str">
        <f>CONCATENATE("R", 3*ExtrusionSpacing_L1)</f>
        <v>R9.6</v>
      </c>
      <c r="H42" s="2" t="s">
        <v>100</v>
      </c>
      <c r="I42" s="2" t="s">
        <v>100</v>
      </c>
      <c r="J42" s="2" t="s">
        <v>19</v>
      </c>
      <c r="K42" s="2">
        <f>ExtrusionWidth</f>
        <v>2.5</v>
      </c>
      <c r="L42" s="2">
        <f>ExtrusionHeight</f>
        <v>1.457902</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R125</v>
      </c>
      <c r="I43" s="2" t="s">
        <v>100</v>
      </c>
      <c r="J43" s="2" t="s">
        <v>19</v>
      </c>
      <c r="K43" s="2">
        <f>ExtrusionWidth</f>
        <v>2.5</v>
      </c>
      <c r="L43" s="2">
        <f>ExtrusionHeight</f>
        <v>1.457902</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R3.2</v>
      </c>
      <c r="H44" s="2" t="s">
        <v>100</v>
      </c>
      <c r="I44" s="2" t="s">
        <v>100</v>
      </c>
      <c r="J44" s="2" t="s">
        <v>19</v>
      </c>
      <c r="K44" s="2">
        <f>ExtrusionWidth</f>
        <v>2.5</v>
      </c>
      <c r="L44" s="2">
        <f>ExtrusionHeight</f>
        <v>1.457902</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R-125</v>
      </c>
      <c r="I45" s="2" t="s">
        <v>100</v>
      </c>
      <c r="J45" s="2" t="s">
        <v>19</v>
      </c>
      <c r="K45" s="2">
        <f>ExtrusionWidth</f>
        <v>2.5</v>
      </c>
      <c r="L45" s="2">
        <f>ExtrusionHeight</f>
        <v>1.457902</v>
      </c>
      <c r="M45" s="2"/>
      <c r="N45" s="2"/>
      <c r="O45" s="2"/>
      <c r="P45" s="2"/>
      <c r="Q45" s="2"/>
      <c r="S45" s="57"/>
      <c r="T45" s="57"/>
      <c r="U45" s="90"/>
    </row>
    <row r="46" spans="1:46" x14ac:dyDescent="0.25">
      <c r="A46" s="2">
        <v>8</v>
      </c>
      <c r="B46" s="2" t="s">
        <v>55</v>
      </c>
      <c r="C46" s="98" t="s">
        <v>668</v>
      </c>
      <c r="D46" s="2">
        <f>4*ExtrusionSpacing_L1</f>
        <v>12.8</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676</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f>50+ExtrusionSpacing_L1</f>
        <v>53.2</v>
      </c>
      <c r="H50" s="2">
        <f>50+Length+ExtrusionSpacing_L1</f>
        <v>178.2</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43.2</v>
      </c>
      <c r="E51" s="2">
        <f>StartY+Length+ExtrusionSpacing_L1</f>
        <v>228.2</v>
      </c>
      <c r="F51" s="2">
        <v>1E-4</v>
      </c>
      <c r="G51" s="2" t="s">
        <v>100</v>
      </c>
      <c r="H51" s="2" t="str">
        <f>CONCATENATE("R-", Length)</f>
        <v>R-125</v>
      </c>
      <c r="I51" s="2" t="s">
        <v>100</v>
      </c>
      <c r="J51" s="2" t="s">
        <v>19</v>
      </c>
      <c r="K51" s="2">
        <f>ExtrusionWidth</f>
        <v>2.5</v>
      </c>
      <c r="L51" s="2">
        <f>ExtrusionHeight</f>
        <v>1.457902</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R3.2</v>
      </c>
      <c r="H52" s="2" t="s">
        <v>100</v>
      </c>
      <c r="I52" s="2" t="s">
        <v>100</v>
      </c>
      <c r="J52" s="2" t="s">
        <v>19</v>
      </c>
      <c r="K52" s="2">
        <f>ExtrusionWidth</f>
        <v>2.5</v>
      </c>
      <c r="L52" s="2">
        <f>ExtrusionHeight</f>
        <v>1.457902</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R125</v>
      </c>
      <c r="I53" s="2" t="s">
        <v>100</v>
      </c>
      <c r="J53" s="2" t="s">
        <v>19</v>
      </c>
      <c r="K53" s="2">
        <f>ExtrusionWidth</f>
        <v>2.5</v>
      </c>
      <c r="L53" s="2">
        <f>ExtrusionHeight</f>
        <v>1.457902</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str">
        <f>CONCATENATE("R", 3*ExtrusionSpacing_L1)</f>
        <v>R9.6</v>
      </c>
      <c r="H54" s="2" t="s">
        <v>100</v>
      </c>
      <c r="I54" s="2" t="s">
        <v>100</v>
      </c>
      <c r="J54" s="2" t="s">
        <v>19</v>
      </c>
      <c r="K54" s="2">
        <f>ExtrusionWidth</f>
        <v>2.5</v>
      </c>
      <c r="L54" s="2">
        <f>ExtrusionHeight</f>
        <v>1.457902</v>
      </c>
      <c r="M54" s="2"/>
      <c r="N54" s="2"/>
      <c r="O54" s="2"/>
      <c r="P54" s="2"/>
      <c r="Q54" s="2"/>
      <c r="S54" s="5" t="s">
        <v>167</v>
      </c>
      <c r="T54" s="5">
        <v>20</v>
      </c>
      <c r="U54" s="5" t="s">
        <v>44</v>
      </c>
    </row>
    <row r="55" spans="1:34" x14ac:dyDescent="0.25">
      <c r="A55" s="2">
        <v>17</v>
      </c>
      <c r="B55" s="143" t="s">
        <v>55</v>
      </c>
      <c r="C55" s="98" t="s">
        <v>667</v>
      </c>
      <c r="D55" s="2">
        <f>4*ExtrusionSpacing_L1</f>
        <v>12.8</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2</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f>50+ExtrusionSpacing_L1</f>
        <v>53.2</v>
      </c>
      <c r="H57" s="2">
        <f>50+Length+ExtrusionSpacing_L1</f>
        <v>178.2</v>
      </c>
      <c r="I57" s="2"/>
      <c r="J57" s="2" t="s">
        <v>23</v>
      </c>
      <c r="K57" s="2"/>
      <c r="L57" s="2"/>
      <c r="M57" s="2"/>
      <c r="N57" s="2"/>
      <c r="O57" s="2"/>
      <c r="P57" s="2"/>
      <c r="Q57" s="2"/>
      <c r="S57" s="78" t="s">
        <v>339</v>
      </c>
      <c r="T57" s="5">
        <v>0</v>
      </c>
      <c r="U57" s="5"/>
      <c r="V57" s="1"/>
    </row>
    <row r="58" spans="1:34" x14ac:dyDescent="0.25">
      <c r="A58" s="2">
        <v>20</v>
      </c>
      <c r="B58" s="143" t="s">
        <v>1</v>
      </c>
      <c r="C58" s="2" t="s">
        <v>18</v>
      </c>
      <c r="D58" s="2">
        <f>StartX+ExtrusionSpacing_L1</f>
        <v>43.2</v>
      </c>
      <c r="E58" s="2">
        <f>StartY+Length+ExtrusionSpacing_L1</f>
        <v>228.2</v>
      </c>
      <c r="F58" s="2" t="s">
        <v>100</v>
      </c>
      <c r="G58" s="2" t="s">
        <v>100</v>
      </c>
      <c r="H58" s="2" t="str">
        <f>CONCATENATE("R-", Length)</f>
        <v>R-125</v>
      </c>
      <c r="I58" s="2" t="s">
        <v>100</v>
      </c>
      <c r="J58" s="2" t="s">
        <v>19</v>
      </c>
      <c r="K58" s="2">
        <f>ExtrusionWidth</f>
        <v>2.5</v>
      </c>
      <c r="L58" s="2">
        <f>ExtrusionHeight</f>
        <v>1.457902</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R3.2</v>
      </c>
      <c r="H59" s="2" t="s">
        <v>100</v>
      </c>
      <c r="I59" s="2" t="s">
        <v>100</v>
      </c>
      <c r="J59" s="2" t="s">
        <v>19</v>
      </c>
      <c r="K59" s="2">
        <f>ExtrusionWidth</f>
        <v>2.5</v>
      </c>
      <c r="L59" s="2">
        <f>ExtrusionHeight</f>
        <v>1.457902</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R125</v>
      </c>
      <c r="I60" s="2" t="s">
        <v>100</v>
      </c>
      <c r="J60" s="2" t="s">
        <v>19</v>
      </c>
      <c r="K60" s="2">
        <f>ExtrusionWidth</f>
        <v>2.5</v>
      </c>
      <c r="L60" s="2">
        <f>ExtrusionHeight</f>
        <v>1.457902</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R9.6</v>
      </c>
      <c r="H61" s="2" t="s">
        <v>100</v>
      </c>
      <c r="I61" s="2" t="s">
        <v>100</v>
      </c>
      <c r="J61" s="2" t="s">
        <v>19</v>
      </c>
      <c r="K61" s="2">
        <f>ExtrusionWidth</f>
        <v>2.5</v>
      </c>
      <c r="L61" s="2">
        <f>ExtrusionHeight</f>
        <v>1.457902</v>
      </c>
      <c r="M61" s="2"/>
      <c r="N61" s="2"/>
      <c r="O61" s="2"/>
      <c r="P61" s="2"/>
      <c r="Q61" s="2"/>
      <c r="S61" s="5" t="s">
        <v>161</v>
      </c>
      <c r="T61" s="5">
        <v>2500</v>
      </c>
      <c r="U61" s="5" t="s">
        <v>45</v>
      </c>
    </row>
    <row r="62" spans="1:34" x14ac:dyDescent="0.25">
      <c r="A62" s="2">
        <v>24</v>
      </c>
      <c r="B62" s="143" t="s">
        <v>55</v>
      </c>
      <c r="C62" s="98" t="s">
        <v>675</v>
      </c>
      <c r="D62" s="2">
        <f>4*ExtrusionSpacing_L1</f>
        <v>12.8</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676</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2</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40</v>
      </c>
      <c r="E67" s="2">
        <f>StartY</f>
        <v>100</v>
      </c>
      <c r="F67" s="2">
        <f>LayerHeight</f>
        <v>2</v>
      </c>
      <c r="G67" s="2" t="str">
        <f>CONCATENATE("R", 3*ExtrusionSpacing_L1)</f>
        <v>R9.6</v>
      </c>
      <c r="H67" s="2" t="s">
        <v>100</v>
      </c>
      <c r="I67" s="2" t="s">
        <v>100</v>
      </c>
      <c r="J67" s="2" t="s">
        <v>19</v>
      </c>
      <c r="K67" s="2">
        <f>ExtrusionWidth</f>
        <v>2.5</v>
      </c>
      <c r="L67" s="2">
        <f>ExtrusionHeight</f>
        <v>1.457902</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R125</v>
      </c>
      <c r="I68" s="2" t="s">
        <v>100</v>
      </c>
      <c r="J68" s="2" t="s">
        <v>19</v>
      </c>
      <c r="K68" s="2">
        <f>ExtrusionWidth</f>
        <v>2.5</v>
      </c>
      <c r="L68" s="2">
        <f>ExtrusionHeight</f>
        <v>1.457902</v>
      </c>
      <c r="M68" s="2"/>
      <c r="N68" s="2"/>
      <c r="O68" s="2"/>
      <c r="P68" s="2"/>
      <c r="Q68" s="2"/>
      <c r="R68" s="29"/>
      <c r="S68" s="75" t="s">
        <v>663</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R3.2</v>
      </c>
      <c r="H69" s="2" t="s">
        <v>100</v>
      </c>
      <c r="I69" s="2" t="s">
        <v>100</v>
      </c>
      <c r="J69" s="2" t="s">
        <v>19</v>
      </c>
      <c r="K69" s="2">
        <f>ExtrusionWidth</f>
        <v>2.5</v>
      </c>
      <c r="L69" s="2">
        <f>ExtrusionHeight</f>
        <v>1.457902</v>
      </c>
      <c r="M69" s="2"/>
      <c r="N69" s="2"/>
      <c r="O69" s="2"/>
      <c r="P69" s="2"/>
      <c r="Q69" s="2"/>
      <c r="R69" s="29"/>
      <c r="S69" s="75" t="s">
        <v>662</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R-125</v>
      </c>
      <c r="I70" s="2" t="s">
        <v>100</v>
      </c>
      <c r="J70" s="2" t="s">
        <v>19</v>
      </c>
      <c r="K70" s="2">
        <f>ExtrusionWidth</f>
        <v>2.5</v>
      </c>
      <c r="L70" s="2">
        <f>ExtrusionHeight</f>
        <v>1.457902</v>
      </c>
      <c r="M70" s="2"/>
      <c r="N70" s="2"/>
      <c r="O70" s="2"/>
      <c r="P70" s="2"/>
      <c r="Q70" s="2"/>
      <c r="S70" s="75" t="s">
        <v>673</v>
      </c>
      <c r="T70" s="75">
        <v>1.2</v>
      </c>
      <c r="U70" s="92" t="s">
        <v>109</v>
      </c>
    </row>
    <row r="71" spans="1:46" x14ac:dyDescent="0.25">
      <c r="A71" s="2">
        <v>33</v>
      </c>
      <c r="B71" s="2" t="s">
        <v>55</v>
      </c>
      <c r="C71" s="98" t="s">
        <v>677</v>
      </c>
      <c r="D71" s="2">
        <f>4*ExtrusionSpacing_L1</f>
        <v>12.8</v>
      </c>
      <c r="E71" s="2">
        <v>0</v>
      </c>
      <c r="F71" s="2">
        <v>0</v>
      </c>
      <c r="G71" s="2">
        <v>20</v>
      </c>
      <c r="H71" s="2"/>
      <c r="I71" s="2"/>
      <c r="J71" s="2"/>
      <c r="K71" s="2"/>
      <c r="L71" s="2"/>
      <c r="M71" s="2"/>
      <c r="N71" s="2"/>
      <c r="O71" s="2"/>
      <c r="P71" s="2"/>
      <c r="Q71" s="2"/>
      <c r="S71" s="75" t="s">
        <v>674</v>
      </c>
      <c r="T71" s="75">
        <v>0.9</v>
      </c>
      <c r="U71" s="92" t="s">
        <v>109</v>
      </c>
      <c r="AO71" t="s">
        <v>130</v>
      </c>
      <c r="AP71" t="s">
        <v>670</v>
      </c>
      <c r="AQ71" t="s">
        <v>129</v>
      </c>
      <c r="AR71" t="s">
        <v>669</v>
      </c>
      <c r="AS71" t="s">
        <v>128</v>
      </c>
      <c r="AT71" t="s">
        <v>617</v>
      </c>
    </row>
    <row r="72" spans="1:46" x14ac:dyDescent="0.25">
      <c r="A72" s="2">
        <v>34</v>
      </c>
      <c r="B72" s="143" t="s">
        <v>39</v>
      </c>
      <c r="C72" s="2">
        <v>1.25</v>
      </c>
      <c r="D72" s="2">
        <v>2100</v>
      </c>
      <c r="E72" s="2">
        <f>LayerHeight</f>
        <v>2</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678</v>
      </c>
      <c r="D73" s="2">
        <v>0</v>
      </c>
      <c r="E73" s="2">
        <v>0</v>
      </c>
      <c r="F73" s="2">
        <f>2*LayerHeight</f>
        <v>4</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679</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682</v>
      </c>
      <c r="C80" s="58" t="s">
        <v>128</v>
      </c>
      <c r="D80" s="2" t="s">
        <v>617</v>
      </c>
      <c r="U80" s="89"/>
      <c r="AO80" t="s">
        <v>130</v>
      </c>
      <c r="AP80" t="s">
        <v>683</v>
      </c>
      <c r="AQ80" t="s">
        <v>129</v>
      </c>
      <c r="AR80" t="s">
        <v>682</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666</v>
      </c>
      <c r="C83" s="2" t="s">
        <v>203</v>
      </c>
      <c r="D83" s="2">
        <v>0</v>
      </c>
      <c r="E83" s="2"/>
      <c r="F83" s="2"/>
      <c r="G83" s="2"/>
      <c r="H83" s="2"/>
      <c r="I83" s="2"/>
      <c r="J83" s="2"/>
      <c r="K83" s="2"/>
      <c r="L83" s="2"/>
      <c r="M83" s="2"/>
      <c r="N83" s="2"/>
      <c r="O83" s="2"/>
      <c r="P83" s="2"/>
      <c r="Q83" s="2" t="s">
        <v>661</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40</v>
      </c>
      <c r="E85" s="2">
        <f>StartY</f>
        <v>100</v>
      </c>
      <c r="F85" s="2">
        <v>0</v>
      </c>
      <c r="G85" s="2" t="str">
        <f>CONCATENATE("R", 3*ExtrusionSpacing_L1)</f>
        <v>R9.6</v>
      </c>
      <c r="H85" s="2" t="s">
        <v>100</v>
      </c>
      <c r="I85" s="2" t="s">
        <v>100</v>
      </c>
      <c r="J85" s="2" t="s">
        <v>19</v>
      </c>
      <c r="K85" s="2">
        <f>ExtrusionWidth</f>
        <v>2.5</v>
      </c>
      <c r="L85" s="2">
        <f>ExtrusionHeight</f>
        <v>1.457902</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R125</v>
      </c>
      <c r="I86" s="2" t="s">
        <v>100</v>
      </c>
      <c r="J86" s="2" t="s">
        <v>19</v>
      </c>
      <c r="K86" s="2">
        <f>ExtrusionWidth</f>
        <v>2.5</v>
      </c>
      <c r="L86" s="2">
        <f>ExtrusionHeight</f>
        <v>1.457902</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R3.2</v>
      </c>
      <c r="H87" s="2" t="s">
        <v>100</v>
      </c>
      <c r="I87" s="2" t="s">
        <v>100</v>
      </c>
      <c r="J87" s="2" t="s">
        <v>19</v>
      </c>
      <c r="K87" s="2">
        <f>ExtrusionWidth</f>
        <v>2.5</v>
      </c>
      <c r="L87" s="2">
        <f>ExtrusionHeight</f>
        <v>1.457902</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R-125</v>
      </c>
      <c r="I88" s="2" t="s">
        <v>100</v>
      </c>
      <c r="J88" s="2" t="s">
        <v>19</v>
      </c>
      <c r="K88" s="2">
        <f>ExtrusionWidth</f>
        <v>2.5</v>
      </c>
      <c r="L88" s="2">
        <f>ExtrusionHeight</f>
        <v>1.457902</v>
      </c>
      <c r="M88" s="2"/>
      <c r="N88" s="2"/>
      <c r="O88" s="2"/>
      <c r="P88" s="2"/>
      <c r="Q88" s="2"/>
      <c r="S88" s="57"/>
      <c r="T88" s="57"/>
      <c r="U88" s="90"/>
    </row>
    <row r="89" spans="1:34" x14ac:dyDescent="0.25">
      <c r="A89" s="2">
        <v>8</v>
      </c>
      <c r="B89" s="2" t="s">
        <v>55</v>
      </c>
      <c r="C89" s="98" t="s">
        <v>668</v>
      </c>
      <c r="D89" s="2">
        <f>4*ExtrusionSpacing_L1</f>
        <v>12.8</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676</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f>50+ExtrusionSpacing_L1</f>
        <v>53.2</v>
      </c>
      <c r="H93" s="2">
        <f>50+Length+ExtrusionSpacing_L1</f>
        <v>178.2</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43.2</v>
      </c>
      <c r="E94" s="2">
        <f>StartY+Length+ExtrusionSpacing_L1</f>
        <v>228.2</v>
      </c>
      <c r="F94" s="2">
        <v>1E-4</v>
      </c>
      <c r="G94" s="2" t="s">
        <v>100</v>
      </c>
      <c r="H94" s="2" t="str">
        <f>CONCATENATE("R-", Length)</f>
        <v>R-125</v>
      </c>
      <c r="I94" s="2" t="s">
        <v>100</v>
      </c>
      <c r="J94" s="2" t="s">
        <v>19</v>
      </c>
      <c r="K94" s="2">
        <f>ExtrusionWidth</f>
        <v>2.5</v>
      </c>
      <c r="L94" s="2">
        <f>ExtrusionHeight</f>
        <v>1.457902</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R3.2</v>
      </c>
      <c r="H95" s="2" t="s">
        <v>100</v>
      </c>
      <c r="I95" s="2" t="s">
        <v>100</v>
      </c>
      <c r="J95" s="2" t="s">
        <v>19</v>
      </c>
      <c r="K95" s="2">
        <f>ExtrusionWidth</f>
        <v>2.5</v>
      </c>
      <c r="L95" s="2">
        <f>ExtrusionHeight</f>
        <v>1.457902</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R125</v>
      </c>
      <c r="I96" s="2" t="s">
        <v>100</v>
      </c>
      <c r="J96" s="2" t="s">
        <v>19</v>
      </c>
      <c r="K96" s="2">
        <f>ExtrusionWidth</f>
        <v>2.5</v>
      </c>
      <c r="L96" s="2">
        <f>ExtrusionHeight</f>
        <v>1.457902</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str">
        <f>CONCATENATE("R", 3*ExtrusionSpacing_L1)</f>
        <v>R9.6</v>
      </c>
      <c r="H97" s="2" t="s">
        <v>100</v>
      </c>
      <c r="I97" s="2" t="s">
        <v>100</v>
      </c>
      <c r="J97" s="2" t="s">
        <v>19</v>
      </c>
      <c r="K97" s="2">
        <f>ExtrusionWidth</f>
        <v>2.5</v>
      </c>
      <c r="L97" s="2">
        <f>ExtrusionHeight</f>
        <v>1.457902</v>
      </c>
      <c r="M97" s="2"/>
      <c r="N97" s="2"/>
      <c r="O97" s="2"/>
      <c r="P97" s="2"/>
      <c r="Q97" s="2"/>
      <c r="S97" s="5" t="s">
        <v>167</v>
      </c>
      <c r="T97" s="5">
        <v>20</v>
      </c>
      <c r="U97" s="5" t="s">
        <v>44</v>
      </c>
    </row>
    <row r="98" spans="1:40" x14ac:dyDescent="0.25">
      <c r="A98" s="2">
        <v>17</v>
      </c>
      <c r="B98" s="143" t="s">
        <v>55</v>
      </c>
      <c r="C98" s="98" t="s">
        <v>667</v>
      </c>
      <c r="D98" s="2">
        <f>4*ExtrusionSpacing_L1</f>
        <v>12.8</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2</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f>50+ExtrusionSpacing_L1</f>
        <v>53.2</v>
      </c>
      <c r="H100" s="2">
        <f>50+Length+ExtrusionSpacing_L1</f>
        <v>178.2</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40</v>
      </c>
      <c r="E101" s="2">
        <f>StartY</f>
        <v>100</v>
      </c>
      <c r="F101" s="2" t="s">
        <v>100</v>
      </c>
      <c r="G101" s="2" t="str">
        <f>CONCATENATE("R", 3*ExtrusionSpacing_L1)</f>
        <v>R9.6</v>
      </c>
      <c r="H101" s="2" t="s">
        <v>100</v>
      </c>
      <c r="I101" s="2" t="s">
        <v>100</v>
      </c>
      <c r="J101" s="2" t="s">
        <v>19</v>
      </c>
      <c r="K101" s="2">
        <f>ExtrusionWidth</f>
        <v>2.5</v>
      </c>
      <c r="L101" s="2">
        <f>ExtrusionHeight</f>
        <v>1.457902</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R125</v>
      </c>
      <c r="I102" s="2" t="s">
        <v>100</v>
      </c>
      <c r="J102" s="2" t="s">
        <v>19</v>
      </c>
      <c r="K102" s="2">
        <f>ExtrusionWidth</f>
        <v>2.5</v>
      </c>
      <c r="L102" s="2">
        <f>ExtrusionHeight</f>
        <v>1.457902</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R3.2</v>
      </c>
      <c r="H103" s="2" t="s">
        <v>100</v>
      </c>
      <c r="I103" s="2" t="s">
        <v>100</v>
      </c>
      <c r="J103" s="2" t="s">
        <v>19</v>
      </c>
      <c r="K103" s="2">
        <f>ExtrusionWidth</f>
        <v>2.5</v>
      </c>
      <c r="L103" s="2">
        <f>ExtrusionHeight</f>
        <v>1.457902</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R-125</v>
      </c>
      <c r="I104" s="2" t="s">
        <v>100</v>
      </c>
      <c r="J104" s="2" t="s">
        <v>19</v>
      </c>
      <c r="K104" s="2">
        <f>ExtrusionWidth</f>
        <v>2.5</v>
      </c>
      <c r="L104" s="2">
        <f>ExtrusionHeight</f>
        <v>1.457902</v>
      </c>
      <c r="M104" s="2"/>
      <c r="N104" s="2"/>
      <c r="O104" s="2"/>
      <c r="P104" s="2"/>
      <c r="Q104" s="2"/>
      <c r="S104" s="5" t="s">
        <v>161</v>
      </c>
      <c r="T104" s="5">
        <v>2500</v>
      </c>
      <c r="U104" s="5" t="s">
        <v>45</v>
      </c>
    </row>
    <row r="105" spans="1:40" x14ac:dyDescent="0.25">
      <c r="A105" s="2">
        <v>24</v>
      </c>
      <c r="B105" s="143" t="s">
        <v>55</v>
      </c>
      <c r="C105" s="98" t="s">
        <v>675</v>
      </c>
      <c r="D105" s="2">
        <f>4*ExtrusionSpacing_L1</f>
        <v>12.8</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676</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2</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43.2</v>
      </c>
      <c r="E110" s="2">
        <f>StartY+Length+ExtrusionSpacing_L1</f>
        <v>228.2</v>
      </c>
      <c r="F110" s="2">
        <v>0.9</v>
      </c>
      <c r="G110" s="2" t="s">
        <v>100</v>
      </c>
      <c r="H110" s="2" t="str">
        <f>CONCATENATE("R-", Length)</f>
        <v>R-125</v>
      </c>
      <c r="I110" s="2" t="s">
        <v>100</v>
      </c>
      <c r="J110" s="2" t="s">
        <v>19</v>
      </c>
      <c r="K110" s="2">
        <f>ExtrusionWidth</f>
        <v>2.5</v>
      </c>
      <c r="L110" s="2">
        <f>ExtrusionHeight</f>
        <v>1.457902</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R3.2</v>
      </c>
      <c r="H111" s="2" t="s">
        <v>100</v>
      </c>
      <c r="I111" s="2" t="s">
        <v>100</v>
      </c>
      <c r="J111" s="2" t="s">
        <v>19</v>
      </c>
      <c r="K111" s="2">
        <f>ExtrusionWidth</f>
        <v>2.5</v>
      </c>
      <c r="L111" s="2">
        <f>ExtrusionHeight</f>
        <v>1.457902</v>
      </c>
      <c r="M111" s="2"/>
      <c r="N111" s="2"/>
      <c r="O111" s="2"/>
      <c r="P111" s="2"/>
      <c r="Q111" s="2"/>
      <c r="R111" s="29"/>
      <c r="S111" s="75" t="s">
        <v>663</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R125</v>
      </c>
      <c r="I112" s="2" t="s">
        <v>100</v>
      </c>
      <c r="J112" s="2" t="s">
        <v>19</v>
      </c>
      <c r="K112" s="2">
        <f>ExtrusionWidth</f>
        <v>2.5</v>
      </c>
      <c r="L112" s="2">
        <f>ExtrusionHeight</f>
        <v>1.457902</v>
      </c>
      <c r="M112" s="2"/>
      <c r="N112" s="2"/>
      <c r="O112" s="2"/>
      <c r="P112" s="2"/>
      <c r="Q112" s="2"/>
      <c r="R112" s="29"/>
      <c r="S112" s="75" t="s">
        <v>662</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R9.6</v>
      </c>
      <c r="H113" s="2" t="s">
        <v>100</v>
      </c>
      <c r="I113" s="2" t="s">
        <v>100</v>
      </c>
      <c r="J113" s="2" t="s">
        <v>19</v>
      </c>
      <c r="K113" s="2">
        <f>ExtrusionWidth</f>
        <v>2.5</v>
      </c>
      <c r="L113" s="2">
        <f>ExtrusionHeight</f>
        <v>1.457902</v>
      </c>
      <c r="M113" s="2"/>
      <c r="N113" s="2"/>
      <c r="O113" s="2"/>
      <c r="P113" s="2"/>
      <c r="Q113" s="2"/>
      <c r="S113" s="75" t="s">
        <v>673</v>
      </c>
      <c r="T113" s="75">
        <v>1.2</v>
      </c>
      <c r="U113" s="92" t="s">
        <v>109</v>
      </c>
    </row>
    <row r="114" spans="1:46" x14ac:dyDescent="0.25">
      <c r="A114" s="2">
        <v>33</v>
      </c>
      <c r="B114" s="2" t="s">
        <v>55</v>
      </c>
      <c r="C114" s="98" t="s">
        <v>677</v>
      </c>
      <c r="D114" s="2">
        <f>4*ExtrusionSpacing_L1</f>
        <v>12.8</v>
      </c>
      <c r="E114" s="2">
        <v>0</v>
      </c>
      <c r="F114" s="2">
        <v>0</v>
      </c>
      <c r="G114" s="2">
        <v>20</v>
      </c>
      <c r="H114" s="2"/>
      <c r="I114" s="2"/>
      <c r="J114" s="2"/>
      <c r="K114" s="2"/>
      <c r="L114" s="2"/>
      <c r="M114" s="2"/>
      <c r="N114" s="2"/>
      <c r="O114" s="2"/>
      <c r="P114" s="2"/>
      <c r="Q114" s="2"/>
      <c r="S114" s="75" t="s">
        <v>674</v>
      </c>
      <c r="T114" s="75">
        <v>0.9</v>
      </c>
      <c r="U114" s="92" t="s">
        <v>109</v>
      </c>
      <c r="AO114" t="s">
        <v>130</v>
      </c>
      <c r="AP114" t="s">
        <v>672</v>
      </c>
      <c r="AQ114" t="s">
        <v>129</v>
      </c>
      <c r="AR114" t="s">
        <v>671</v>
      </c>
      <c r="AS114" t="s">
        <v>128</v>
      </c>
      <c r="AT114" t="s">
        <v>617</v>
      </c>
    </row>
    <row r="115" spans="1:46" x14ac:dyDescent="0.25">
      <c r="A115" s="2">
        <v>34</v>
      </c>
      <c r="B115" s="143" t="s">
        <v>39</v>
      </c>
      <c r="C115" s="2">
        <v>1.25</v>
      </c>
      <c r="D115" s="2">
        <v>2100</v>
      </c>
      <c r="E115" s="2">
        <f>LayerHeight</f>
        <v>2</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678</v>
      </c>
      <c r="D116" s="2">
        <v>0</v>
      </c>
      <c r="E116" s="2">
        <v>0</v>
      </c>
      <c r="F116" s="2">
        <f>2*LayerHeight</f>
        <v>4</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679</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25</v>
      </c>
      <c r="L5" s="10">
        <f>_xlfn.SINGLE(Height)</f>
        <v>15.3</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25</v>
      </c>
      <c r="L6" s="12">
        <f>_xlfn.SINGLE(Height)</f>
        <v>15.3</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7.65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2</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2</v>
      </c>
      <c r="G57" s="23">
        <f>(45/_xlfn.SINGLE(LayerHeight))-1</f>
        <v>21.5</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6</v>
      </c>
      <c r="F58" s="35">
        <f>(14+1.4)/_xlfn.SINGLE(LayerHeight)-1</f>
        <v>6.7</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6.7</v>
      </c>
      <c r="F59" s="37">
        <f>(14+1.4+14)/_xlfn.SINGLE(LayerHeight)-1</f>
        <v>13.7</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13.7</v>
      </c>
      <c r="F60" s="27">
        <f>(14+1.4+14+1.4)/_xlfn.SINGLE(LayerHeight)-1</f>
        <v>14.399999999999999</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13.7</v>
      </c>
      <c r="F61" s="27">
        <f>(14+1.4+14+1.4)/_xlfn.SINGLE(LayerHeight)-1</f>
        <v>14.399999999999999</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40</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173</v>
      </c>
      <c r="E2" s="60">
        <v>150</v>
      </c>
      <c r="F2" s="60">
        <v>125</v>
      </c>
      <c r="G2" s="60" t="s">
        <v>690</v>
      </c>
      <c r="H2" s="60">
        <v>32.5</v>
      </c>
      <c r="I2" s="60" t="s">
        <v>691</v>
      </c>
      <c r="J2" s="60">
        <v>0</v>
      </c>
      <c r="K2" s="60">
        <v>6.2831853071795862</v>
      </c>
      <c r="L2" s="60">
        <v>225</v>
      </c>
      <c r="M2" s="60">
        <v>1.2</v>
      </c>
      <c r="N2" s="60">
        <v>0.9</v>
      </c>
      <c r="Q2" s="72"/>
    </row>
    <row r="3" spans="1:17" ht="16.350000000000001" customHeight="1" x14ac:dyDescent="0.25">
      <c r="A3" s="71">
        <v>2</v>
      </c>
      <c r="B3" s="71">
        <v>2</v>
      </c>
      <c r="C3" s="60">
        <v>2</v>
      </c>
      <c r="D3" s="60" t="s">
        <v>689</v>
      </c>
      <c r="E3" s="60" t="s">
        <v>73</v>
      </c>
      <c r="F3" s="60" t="s">
        <v>74</v>
      </c>
      <c r="G3" s="60" t="s">
        <v>175</v>
      </c>
      <c r="H3" s="60" t="s">
        <v>174</v>
      </c>
      <c r="I3" s="60" t="s">
        <v>95</v>
      </c>
      <c r="J3" s="60" t="s">
        <v>96</v>
      </c>
      <c r="K3" s="60" t="s">
        <v>97</v>
      </c>
      <c r="L3" s="60" t="s">
        <v>112</v>
      </c>
      <c r="M3" s="60" t="s">
        <v>15</v>
      </c>
      <c r="N3" s="60" t="s">
        <v>11</v>
      </c>
      <c r="O3" s="60" t="s">
        <v>245</v>
      </c>
      <c r="P3" s="72" t="s">
        <v>191</v>
      </c>
      <c r="Q3" s="72" t="s">
        <v>389</v>
      </c>
    </row>
    <row r="4" spans="1:17" ht="16.350000000000001" customHeight="1" x14ac:dyDescent="0.25">
      <c r="A4" s="71">
        <v>3</v>
      </c>
      <c r="B4" s="71">
        <v>3</v>
      </c>
      <c r="C4" s="60">
        <v>3</v>
      </c>
      <c r="D4" s="60" t="s">
        <v>54</v>
      </c>
      <c r="E4" s="60" t="s">
        <v>290</v>
      </c>
      <c r="F4" s="60">
        <v>150</v>
      </c>
      <c r="G4" s="60">
        <v>125</v>
      </c>
      <c r="I4" s="60">
        <v>-1.35</v>
      </c>
      <c r="J4" s="60">
        <v>1</v>
      </c>
      <c r="Q4" s="72"/>
    </row>
    <row r="5" spans="1:17" ht="16.350000000000001" customHeight="1" x14ac:dyDescent="0.25">
      <c r="A5" s="71">
        <v>4</v>
      </c>
      <c r="B5" s="71">
        <v>1</v>
      </c>
      <c r="C5" s="60">
        <v>4</v>
      </c>
      <c r="D5" s="60" t="s">
        <v>173</v>
      </c>
      <c r="E5" s="60">
        <v>150</v>
      </c>
      <c r="F5" s="60">
        <v>125</v>
      </c>
      <c r="G5" s="60" t="s">
        <v>690</v>
      </c>
      <c r="H5" s="60">
        <v>32.5</v>
      </c>
      <c r="I5" s="60" t="s">
        <v>692</v>
      </c>
      <c r="J5" s="60">
        <v>0</v>
      </c>
      <c r="K5" s="60">
        <v>6.2831853071795862</v>
      </c>
      <c r="L5" s="60">
        <v>225</v>
      </c>
      <c r="M5" s="60">
        <v>1.2</v>
      </c>
      <c r="N5" s="60">
        <v>0.9</v>
      </c>
      <c r="P5" s="72"/>
      <c r="Q5" s="72"/>
    </row>
    <row r="6" spans="1:17" ht="16.350000000000001" customHeight="1" x14ac:dyDescent="0.25">
      <c r="A6" s="71">
        <v>4</v>
      </c>
      <c r="B6" s="71">
        <v>3</v>
      </c>
      <c r="C6" s="60">
        <v>5</v>
      </c>
      <c r="D6" s="60" t="s">
        <v>54</v>
      </c>
      <c r="E6" s="60" t="s">
        <v>664</v>
      </c>
      <c r="F6" s="60">
        <v>150</v>
      </c>
      <c r="G6" s="60">
        <v>125</v>
      </c>
      <c r="I6" s="60">
        <v>-1.35</v>
      </c>
      <c r="J6" s="60">
        <v>1</v>
      </c>
      <c r="Q6" s="72"/>
    </row>
    <row r="7" spans="1:17" ht="16.350000000000001" customHeight="1" x14ac:dyDescent="0.25">
      <c r="A7" s="71">
        <v>4</v>
      </c>
      <c r="B7" s="71">
        <v>1</v>
      </c>
      <c r="C7" s="60">
        <v>6</v>
      </c>
      <c r="D7" s="60" t="s">
        <v>173</v>
      </c>
      <c r="E7" s="60">
        <v>150</v>
      </c>
      <c r="F7" s="60">
        <v>125</v>
      </c>
      <c r="G7" s="60" t="s">
        <v>690</v>
      </c>
      <c r="H7" s="60">
        <v>32.5</v>
      </c>
      <c r="I7" s="60" t="s">
        <v>693</v>
      </c>
      <c r="J7" s="60">
        <v>0</v>
      </c>
      <c r="K7" s="60">
        <v>6.2831853071795862</v>
      </c>
      <c r="L7" s="60">
        <v>225</v>
      </c>
      <c r="M7" s="60">
        <v>1.2</v>
      </c>
      <c r="N7" s="60">
        <v>0.9</v>
      </c>
      <c r="P7" s="72"/>
      <c r="Q7" s="72"/>
    </row>
    <row r="8" spans="1:17" ht="16.350000000000001" customHeight="1" x14ac:dyDescent="0.25">
      <c r="A8" s="71">
        <v>4</v>
      </c>
      <c r="B8" s="71">
        <v>3</v>
      </c>
      <c r="C8" s="60">
        <v>7</v>
      </c>
      <c r="D8" s="60" t="s">
        <v>54</v>
      </c>
      <c r="E8" s="60" t="s">
        <v>665</v>
      </c>
      <c r="F8" s="60">
        <v>150</v>
      </c>
      <c r="G8" s="60">
        <v>125</v>
      </c>
      <c r="I8" s="60">
        <v>-1.35</v>
      </c>
      <c r="J8" s="60">
        <v>1</v>
      </c>
      <c r="Q8" s="72"/>
    </row>
    <row r="9" spans="1:17" ht="16.350000000000001" customHeight="1" x14ac:dyDescent="0.25">
      <c r="A9" s="71">
        <v>4</v>
      </c>
      <c r="B9" s="71">
        <v>1</v>
      </c>
      <c r="C9" s="60">
        <v>8</v>
      </c>
      <c r="D9" s="60" t="s">
        <v>173</v>
      </c>
      <c r="E9" s="60">
        <v>150</v>
      </c>
      <c r="F9" s="60">
        <v>125</v>
      </c>
      <c r="G9" s="60" t="s">
        <v>690</v>
      </c>
      <c r="H9" s="60">
        <v>32.5</v>
      </c>
      <c r="I9" s="60" t="s">
        <v>694</v>
      </c>
      <c r="J9" s="60">
        <v>0</v>
      </c>
      <c r="K9" s="60">
        <v>6.2831853071795862</v>
      </c>
      <c r="L9" s="60">
        <v>225</v>
      </c>
      <c r="M9" s="60">
        <v>1.2</v>
      </c>
      <c r="N9" s="60">
        <v>0.9</v>
      </c>
      <c r="P9" s="72"/>
      <c r="Q9" s="72"/>
    </row>
    <row r="10" spans="1:17" ht="16.350000000000001" customHeight="1" x14ac:dyDescent="0.25">
      <c r="A10" s="71">
        <v>4</v>
      </c>
      <c r="B10" s="71">
        <v>3</v>
      </c>
      <c r="C10" s="60">
        <v>9</v>
      </c>
      <c r="D10" s="60" t="s">
        <v>54</v>
      </c>
      <c r="E10" s="60" t="s">
        <v>686</v>
      </c>
      <c r="F10" s="60">
        <v>150</v>
      </c>
      <c r="G10" s="60">
        <v>125</v>
      </c>
      <c r="I10" s="60">
        <v>-1.35</v>
      </c>
      <c r="J10" s="60">
        <v>1</v>
      </c>
      <c r="Q10" s="72"/>
    </row>
    <row r="11" spans="1:17" ht="16.350000000000001" customHeight="1" x14ac:dyDescent="0.25">
      <c r="A11" s="71">
        <v>4</v>
      </c>
      <c r="B11" s="71">
        <v>1</v>
      </c>
      <c r="C11" s="60">
        <v>10</v>
      </c>
      <c r="D11" s="60" t="s">
        <v>173</v>
      </c>
      <c r="E11" s="60">
        <v>150</v>
      </c>
      <c r="F11" s="60">
        <v>125</v>
      </c>
      <c r="G11" s="60" t="s">
        <v>690</v>
      </c>
      <c r="H11" s="60">
        <v>32.5</v>
      </c>
      <c r="I11" s="60" t="s">
        <v>695</v>
      </c>
      <c r="J11" s="60">
        <v>0</v>
      </c>
      <c r="K11" s="60">
        <v>6.2831853071795862</v>
      </c>
      <c r="L11" s="60">
        <v>225</v>
      </c>
      <c r="M11" s="60">
        <v>1.2</v>
      </c>
      <c r="N11" s="60">
        <v>0.9</v>
      </c>
      <c r="P11" s="72"/>
      <c r="Q11" s="72"/>
    </row>
    <row r="12" spans="1:17" ht="16.350000000000001" customHeight="1" x14ac:dyDescent="0.25">
      <c r="A12" s="71">
        <v>4</v>
      </c>
      <c r="B12" s="71">
        <v>3</v>
      </c>
      <c r="C12" s="60">
        <v>11</v>
      </c>
      <c r="D12" s="60" t="s">
        <v>54</v>
      </c>
      <c r="E12" s="60" t="s">
        <v>687</v>
      </c>
      <c r="F12" s="60">
        <v>150</v>
      </c>
      <c r="G12" s="60">
        <v>125</v>
      </c>
      <c r="I12" s="60">
        <v>-1.35</v>
      </c>
      <c r="J12" s="60">
        <v>1</v>
      </c>
      <c r="Q12" s="72"/>
    </row>
    <row r="13" spans="1:17" ht="16.350000000000001" customHeight="1" x14ac:dyDescent="0.25">
      <c r="A13" s="71">
        <v>4</v>
      </c>
      <c r="B13" s="71">
        <v>1</v>
      </c>
      <c r="C13" s="60">
        <v>12</v>
      </c>
      <c r="D13" s="60" t="s">
        <v>173</v>
      </c>
      <c r="E13" s="60">
        <v>150</v>
      </c>
      <c r="F13" s="60">
        <v>125</v>
      </c>
      <c r="G13" s="60" t="s">
        <v>690</v>
      </c>
      <c r="H13" s="60">
        <v>32.5</v>
      </c>
      <c r="I13" s="60" t="s">
        <v>696</v>
      </c>
      <c r="J13" s="60">
        <v>0</v>
      </c>
      <c r="K13" s="60">
        <v>6.2831853071795862</v>
      </c>
      <c r="L13" s="60">
        <v>225</v>
      </c>
      <c r="M13" s="60">
        <v>1.2</v>
      </c>
      <c r="N13" s="60">
        <v>0.9</v>
      </c>
      <c r="P13" s="72"/>
      <c r="Q13" s="72"/>
    </row>
    <row r="14" spans="1:17" ht="16.350000000000001" customHeight="1" x14ac:dyDescent="0.25">
      <c r="A14" s="71">
        <v>4</v>
      </c>
      <c r="B14" s="71">
        <v>3</v>
      </c>
      <c r="C14" s="60">
        <v>13</v>
      </c>
      <c r="D14" s="60" t="s">
        <v>54</v>
      </c>
      <c r="E14" s="60" t="s">
        <v>688</v>
      </c>
      <c r="F14" s="60">
        <v>150</v>
      </c>
      <c r="G14" s="60">
        <v>125</v>
      </c>
      <c r="I14" s="60">
        <v>-1.35</v>
      </c>
      <c r="J14" s="60">
        <v>1</v>
      </c>
      <c r="Q14" s="72"/>
    </row>
    <row r="15" spans="1:17" ht="16.350000000000001" customHeight="1" x14ac:dyDescent="0.25">
      <c r="A15" s="71">
        <v>5</v>
      </c>
      <c r="B15" s="71">
        <v>14</v>
      </c>
      <c r="C15" s="60">
        <v>14</v>
      </c>
      <c r="D15" s="60" t="s">
        <v>173</v>
      </c>
      <c r="E15" s="60">
        <v>150</v>
      </c>
      <c r="F15" s="60">
        <v>125</v>
      </c>
      <c r="G15" s="60" t="s">
        <v>690</v>
      </c>
      <c r="H15" s="60">
        <v>32.5</v>
      </c>
      <c r="I15" s="60" t="s">
        <v>697</v>
      </c>
      <c r="J15" s="60">
        <v>0</v>
      </c>
      <c r="K15" s="60">
        <v>6.2831853071795862</v>
      </c>
      <c r="L15" s="60">
        <v>150</v>
      </c>
      <c r="M15" s="60">
        <v>1.2</v>
      </c>
      <c r="N15" s="60">
        <v>0.9</v>
      </c>
      <c r="P15" s="72"/>
      <c r="Q15" s="72"/>
    </row>
    <row r="16" spans="1:17" ht="16.350000000000001" customHeight="1" x14ac:dyDescent="0.25">
      <c r="A16" s="71">
        <v>6</v>
      </c>
      <c r="B16" s="71">
        <v>15</v>
      </c>
      <c r="C16" s="60">
        <v>15</v>
      </c>
      <c r="D16" s="60" t="s">
        <v>54</v>
      </c>
      <c r="E16" s="60" t="s">
        <v>698</v>
      </c>
      <c r="F16" s="60">
        <v>150</v>
      </c>
      <c r="G16" s="60">
        <v>125</v>
      </c>
      <c r="I16" s="60">
        <v>-1.35</v>
      </c>
      <c r="J16" s="60">
        <v>1</v>
      </c>
      <c r="O16" s="72"/>
      <c r="Q16" s="72"/>
    </row>
    <row r="17" spans="1:17" ht="16.350000000000001" customHeight="1" x14ac:dyDescent="0.25">
      <c r="A17" s="71">
        <v>7</v>
      </c>
      <c r="B17" s="71">
        <v>16</v>
      </c>
      <c r="C17" s="60">
        <v>16</v>
      </c>
      <c r="D17" s="60" t="s">
        <v>55</v>
      </c>
      <c r="E17" s="60" t="s">
        <v>699</v>
      </c>
      <c r="F17" s="60">
        <v>0</v>
      </c>
      <c r="G17" s="60">
        <v>0</v>
      </c>
      <c r="H17" s="60">
        <v>0.9</v>
      </c>
      <c r="I17" s="60">
        <v>15</v>
      </c>
      <c r="P17" s="72"/>
      <c r="Q17" s="72"/>
    </row>
    <row r="18" spans="1:17" ht="16.350000000000001" customHeight="1" x14ac:dyDescent="0.25">
      <c r="Q18" s="72"/>
    </row>
    <row r="19" spans="1:17" ht="16.350000000000001" customHeight="1" x14ac:dyDescent="0.25">
      <c r="P19" s="72"/>
      <c r="Q19" s="72"/>
    </row>
    <row r="20" spans="1:17" ht="16.350000000000001" customHeight="1" x14ac:dyDescent="0.25">
      <c r="Q20" s="72"/>
    </row>
    <row r="21" spans="1:17" ht="16.350000000000001" customHeight="1" x14ac:dyDescent="0.25">
      <c r="Q21" s="72"/>
    </row>
    <row r="22" spans="1:17" ht="16.350000000000001" customHeight="1" x14ac:dyDescent="0.25">
      <c r="Q22" s="72"/>
    </row>
    <row r="23" spans="1:17" ht="16.350000000000001" customHeight="1" x14ac:dyDescent="0.25">
      <c r="Q23" s="72"/>
    </row>
    <row r="24" spans="1:17" ht="16.350000000000001" customHeight="1" x14ac:dyDescent="0.25">
      <c r="Q24" s="72"/>
    </row>
    <row r="25" spans="1:17" ht="16.350000000000001" customHeight="1" x14ac:dyDescent="0.25">
      <c r="Q25" s="72"/>
    </row>
    <row r="26" spans="1:17" ht="16.350000000000001" customHeight="1" x14ac:dyDescent="0.25">
      <c r="Q26" s="72"/>
    </row>
    <row r="27" spans="1:17" ht="16.350000000000001" customHeight="1" x14ac:dyDescent="0.25">
      <c r="O27" s="72"/>
      <c r="Q27" s="72"/>
    </row>
    <row r="28" spans="1:17" ht="16.350000000000001" customHeight="1" x14ac:dyDescent="0.25">
      <c r="Q28" s="72"/>
    </row>
    <row r="29" spans="1:17" ht="16.350000000000001" customHeight="1" x14ac:dyDescent="0.25">
      <c r="Q29" s="72"/>
    </row>
    <row r="30" spans="1:17" ht="16.350000000000001" customHeight="1" x14ac:dyDescent="0.25">
      <c r="Q30" s="72"/>
    </row>
    <row r="31" spans="1:17" ht="16.350000000000001" customHeight="1" x14ac:dyDescent="0.25">
      <c r="Q31" s="72"/>
    </row>
    <row r="32" spans="1: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684</v>
      </c>
      <c r="C139" s="58" t="s">
        <v>128</v>
      </c>
      <c r="D139" s="2" t="s">
        <v>646</v>
      </c>
      <c r="G139" s="58" t="s">
        <v>129</v>
      </c>
      <c r="H139" s="2" t="s">
        <v>682</v>
      </c>
      <c r="I139" s="58" t="s">
        <v>128</v>
      </c>
      <c r="J139" s="2" t="s">
        <v>617</v>
      </c>
      <c r="U139" s="89"/>
      <c r="AO139" t="s">
        <v>130</v>
      </c>
      <c r="AP139" t="s">
        <v>685</v>
      </c>
      <c r="AQ139" t="s">
        <v>129</v>
      </c>
      <c r="AR139" t="s">
        <v>684</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666</v>
      </c>
      <c r="C142" s="2" t="s">
        <v>203</v>
      </c>
      <c r="D142" s="2">
        <v>0</v>
      </c>
      <c r="E142" s="2"/>
      <c r="F142" s="2"/>
      <c r="G142" s="2"/>
      <c r="H142" s="2"/>
      <c r="I142" s="2"/>
      <c r="J142" s="2"/>
      <c r="K142" s="2"/>
      <c r="L142" s="2"/>
      <c r="M142" s="2"/>
      <c r="N142" s="2"/>
      <c r="O142" s="2"/>
      <c r="P142" s="2"/>
      <c r="Q142" s="2" t="s">
        <v>661</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40</v>
      </c>
      <c r="E144" s="2">
        <f>StartY</f>
        <v>100</v>
      </c>
      <c r="F144" s="2">
        <v>0</v>
      </c>
      <c r="G144" s="2" t="str">
        <f>CONCATENATE("R", 3*ExtrusionSpacing_L1)</f>
        <v>R9.6</v>
      </c>
      <c r="H144" s="2" t="s">
        <v>100</v>
      </c>
      <c r="I144" s="2" t="s">
        <v>100</v>
      </c>
      <c r="J144" s="2" t="s">
        <v>19</v>
      </c>
      <c r="K144" s="2">
        <f>ExtrusionWidth</f>
        <v>2.5</v>
      </c>
      <c r="L144" s="2">
        <f>ExtrusionHeight</f>
        <v>1.457902</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R125</v>
      </c>
      <c r="I145" s="2" t="s">
        <v>100</v>
      </c>
      <c r="J145" s="2" t="s">
        <v>19</v>
      </c>
      <c r="K145" s="2">
        <f>ExtrusionWidth</f>
        <v>2.5</v>
      </c>
      <c r="L145" s="2">
        <f>ExtrusionHeight</f>
        <v>1.457902</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str">
        <f>CONCATENATE("R", ExtrusionSpacing_L1)</f>
        <v>R3.2</v>
      </c>
      <c r="H146" s="2" t="s">
        <v>100</v>
      </c>
      <c r="I146" s="2" t="s">
        <v>100</v>
      </c>
      <c r="J146" s="2" t="s">
        <v>19</v>
      </c>
      <c r="K146" s="2">
        <f>ExtrusionWidth</f>
        <v>2.5</v>
      </c>
      <c r="L146" s="2">
        <f>ExtrusionHeight</f>
        <v>1.457902</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R-125</v>
      </c>
      <c r="I147" s="2" t="s">
        <v>100</v>
      </c>
      <c r="J147" s="2" t="s">
        <v>19</v>
      </c>
      <c r="K147" s="2">
        <f>ExtrusionWidth</f>
        <v>2.5</v>
      </c>
      <c r="L147" s="2">
        <f>ExtrusionHeight</f>
        <v>1.457902</v>
      </c>
      <c r="M147" s="2"/>
      <c r="N147" s="2"/>
      <c r="O147" s="2"/>
      <c r="P147" s="2"/>
      <c r="Q147" s="2"/>
      <c r="S147" s="57"/>
      <c r="T147" s="57"/>
      <c r="U147" s="90"/>
    </row>
    <row r="148" spans="1:34" x14ac:dyDescent="0.25">
      <c r="A148" s="2">
        <v>8</v>
      </c>
      <c r="B148" s="2" t="s">
        <v>55</v>
      </c>
      <c r="C148" s="98" t="s">
        <v>668</v>
      </c>
      <c r="D148" s="2">
        <f>4*ExtrusionSpacing_L1</f>
        <v>12.8</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676</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f>50+ExtrusionSpacing_L1</f>
        <v>53.2</v>
      </c>
      <c r="H152" s="2">
        <f>50+Length+ExtrusionSpacing_L1</f>
        <v>178.2</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43.2</v>
      </c>
      <c r="E153" s="2">
        <f>StartY+Length+ExtrusionSpacing_L1</f>
        <v>228.2</v>
      </c>
      <c r="F153" s="2">
        <v>1E-4</v>
      </c>
      <c r="G153" s="2" t="s">
        <v>100</v>
      </c>
      <c r="H153" s="2" t="str">
        <f>CONCATENATE("R-", Length)</f>
        <v>R-125</v>
      </c>
      <c r="I153" s="2" t="s">
        <v>100</v>
      </c>
      <c r="J153" s="2" t="s">
        <v>19</v>
      </c>
      <c r="K153" s="2">
        <f>ExtrusionWidth</f>
        <v>2.5</v>
      </c>
      <c r="L153" s="2">
        <f>ExtrusionHeight</f>
        <v>1.457902</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str">
        <f>CONCATENATE("R", ExtrusionSpacing_L1)</f>
        <v>R3.2</v>
      </c>
      <c r="H154" s="2" t="s">
        <v>100</v>
      </c>
      <c r="I154" s="2" t="s">
        <v>100</v>
      </c>
      <c r="J154" s="2" t="s">
        <v>19</v>
      </c>
      <c r="K154" s="2">
        <f>ExtrusionWidth</f>
        <v>2.5</v>
      </c>
      <c r="L154" s="2">
        <f>ExtrusionHeight</f>
        <v>1.457902</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R125</v>
      </c>
      <c r="I155" s="2" t="s">
        <v>100</v>
      </c>
      <c r="J155" s="2" t="s">
        <v>19</v>
      </c>
      <c r="K155" s="2">
        <f>ExtrusionWidth</f>
        <v>2.5</v>
      </c>
      <c r="L155" s="2">
        <f>ExtrusionHeight</f>
        <v>1.457902</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str">
        <f>CONCATENATE("R", 3*ExtrusionSpacing_L1)</f>
        <v>R9.6</v>
      </c>
      <c r="H156" s="2" t="s">
        <v>100</v>
      </c>
      <c r="I156" s="2" t="s">
        <v>100</v>
      </c>
      <c r="J156" s="2" t="s">
        <v>19</v>
      </c>
      <c r="K156" s="2">
        <f>ExtrusionWidth</f>
        <v>2.5</v>
      </c>
      <c r="L156" s="2">
        <f>ExtrusionHeight</f>
        <v>1.457902</v>
      </c>
      <c r="M156" s="2"/>
      <c r="N156" s="2"/>
      <c r="O156" s="2"/>
      <c r="P156" s="2"/>
      <c r="Q156" s="2"/>
      <c r="S156" s="5" t="s">
        <v>167</v>
      </c>
      <c r="T156" s="5">
        <v>20</v>
      </c>
      <c r="U156" s="5" t="s">
        <v>44</v>
      </c>
    </row>
    <row r="157" spans="1:34" x14ac:dyDescent="0.25">
      <c r="A157" s="2">
        <v>17</v>
      </c>
      <c r="B157" s="143" t="s">
        <v>55</v>
      </c>
      <c r="C157" s="98" t="s">
        <v>667</v>
      </c>
      <c r="D157" s="2">
        <f>4*ExtrusionSpacing_L1</f>
        <v>12.8</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2</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f>50+ExtrusionSpacing_L1</f>
        <v>53.2</v>
      </c>
      <c r="H159" s="2">
        <f>50+Length+ExtrusionSpacing_L1</f>
        <v>178.2</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40</v>
      </c>
      <c r="E160" s="2">
        <f>StartY</f>
        <v>100</v>
      </c>
      <c r="F160" s="2" t="s">
        <v>100</v>
      </c>
      <c r="G160" s="2" t="str">
        <f>CONCATENATE("R", 3*ExtrusionSpacing_L1)</f>
        <v>R9.6</v>
      </c>
      <c r="H160" s="2" t="s">
        <v>100</v>
      </c>
      <c r="I160" s="2" t="s">
        <v>100</v>
      </c>
      <c r="J160" s="2" t="s">
        <v>19</v>
      </c>
      <c r="K160" s="2">
        <f>ExtrusionWidth</f>
        <v>2.5</v>
      </c>
      <c r="L160" s="2">
        <f>ExtrusionHeight</f>
        <v>1.457902</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R125</v>
      </c>
      <c r="I161" s="2" t="s">
        <v>100</v>
      </c>
      <c r="J161" s="2" t="s">
        <v>19</v>
      </c>
      <c r="K161" s="2">
        <f>ExtrusionWidth</f>
        <v>2.5</v>
      </c>
      <c r="L161" s="2">
        <f>ExtrusionHeight</f>
        <v>1.457902</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str">
        <f>CONCATENATE("R", ExtrusionSpacing_L1)</f>
        <v>R3.2</v>
      </c>
      <c r="H162" s="2" t="s">
        <v>100</v>
      </c>
      <c r="I162" s="2" t="s">
        <v>100</v>
      </c>
      <c r="J162" s="2" t="s">
        <v>19</v>
      </c>
      <c r="K162" s="2">
        <f>ExtrusionWidth</f>
        <v>2.5</v>
      </c>
      <c r="L162" s="2">
        <f>ExtrusionHeight</f>
        <v>1.457902</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R-125</v>
      </c>
      <c r="I163" s="2" t="s">
        <v>100</v>
      </c>
      <c r="J163" s="2" t="s">
        <v>19</v>
      </c>
      <c r="K163" s="2">
        <f>ExtrusionWidth</f>
        <v>2.5</v>
      </c>
      <c r="L163" s="2">
        <f>ExtrusionHeight</f>
        <v>1.457902</v>
      </c>
      <c r="M163" s="2"/>
      <c r="N163" s="2"/>
      <c r="O163" s="2"/>
      <c r="P163" s="2"/>
      <c r="Q163" s="2"/>
      <c r="S163" s="5" t="s">
        <v>161</v>
      </c>
      <c r="T163" s="5">
        <v>2500</v>
      </c>
      <c r="U163" s="5" t="s">
        <v>45</v>
      </c>
    </row>
    <row r="164" spans="1:40" x14ac:dyDescent="0.25">
      <c r="A164" s="2">
        <v>24</v>
      </c>
      <c r="B164" s="143" t="s">
        <v>55</v>
      </c>
      <c r="C164" s="98" t="s">
        <v>675</v>
      </c>
      <c r="D164" s="2">
        <f>4*ExtrusionSpacing_L1</f>
        <v>12.8</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676</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2</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43.2</v>
      </c>
      <c r="E169" s="2">
        <f>StartY+Length+ExtrusionSpacing_L1</f>
        <v>228.2</v>
      </c>
      <c r="F169" s="2">
        <v>0.9</v>
      </c>
      <c r="G169" s="2" t="s">
        <v>100</v>
      </c>
      <c r="H169" s="2" t="str">
        <f>CONCATENATE("R-", Length)</f>
        <v>R-125</v>
      </c>
      <c r="I169" s="2" t="s">
        <v>100</v>
      </c>
      <c r="J169" s="2" t="s">
        <v>19</v>
      </c>
      <c r="K169" s="2">
        <f>ExtrusionWidth</f>
        <v>2.5</v>
      </c>
      <c r="L169" s="2">
        <f>ExtrusionHeight</f>
        <v>1.457902</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str">
        <f>CONCATENATE("R", ExtrusionSpacing_L1)</f>
        <v>R3.2</v>
      </c>
      <c r="H170" s="2" t="s">
        <v>100</v>
      </c>
      <c r="I170" s="2" t="s">
        <v>100</v>
      </c>
      <c r="J170" s="2" t="s">
        <v>19</v>
      </c>
      <c r="K170" s="2">
        <f>ExtrusionWidth</f>
        <v>2.5</v>
      </c>
      <c r="L170" s="2">
        <f>ExtrusionHeight</f>
        <v>1.457902</v>
      </c>
      <c r="M170" s="2"/>
      <c r="N170" s="2"/>
      <c r="O170" s="2"/>
      <c r="P170" s="2"/>
      <c r="Q170" s="2"/>
      <c r="R170" s="29"/>
      <c r="S170" s="75" t="s">
        <v>663</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R125</v>
      </c>
      <c r="I171" s="2" t="s">
        <v>100</v>
      </c>
      <c r="J171" s="2" t="s">
        <v>19</v>
      </c>
      <c r="K171" s="2">
        <f>ExtrusionWidth</f>
        <v>2.5</v>
      </c>
      <c r="L171" s="2">
        <f>ExtrusionHeight</f>
        <v>1.457902</v>
      </c>
      <c r="M171" s="2"/>
      <c r="N171" s="2"/>
      <c r="O171" s="2"/>
      <c r="P171" s="2"/>
      <c r="Q171" s="2"/>
      <c r="R171" s="29"/>
      <c r="S171" s="75" t="s">
        <v>662</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str">
        <f>CONCATENATE("R", 3*ExtrusionSpacing_L1)</f>
        <v>R9.6</v>
      </c>
      <c r="H172" s="2" t="s">
        <v>100</v>
      </c>
      <c r="I172" s="2" t="s">
        <v>100</v>
      </c>
      <c r="J172" s="2" t="s">
        <v>19</v>
      </c>
      <c r="K172" s="2">
        <f>ExtrusionWidth</f>
        <v>2.5</v>
      </c>
      <c r="L172" s="2">
        <f>ExtrusionHeight</f>
        <v>1.457902</v>
      </c>
      <c r="M172" s="2"/>
      <c r="N172" s="2"/>
      <c r="O172" s="2"/>
      <c r="P172" s="2"/>
      <c r="Q172" s="2"/>
      <c r="S172" s="75" t="s">
        <v>673</v>
      </c>
      <c r="T172" s="75">
        <v>1.2</v>
      </c>
      <c r="U172" s="92" t="s">
        <v>109</v>
      </c>
    </row>
    <row r="173" spans="1:40" x14ac:dyDescent="0.25">
      <c r="A173" s="2">
        <v>33</v>
      </c>
      <c r="B173" s="2" t="s">
        <v>55</v>
      </c>
      <c r="C173" s="98" t="s">
        <v>677</v>
      </c>
      <c r="D173" s="2">
        <f>4*ExtrusionSpacing_L1</f>
        <v>12.8</v>
      </c>
      <c r="E173" s="2">
        <v>0</v>
      </c>
      <c r="F173" s="2">
        <v>0</v>
      </c>
      <c r="G173" s="2">
        <v>20</v>
      </c>
      <c r="H173" s="2"/>
      <c r="I173" s="2"/>
      <c r="J173" s="2"/>
      <c r="K173" s="2"/>
      <c r="L173" s="2"/>
      <c r="M173" s="2"/>
      <c r="N173" s="2"/>
      <c r="O173" s="2"/>
      <c r="P173" s="2"/>
      <c r="Q173" s="2"/>
      <c r="S173" s="75" t="s">
        <v>674</v>
      </c>
      <c r="T173" s="75">
        <v>0.9</v>
      </c>
      <c r="U173" s="92" t="s">
        <v>109</v>
      </c>
    </row>
    <row r="174" spans="1:40" x14ac:dyDescent="0.25">
      <c r="A174" s="2">
        <v>34</v>
      </c>
      <c r="B174" s="143" t="s">
        <v>39</v>
      </c>
      <c r="C174" s="2">
        <v>1.25</v>
      </c>
      <c r="D174" s="2">
        <v>2100</v>
      </c>
      <c r="E174" s="2">
        <f>LayerHeight</f>
        <v>2</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678</v>
      </c>
      <c r="D175" s="2">
        <v>0</v>
      </c>
      <c r="E175" s="2">
        <v>0</v>
      </c>
      <c r="F175" s="2">
        <f>2*LayerHeight</f>
        <v>4</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679</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1"/>
  <sheetViews>
    <sheetView zoomScale="75" zoomScaleNormal="85" workbookViewId="0">
      <selection activeCell="O1" sqref="O1:O1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225</v>
      </c>
      <c r="F2">
        <v>140</v>
      </c>
      <c r="G2">
        <v>0</v>
      </c>
      <c r="H2">
        <v>0</v>
      </c>
      <c r="I2">
        <v>0</v>
      </c>
      <c r="K2">
        <v>3000</v>
      </c>
      <c r="N2">
        <v>0</v>
      </c>
      <c r="O2" s="60">
        <v>0</v>
      </c>
      <c r="P2" t="s">
        <v>660</v>
      </c>
      <c r="Q2" t="s">
        <v>732</v>
      </c>
    </row>
    <row r="3" spans="1:17" x14ac:dyDescent="0.25">
      <c r="A3" t="s">
        <v>19</v>
      </c>
      <c r="B3">
        <v>225</v>
      </c>
      <c r="C3">
        <v>140</v>
      </c>
      <c r="D3">
        <v>0</v>
      </c>
      <c r="E3">
        <v>225</v>
      </c>
      <c r="F3">
        <v>65</v>
      </c>
      <c r="G3">
        <v>0</v>
      </c>
      <c r="H3">
        <v>2.5</v>
      </c>
      <c r="I3">
        <v>1.457902</v>
      </c>
      <c r="J3">
        <v>0.21753029047833811</v>
      </c>
      <c r="K3">
        <v>600</v>
      </c>
      <c r="L3">
        <v>0</v>
      </c>
      <c r="N3">
        <v>1</v>
      </c>
      <c r="O3" s="60" t="s">
        <v>290</v>
      </c>
      <c r="P3" t="s">
        <v>709</v>
      </c>
      <c r="Q3" t="s">
        <v>737</v>
      </c>
    </row>
    <row r="4" spans="1:17" x14ac:dyDescent="0.25">
      <c r="A4" t="s">
        <v>39</v>
      </c>
      <c r="B4">
        <v>-0.35</v>
      </c>
      <c r="C4">
        <v>80</v>
      </c>
      <c r="N4">
        <v>2</v>
      </c>
      <c r="O4" s="60" t="s">
        <v>710</v>
      </c>
      <c r="P4" t="s">
        <v>718</v>
      </c>
      <c r="Q4" t="s">
        <v>723</v>
      </c>
    </row>
    <row r="5" spans="1:17" x14ac:dyDescent="0.25">
      <c r="A5" t="s">
        <v>719</v>
      </c>
      <c r="B5">
        <v>2</v>
      </c>
      <c r="C5">
        <v>3000</v>
      </c>
      <c r="N5">
        <v>2</v>
      </c>
      <c r="O5" s="60" t="s">
        <v>710</v>
      </c>
      <c r="P5" t="s">
        <v>718</v>
      </c>
      <c r="Q5" t="s">
        <v>733</v>
      </c>
    </row>
    <row r="6" spans="1:17" x14ac:dyDescent="0.25">
      <c r="A6" t="s">
        <v>23</v>
      </c>
      <c r="B6">
        <v>225</v>
      </c>
      <c r="C6">
        <v>65</v>
      </c>
      <c r="D6">
        <v>0</v>
      </c>
      <c r="E6">
        <v>225</v>
      </c>
      <c r="F6">
        <v>65</v>
      </c>
      <c r="G6">
        <v>2</v>
      </c>
      <c r="H6">
        <v>0</v>
      </c>
      <c r="I6">
        <v>0</v>
      </c>
      <c r="K6">
        <v>3000</v>
      </c>
      <c r="N6">
        <v>0</v>
      </c>
      <c r="O6" s="60">
        <v>0</v>
      </c>
      <c r="P6" t="s">
        <v>660</v>
      </c>
      <c r="Q6" t="s">
        <v>734</v>
      </c>
    </row>
    <row r="7" spans="1:17" x14ac:dyDescent="0.25">
      <c r="A7" t="s">
        <v>19</v>
      </c>
      <c r="B7">
        <v>225</v>
      </c>
      <c r="C7">
        <v>65</v>
      </c>
      <c r="D7">
        <v>2</v>
      </c>
      <c r="E7">
        <v>200</v>
      </c>
      <c r="F7">
        <v>65</v>
      </c>
      <c r="G7">
        <v>0</v>
      </c>
      <c r="H7">
        <v>2.5</v>
      </c>
      <c r="I7">
        <v>1.457902</v>
      </c>
      <c r="J7">
        <v>7.2741759067535106E-2</v>
      </c>
      <c r="K7">
        <v>600</v>
      </c>
      <c r="L7">
        <v>0</v>
      </c>
      <c r="N7">
        <v>3</v>
      </c>
      <c r="O7" s="60" t="s">
        <v>712</v>
      </c>
      <c r="P7" t="s">
        <v>711</v>
      </c>
      <c r="Q7" t="s">
        <v>735</v>
      </c>
    </row>
    <row r="8" spans="1:17" x14ac:dyDescent="0.25">
      <c r="A8" t="s">
        <v>39</v>
      </c>
      <c r="B8">
        <v>0.45</v>
      </c>
      <c r="C8">
        <v>80</v>
      </c>
      <c r="N8">
        <v>4</v>
      </c>
      <c r="O8" s="60" t="s">
        <v>664</v>
      </c>
      <c r="P8" t="s">
        <v>721</v>
      </c>
      <c r="Q8" t="s">
        <v>725</v>
      </c>
    </row>
    <row r="9" spans="1:17" x14ac:dyDescent="0.25">
      <c r="A9" t="s">
        <v>19</v>
      </c>
      <c r="B9">
        <v>200</v>
      </c>
      <c r="C9">
        <v>65</v>
      </c>
      <c r="D9">
        <v>0</v>
      </c>
      <c r="E9">
        <v>200</v>
      </c>
      <c r="F9">
        <v>140</v>
      </c>
      <c r="G9">
        <v>0</v>
      </c>
      <c r="H9">
        <v>2.5</v>
      </c>
      <c r="I9">
        <v>1.457902</v>
      </c>
      <c r="J9">
        <v>0.21753029047833811</v>
      </c>
      <c r="K9">
        <v>600</v>
      </c>
      <c r="L9">
        <v>0</v>
      </c>
      <c r="N9">
        <v>5</v>
      </c>
      <c r="O9" s="60" t="s">
        <v>720</v>
      </c>
      <c r="P9" t="s">
        <v>713</v>
      </c>
      <c r="Q9" t="s">
        <v>738</v>
      </c>
    </row>
    <row r="10" spans="1:17" x14ac:dyDescent="0.25">
      <c r="A10" t="s">
        <v>39</v>
      </c>
      <c r="B10">
        <v>-0.35</v>
      </c>
      <c r="C10">
        <v>80</v>
      </c>
      <c r="N10">
        <v>6</v>
      </c>
      <c r="O10" s="60" t="s">
        <v>665</v>
      </c>
      <c r="P10" t="s">
        <v>724</v>
      </c>
      <c r="Q10" t="s">
        <v>723</v>
      </c>
    </row>
    <row r="11" spans="1:17" x14ac:dyDescent="0.25">
      <c r="A11" t="s">
        <v>719</v>
      </c>
      <c r="B11">
        <v>2</v>
      </c>
      <c r="C11">
        <v>3000</v>
      </c>
      <c r="N11">
        <v>6</v>
      </c>
      <c r="O11" s="60" t="s">
        <v>665</v>
      </c>
      <c r="P11" t="s">
        <v>724</v>
      </c>
      <c r="Q11" t="s">
        <v>733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A7" workbookViewId="0">
      <selection activeCell="B2" sqref="B2:B41"/>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x14ac:dyDescent="0.25">
      <c r="I8" t="s">
        <v>539</v>
      </c>
    </row>
    <row r="9" spans="1:9" ht="30" x14ac:dyDescent="0.25">
      <c r="B9" t="s">
        <v>485</v>
      </c>
      <c r="I9" s="133" t="s">
        <v>540</v>
      </c>
    </row>
    <row r="10" spans="1:9" x14ac:dyDescent="0.25">
      <c r="B10" t="s">
        <v>633</v>
      </c>
      <c r="I10" t="s">
        <v>541</v>
      </c>
    </row>
    <row r="11" spans="1:9" x14ac:dyDescent="0.25">
      <c r="I11" t="s">
        <v>542</v>
      </c>
    </row>
    <row r="12" spans="1:9" x14ac:dyDescent="0.25">
      <c r="B12" t="s">
        <v>727</v>
      </c>
      <c r="I12" t="s">
        <v>537</v>
      </c>
    </row>
    <row r="13" spans="1:9" ht="15" customHeight="1" x14ac:dyDescent="0.25">
      <c r="B13" t="s">
        <v>728</v>
      </c>
      <c r="I13" s="133" t="s">
        <v>543</v>
      </c>
    </row>
    <row r="14" spans="1:9" x14ac:dyDescent="0.25">
      <c r="B14" t="s">
        <v>729</v>
      </c>
      <c r="I14" t="s">
        <v>547</v>
      </c>
    </row>
    <row r="15" spans="1:9" x14ac:dyDescent="0.25">
      <c r="B15" t="s">
        <v>730</v>
      </c>
      <c r="I15" t="s">
        <v>548</v>
      </c>
    </row>
    <row r="16" spans="1:9" x14ac:dyDescent="0.25">
      <c r="B16" t="s">
        <v>731</v>
      </c>
      <c r="I16" t="s">
        <v>538</v>
      </c>
    </row>
    <row r="18" spans="2:9" x14ac:dyDescent="0.25">
      <c r="B18" t="str">
        <f>_xlfn.SINGLE(StartTool)</f>
        <v>T3</v>
      </c>
      <c r="I18" t="s">
        <v>467</v>
      </c>
    </row>
    <row r="20" spans="2:9" x14ac:dyDescent="0.25">
      <c r="B20" t="str">
        <f>CONCATENATE("M109 S",NozzleTemp)</f>
        <v>M109 S0</v>
      </c>
      <c r="I20" t="str">
        <f>CONCATENATE("M140 S",BedTemp)</f>
        <v>M140 S0</v>
      </c>
    </row>
    <row r="21" spans="2:9" x14ac:dyDescent="0.25">
      <c r="B21" t="str">
        <f>CONCATENATE("M190 S",BedTemp)</f>
        <v>M190 S0</v>
      </c>
      <c r="I21" t="str">
        <f>CONCATENATE("M104 S",NozzleTemp, " T0")</f>
        <v>M104 S0 T0</v>
      </c>
    </row>
    <row r="22" spans="2:9" x14ac:dyDescent="0.25">
      <c r="I22" t="str">
        <f>CONCATENATE("M104 S",NozzleTemp, " T2")</f>
        <v>M104 S0 T2</v>
      </c>
    </row>
    <row r="23" spans="2:9" x14ac:dyDescent="0.25">
      <c r="B23" t="s">
        <v>700</v>
      </c>
      <c r="I23" t="str">
        <f>CONCATENATE("M190 S",BedTemp)</f>
        <v>M190 S0</v>
      </c>
    </row>
    <row r="24" spans="2:9" x14ac:dyDescent="0.25">
      <c r="I24" t="str">
        <f>CONCATENATE("M109 S",NozzleTemp," T0")</f>
        <v>M109 S0 T0</v>
      </c>
    </row>
    <row r="25" spans="2:9" x14ac:dyDescent="0.25">
      <c r="B25" t="str">
        <f>CONCATENATE("M106 S",FanSpeed)</f>
        <v>M106 S0</v>
      </c>
      <c r="I25" t="str">
        <f>CONCATENATE("M109 S",NozzleTemp," T2")</f>
        <v>M109 S0 T2</v>
      </c>
    </row>
    <row r="27" spans="2:9" x14ac:dyDescent="0.25">
      <c r="B27" t="s">
        <v>650</v>
      </c>
      <c r="I27" t="s">
        <v>490</v>
      </c>
    </row>
    <row r="28" spans="2:9" x14ac:dyDescent="0.25">
      <c r="B28" t="s">
        <v>651</v>
      </c>
      <c r="I28" t="s">
        <v>470</v>
      </c>
    </row>
    <row r="29" spans="2:9" x14ac:dyDescent="0.25">
      <c r="B29" t="s">
        <v>652</v>
      </c>
      <c r="I29" t="str">
        <f>CONCATENATE("M106 S",FanSpeed, " ; set fan speed")</f>
        <v>M106 S0 ; set fan speed</v>
      </c>
    </row>
    <row r="31" spans="2:9" x14ac:dyDescent="0.25">
      <c r="B31" t="s">
        <v>701</v>
      </c>
      <c r="I31" t="s">
        <v>544</v>
      </c>
    </row>
    <row r="32" spans="2:9" x14ac:dyDescent="0.25">
      <c r="B32" t="s">
        <v>704</v>
      </c>
    </row>
    <row r="33" spans="2:9" x14ac:dyDescent="0.25">
      <c r="B33" t="s">
        <v>705</v>
      </c>
      <c r="I33" t="s">
        <v>486</v>
      </c>
    </row>
    <row r="34" spans="2:9" x14ac:dyDescent="0.25">
      <c r="B34" t="s">
        <v>702</v>
      </c>
      <c r="I34" t="s">
        <v>487</v>
      </c>
    </row>
    <row r="35" spans="2:9" x14ac:dyDescent="0.25">
      <c r="B35" t="s">
        <v>706</v>
      </c>
    </row>
    <row r="36" spans="2:9" x14ac:dyDescent="0.25">
      <c r="I36" t="s">
        <v>488</v>
      </c>
    </row>
    <row r="37" spans="2:9" x14ac:dyDescent="0.25">
      <c r="B37" t="s">
        <v>703</v>
      </c>
    </row>
    <row r="38" spans="2:9" x14ac:dyDescent="0.25">
      <c r="B38" t="str">
        <f>CONCATENATE("G1 X",275," Y",160," Z", Zoffset," F",NozzleFeedrateTravelling)</f>
        <v>G1 X275 Y160 Z2 F3000</v>
      </c>
    </row>
    <row r="39" spans="2:9" x14ac:dyDescent="0.25">
      <c r="B39" t="str">
        <f>CONCATENATE("G1 X",225," E0.75", " F",NozzleFeedratePrinting)</f>
        <v>G1 X225 E0.75 F600</v>
      </c>
      <c r="I39" t="s">
        <v>121</v>
      </c>
    </row>
    <row r="41" spans="2:9" x14ac:dyDescent="0.25">
      <c r="B41" t="s">
        <v>636</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707</v>
      </c>
      <c r="D13" t="s">
        <v>401</v>
      </c>
      <c r="E13" t="s">
        <v>84</v>
      </c>
      <c r="F13" t="s">
        <v>458</v>
      </c>
      <c r="G13" t="s">
        <v>473</v>
      </c>
      <c r="H13" t="s">
        <v>471</v>
      </c>
      <c r="J13" t="s">
        <v>426</v>
      </c>
      <c r="K13" t="s">
        <v>557</v>
      </c>
      <c r="L13" t="s">
        <v>469</v>
      </c>
      <c r="M13" t="s">
        <v>428</v>
      </c>
      <c r="N13" t="s">
        <v>597</v>
      </c>
    </row>
    <row r="14" spans="1:14" x14ac:dyDescent="0.25">
      <c r="D14" t="s">
        <v>402</v>
      </c>
      <c r="E14" t="s">
        <v>434</v>
      </c>
      <c r="G14" t="s">
        <v>474</v>
      </c>
      <c r="H14" t="s">
        <v>472</v>
      </c>
      <c r="J14" t="s">
        <v>503</v>
      </c>
      <c r="K14" t="s">
        <v>91</v>
      </c>
      <c r="M14" t="s">
        <v>430</v>
      </c>
      <c r="N14" t="s">
        <v>598</v>
      </c>
    </row>
    <row r="15" spans="1:14" x14ac:dyDescent="0.25">
      <c r="B15" t="s">
        <v>639</v>
      </c>
      <c r="E15" t="s">
        <v>435</v>
      </c>
      <c r="F15" t="s">
        <v>459</v>
      </c>
      <c r="G15" t="s">
        <v>471</v>
      </c>
      <c r="H15" t="s">
        <v>474</v>
      </c>
      <c r="I15" t="s">
        <v>496</v>
      </c>
      <c r="J15" t="s">
        <v>435</v>
      </c>
      <c r="K15" t="s">
        <v>92</v>
      </c>
      <c r="L15" t="s">
        <v>467</v>
      </c>
      <c r="M15" t="s">
        <v>84</v>
      </c>
    </row>
    <row r="16" spans="1:14" x14ac:dyDescent="0.25">
      <c r="B16" t="s">
        <v>640</v>
      </c>
      <c r="D16" t="s">
        <v>416</v>
      </c>
      <c r="E16" t="s">
        <v>454</v>
      </c>
      <c r="F16" t="s">
        <v>460</v>
      </c>
      <c r="G16" t="s">
        <v>407</v>
      </c>
      <c r="H16" t="s">
        <v>475</v>
      </c>
      <c r="I16" t="s">
        <v>497</v>
      </c>
      <c r="J16" t="s">
        <v>507</v>
      </c>
      <c r="L16" t="s">
        <v>492</v>
      </c>
      <c r="M16" t="s">
        <v>569</v>
      </c>
      <c r="N16" t="s">
        <v>599</v>
      </c>
    </row>
    <row r="17" spans="2:14" x14ac:dyDescent="0.25">
      <c r="D17" t="s">
        <v>403</v>
      </c>
      <c r="E17" t="s">
        <v>436</v>
      </c>
      <c r="F17" t="s">
        <v>461</v>
      </c>
      <c r="G17" t="s">
        <v>396</v>
      </c>
      <c r="H17" t="s">
        <v>396</v>
      </c>
      <c r="I17" t="s">
        <v>498</v>
      </c>
      <c r="J17" t="s">
        <v>508</v>
      </c>
      <c r="L17" t="s">
        <v>563</v>
      </c>
      <c r="M17" t="s">
        <v>570</v>
      </c>
      <c r="N17" t="s">
        <v>600</v>
      </c>
    </row>
    <row r="18" spans="2:14" x14ac:dyDescent="0.25">
      <c r="B18" t="s">
        <v>496</v>
      </c>
      <c r="D18" t="s">
        <v>404</v>
      </c>
      <c r="E18" t="s">
        <v>437</v>
      </c>
      <c r="F18" t="s">
        <v>462</v>
      </c>
      <c r="G18" t="s">
        <v>84</v>
      </c>
      <c r="H18" t="s">
        <v>84</v>
      </c>
      <c r="J18" t="s">
        <v>91</v>
      </c>
      <c r="L18" t="s">
        <v>564</v>
      </c>
      <c r="M18" t="s">
        <v>571</v>
      </c>
      <c r="N18" t="s">
        <v>601</v>
      </c>
    </row>
    <row r="19" spans="2:14" x14ac:dyDescent="0.25">
      <c r="B19" t="s">
        <v>641</v>
      </c>
      <c r="C19" t="s">
        <v>642</v>
      </c>
      <c r="D19" t="s">
        <v>405</v>
      </c>
      <c r="E19" t="s">
        <v>438</v>
      </c>
      <c r="F19" t="s">
        <v>463</v>
      </c>
      <c r="G19" t="s">
        <v>492</v>
      </c>
      <c r="H19" t="s">
        <v>397</v>
      </c>
      <c r="J19" t="s">
        <v>407</v>
      </c>
      <c r="L19" t="s">
        <v>439</v>
      </c>
      <c r="M19" t="s">
        <v>572</v>
      </c>
      <c r="N19" t="s">
        <v>602</v>
      </c>
    </row>
    <row r="20" spans="2:14" x14ac:dyDescent="0.25">
      <c r="B20" t="s">
        <v>726</v>
      </c>
      <c r="E20" t="s">
        <v>439</v>
      </c>
      <c r="F20" t="s">
        <v>433</v>
      </c>
      <c r="G20" t="s">
        <v>477</v>
      </c>
      <c r="H20" t="s">
        <v>476</v>
      </c>
      <c r="J20" t="s">
        <v>92</v>
      </c>
      <c r="L20" t="s">
        <v>565</v>
      </c>
      <c r="M20" t="s">
        <v>91</v>
      </c>
      <c r="N20" t="s">
        <v>603</v>
      </c>
    </row>
    <row r="21" spans="2:14" x14ac:dyDescent="0.25">
      <c r="B21" t="s">
        <v>498</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72"/>
  <sheetViews>
    <sheetView zoomScale="71" zoomScaleNormal="71" workbookViewId="0">
      <selection sqref="A1:A72"/>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727</v>
      </c>
    </row>
    <row r="12" spans="1:1" x14ac:dyDescent="0.25">
      <c r="A12" t="s">
        <v>728</v>
      </c>
    </row>
    <row r="13" spans="1:1" x14ac:dyDescent="0.25">
      <c r="A13" t="s">
        <v>729</v>
      </c>
    </row>
    <row r="14" spans="1:1" x14ac:dyDescent="0.25">
      <c r="A14" t="s">
        <v>730</v>
      </c>
    </row>
    <row r="15" spans="1:1" x14ac:dyDescent="0.25">
      <c r="A15" t="s">
        <v>731</v>
      </c>
    </row>
    <row r="17" spans="1:1" x14ac:dyDescent="0.25">
      <c r="A17" t="s">
        <v>708</v>
      </c>
    </row>
    <row r="19" spans="1:1" x14ac:dyDescent="0.25">
      <c r="A19" t="s">
        <v>714</v>
      </c>
    </row>
    <row r="20" spans="1:1" x14ac:dyDescent="0.25">
      <c r="A20" t="s">
        <v>715</v>
      </c>
    </row>
    <row r="22" spans="1:1" x14ac:dyDescent="0.25">
      <c r="A22" t="s">
        <v>700</v>
      </c>
    </row>
    <row r="24" spans="1:1" x14ac:dyDescent="0.25">
      <c r="A24" t="s">
        <v>469</v>
      </c>
    </row>
    <row r="26" spans="1:1" x14ac:dyDescent="0.25">
      <c r="A26" t="s">
        <v>650</v>
      </c>
    </row>
    <row r="27" spans="1:1" x14ac:dyDescent="0.25">
      <c r="A27" t="s">
        <v>651</v>
      </c>
    </row>
    <row r="28" spans="1:1" x14ac:dyDescent="0.25">
      <c r="A28" t="s">
        <v>652</v>
      </c>
    </row>
    <row r="30" spans="1:1" x14ac:dyDescent="0.25">
      <c r="A30" t="s">
        <v>701</v>
      </c>
    </row>
    <row r="31" spans="1:1" x14ac:dyDescent="0.25">
      <c r="A31" t="s">
        <v>704</v>
      </c>
    </row>
    <row r="32" spans="1:1" x14ac:dyDescent="0.25">
      <c r="A32" t="s">
        <v>705</v>
      </c>
    </row>
    <row r="33" spans="1:1" x14ac:dyDescent="0.25">
      <c r="A33" t="s">
        <v>702</v>
      </c>
    </row>
    <row r="34" spans="1:1" x14ac:dyDescent="0.25">
      <c r="A34" t="s">
        <v>706</v>
      </c>
    </row>
    <row r="36" spans="1:1" x14ac:dyDescent="0.25">
      <c r="A36" t="s">
        <v>703</v>
      </c>
    </row>
    <row r="37" spans="1:1" x14ac:dyDescent="0.25">
      <c r="A37" t="s">
        <v>736</v>
      </c>
    </row>
    <row r="38" spans="1:1" x14ac:dyDescent="0.25">
      <c r="A38" t="s">
        <v>722</v>
      </c>
    </row>
    <row r="40" spans="1:1" x14ac:dyDescent="0.25">
      <c r="A40" t="s">
        <v>636</v>
      </c>
    </row>
    <row r="41" spans="1:1" x14ac:dyDescent="0.25">
      <c r="A41" t="s">
        <v>732</v>
      </c>
    </row>
    <row r="42" spans="1:1" x14ac:dyDescent="0.25">
      <c r="A42" t="s">
        <v>737</v>
      </c>
    </row>
    <row r="43" spans="1:1" x14ac:dyDescent="0.25">
      <c r="A43" t="s">
        <v>723</v>
      </c>
    </row>
    <row r="44" spans="1:1" x14ac:dyDescent="0.25">
      <c r="A44" t="s">
        <v>733</v>
      </c>
    </row>
    <row r="45" spans="1:1" x14ac:dyDescent="0.25">
      <c r="A45" t="s">
        <v>734</v>
      </c>
    </row>
    <row r="46" spans="1:1" x14ac:dyDescent="0.25">
      <c r="A46" t="s">
        <v>735</v>
      </c>
    </row>
    <row r="47" spans="1:1" x14ac:dyDescent="0.25">
      <c r="A47" t="s">
        <v>725</v>
      </c>
    </row>
    <row r="48" spans="1:1" x14ac:dyDescent="0.25">
      <c r="A48" t="s">
        <v>738</v>
      </c>
    </row>
    <row r="49" spans="1:1" x14ac:dyDescent="0.25">
      <c r="A49" t="s">
        <v>723</v>
      </c>
    </row>
    <row r="50" spans="1:1" x14ac:dyDescent="0.25">
      <c r="A50" t="s">
        <v>733</v>
      </c>
    </row>
    <row r="52" spans="1:1" x14ac:dyDescent="0.25">
      <c r="A52" t="s">
        <v>638</v>
      </c>
    </row>
    <row r="54" spans="1:1" x14ac:dyDescent="0.25">
      <c r="A54" t="s">
        <v>491</v>
      </c>
    </row>
    <row r="55" spans="1:1" x14ac:dyDescent="0.25">
      <c r="A55" t="s">
        <v>492</v>
      </c>
    </row>
    <row r="56" spans="1:1" x14ac:dyDescent="0.25">
      <c r="A56" t="s">
        <v>493</v>
      </c>
    </row>
    <row r="57" spans="1:1" x14ac:dyDescent="0.25">
      <c r="A57" t="s">
        <v>439</v>
      </c>
    </row>
    <row r="59" spans="1:1" x14ac:dyDescent="0.25">
      <c r="A59" t="s">
        <v>494</v>
      </c>
    </row>
    <row r="60" spans="1:1" x14ac:dyDescent="0.25">
      <c r="A60" t="s">
        <v>495</v>
      </c>
    </row>
    <row r="62" spans="1:1" x14ac:dyDescent="0.25">
      <c r="A62" t="s">
        <v>707</v>
      </c>
    </row>
    <row r="64" spans="1:1" x14ac:dyDescent="0.25">
      <c r="A64" t="s">
        <v>639</v>
      </c>
    </row>
    <row r="65" spans="1:1" x14ac:dyDescent="0.25">
      <c r="A65" t="s">
        <v>640</v>
      </c>
    </row>
    <row r="67" spans="1:1" x14ac:dyDescent="0.25">
      <c r="A67" t="s">
        <v>496</v>
      </c>
    </row>
    <row r="68" spans="1:1" x14ac:dyDescent="0.25">
      <c r="A68" t="s">
        <v>641</v>
      </c>
    </row>
    <row r="69" spans="1:1" x14ac:dyDescent="0.25">
      <c r="A69" t="s">
        <v>726</v>
      </c>
    </row>
    <row r="70" spans="1:1" x14ac:dyDescent="0.25">
      <c r="A70" t="s">
        <v>498</v>
      </c>
    </row>
    <row r="72" spans="1:1" x14ac:dyDescent="0.25">
      <c r="A72"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AmpFactor</vt:lpstr>
      <vt:lpstr>BedTemp</vt:lpstr>
      <vt:lpstr>ExtrusionHeight</vt:lpstr>
      <vt:lpstr>ExtrusionSpacing</vt:lpstr>
      <vt:lpstr>ExtrusionSpacing_L1</vt:lpstr>
      <vt:lpstr>ExtrusionWidth</vt:lpstr>
      <vt:lpstr>FanSpeed</vt:lpstr>
      <vt:lpstr>Height</vt:lpstr>
      <vt:lpstr>LayerHeight</vt:lpstr>
      <vt:lpstr>Length</vt:lpstr>
      <vt:lpstr>MaxAmp</vt:lpstr>
      <vt:lpstr>NozzleFeedratePrinting</vt:lpstr>
      <vt:lpstr>NozzleFeedrateTravelling</vt:lpstr>
      <vt:lpstr>NozzleTemp</vt:lpstr>
      <vt:lpstr>NumPeriods</vt:lpstr>
      <vt:lpstr>Radius</vt:lpstr>
      <vt:lpstr>SineLayerHeight</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2022-03-17T05:47:17Z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