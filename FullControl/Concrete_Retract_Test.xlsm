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77F01688-2A2A-4A05-9ABE-A703A3CA6431}" xr6:coauthVersionLast="47" xr6:coauthVersionMax="47" xr10:uidLastSave="{00000000-0000-0000-0000-000000000000}"/>
  <bookViews>
    <workbookView xWindow="-120" yWindow="-120" windowWidth="51840" windowHeight="212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AmpFactor">'Main Sheet'!$T$51</definedName>
    <definedName name="BedTemp">'Main Sheet'!$T$15</definedName>
    <definedName name="ExtrusionHeight">'Main Sheet'!$T$40</definedName>
    <definedName name="ExtrusionSpacing">'Main Sheet'!$T$37</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MaxAmp">'Main Sheet'!$T$50</definedName>
    <definedName name="NozzleFeedratePrinting">'Main Sheet'!$T$16</definedName>
    <definedName name="NozzleFeedrateTravelling">'Main Sheet'!$T$17</definedName>
    <definedName name="NozzleTemp">'Main Sheet'!$T$18</definedName>
    <definedName name="NumPeriods">'Main Sheet'!$T$49</definedName>
    <definedName name="Radius">'Main Sheet'!$T$48</definedName>
    <definedName name="SineLayerHeight">'Main Sheet'!$T$52</definedName>
    <definedName name="StartTool">'Main Sheet'!$T$41</definedName>
    <definedName name="StartX">'Main Sheet'!$T$46</definedName>
    <definedName name="StartY">'Main Sheet'!$T$47</definedName>
    <definedName name="Width">'Main Sheet'!$T$44</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9" i="4" l="1"/>
  <c r="L17" i="1" l="1"/>
  <c r="K17" i="1"/>
  <c r="H17" i="1"/>
  <c r="H9" i="1" l="1"/>
  <c r="K9" i="1"/>
  <c r="L9" i="1"/>
  <c r="G10" i="1"/>
  <c r="K10" i="1"/>
  <c r="L10" i="1"/>
  <c r="H11" i="1"/>
  <c r="K11" i="1"/>
  <c r="L11" i="1"/>
  <c r="K13" i="1"/>
  <c r="L13" i="1"/>
  <c r="K15" i="1"/>
  <c r="L15" i="1"/>
  <c r="B38" i="4"/>
  <c r="L8" i="1" l="1"/>
  <c r="K8" i="1"/>
  <c r="B25" i="4"/>
  <c r="B21" i="4"/>
  <c r="B20" i="4"/>
  <c r="B18" i="4"/>
  <c r="B7" i="4"/>
  <c r="B6"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<sst xmlns="http://schemas.openxmlformats.org/spreadsheetml/2006/main" count="3914" uniqueCount="690">
  <si>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</si>
  <si>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</si>
  <si>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</si>
  <si>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</si>
  <si>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</si>
  <si>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</si>
  <si>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</si>
  <si>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</si>
  <si>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</si>
  <si>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</si>
  <si>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</si>
  <si>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</si>
  <si>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</si>
  <si>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</si>
  <si>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</si>
  <si>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</si>
  <si>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</si>
  <si>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</si>
  <si>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</si>
  <si>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</si>
  <si>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</si>
  <si>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</si>
  <si>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</si>
  <si>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</si>
  <si>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</si>
  <si>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</si>
  <si>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</si>
  <si>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</si>
  <si>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</si>
  <si>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</si>
  <si>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</si>
  <si>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</si>
  <si>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</si>
  <si>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</si>
  <si>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</si>
  <si>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</si>
  <si>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</si>
  <si>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</si>
  <si>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</si>
  <si>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</si>
  <si>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</si>
  <si>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</si>
  <si>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</si>
  <si>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</si>
  <si>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</si>
  <si>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</si>
  <si>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</si>
  <si>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</si>
  <si>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</si>
  <si>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</si>
  <si>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</si>
  <si>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</si>
  <si>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</si>
  <si>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</si>
  <si>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</si>
  <si>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</si>
  <si>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</si>
  <si>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</si>
  <si>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</si>
  <si>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</si>
  <si>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</si>
  <si>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</si>
  <si>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</si>
  <si>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</si>
  <si>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</si>
  <si>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</si>
  <si>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</si>
  <si>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</si>
  <si>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</si>
  <si>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</si>
  <si>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</si>
  <si>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</si>
  <si>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</si>
  <si>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</si>
  <si>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</si>
  <si>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</si>
  <si>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</si>
  <si>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</si>
  <si>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</si>
  <si>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</si>
  <si>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</si>
  <si>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</si>
  <si>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</si>
  <si>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</si>
  <si>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</si>
  <si>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</si>
  <si>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</si>
  <si>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</si>
  <si>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</si>
  <si>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</si>
  <si>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</si>
  <si>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</si>
  <si>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</si>
  <si>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</si>
  <si>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</si>
  <si>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</si>
  <si>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</si>
  <si>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</si>
  <si>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</si>
  <si>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</si>
  <si>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</si>
  <si>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</si>
  <si>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</si>
  <si>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</si>
  <si>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</si>
  <si>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</si>
  <si>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</si>
  <si>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</si>
  <si>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</si>
  <si>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</si>
  <si>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</si>
  <si>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</si>
  <si>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</si>
  <si>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</si>
  <si>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</si>
  <si>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</si>
  <si>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</si>
  <si>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</si>
  <si>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</si>
  <si>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</si>
  <si>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</si>
  <si>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</si>
  <si>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</si>
  <si>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</si>
  <si>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</si>
  <si>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</si>
  <si>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</si>
  <si>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</si>
  <si>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</si>
  <si>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</si>
  <si>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</si>
  <si>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</si>
  <si>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</si>
  <si>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</si>
  <si>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</si>
  <si>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</si>
  <si>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</si>
  <si>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</si>
  <si>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</si>
  <si>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</si>
  <si>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</si>
  <si>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</si>
  <si>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</si>
  <si>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</si>
  <si>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</si>
  <si>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</si>
  <si>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</si>
  <si>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</si>
  <si>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</si>
  <si>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</si>
  <si>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</si>
  <si>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</si>
  <si>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</si>
  <si>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</si>
  <si>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</si>
  <si>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</si>
  <si>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</si>
  <si>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</si>
  <si>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</si>
  <si>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</si>
  <si>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</si>
  <si>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</si>
  <si>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</si>
  <si>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</si>
  <si>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</si>
  <si>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</si>
  <si>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</si>
  <si>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</si>
  <si>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</si>
  <si>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</si>
  <si>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</si>
  <si>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</si>
  <si>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</si>
  <si>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</si>
  <si>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</si>
  <si>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</si>
  <si>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</si>
  <si>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</si>
  <si>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</si>
  <si>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</si>
  <si>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</si>
  <si>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</si>
  <si>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</si>
  <si>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</si>
  <si>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</si>
  <si>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</si>
  <si>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</si>
  <si>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</si>
  <si>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</si>
  <si>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</si>
  <si>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</si>
  <si>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</si>
  <si>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</si>
  <si>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</si>
  <si>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</si>
  <si>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</si>
  <si>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</si>
  <si>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</si>
  <si>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</si>
  <si>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</si>
  <si>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</si>
  <si>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</si>
  <si>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</si>
  <si>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</si>
  <si>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</si>
  <si>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</si>
  <si>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</si>
  <si>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</si>
  <si>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</si>
  <si>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</si>
  <si>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</si>
  <si>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</si>
  <si>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</si>
  <si>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</si>
  <si>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</si>
  <si>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</si>
  <si>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</si>
  <si>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</si>
  <si>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</si>
  <si>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</si>
  <si>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</si>
  <si>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</si>
  <si>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</si>
  <si>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</si>
  <si>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</si>
  <si>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</si>
  <si>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</si>
  <si>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</si>
  <si>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</si>
  <si>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</si>
  <si>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</si>
  <si>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</si>
  <si>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</si>
  <si>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</si>
  <si>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</si>
  <si>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</si>
  <si>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</si>
  <si>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</si>
  <si>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</si>
  <si>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</si>
  <si>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</si>
  <si>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</si>
  <si>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</si>
  <si>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</si>
  <si>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</si>
  <si>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</si>
  <si>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</si>
  <si>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</si>
  <si>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</si>
  <si>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</si>
  <si>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</si>
  <si>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</si>
  <si>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</si>
  <si>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</si>
  <si>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</si>
  <si>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</si>
  <si>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</si>
  <si>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</si>
  <si>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</si>
  <si>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</si>
  <si>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</si>
  <si>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</si>
  <si>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</si>
  <si>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</si>
  <si>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</si>
  <si>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</si>
  <si>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</si>
  <si>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</si>
  <si>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</si>
  <si>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</si>
  <si>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</si>
  <si>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</si>
  <si>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</si>
  <si>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</si>
  <si>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</si>
  <si>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</si>
  <si>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</si>
  <si>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</si>
  <si>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</si>
  <si>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</si>
  <si>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</si>
  <si>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</si>
  <si>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</si>
  <si>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</si>
  <si>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</si>
  <si>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</si>
  <si>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</si>
  <si>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</si>
  <si>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</si>
  <si>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</si>
  <si>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</si>
  <si>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</si>
  <si>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</si>
  <si>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</si>
  <si>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</si>
  <si>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</si>
  <si>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</si>
  <si>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</si>
  <si>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</si>
  <si>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</si>
  <si>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</si>
  <si>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</si>
  <si>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</si>
  <si>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</si>
  <si>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</si>
  <si>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</si>
  <si>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</si>
  <si>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</si>
  <si>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</si>
  <si>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</si>
  <si>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</si>
  <si>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</si>
  <si>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</si>
  <si>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</si>
  <si>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</si>
  <si>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</si>
  <si>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</si>
  <si>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</si>
  <si>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</si>
  <si>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</si>
  <si>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</si>
  <si>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</si>
  <si>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</si>
  <si>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</si>
  <si>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</si>
  <si>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</si>
  <si>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</si>
  <si>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</si>
  <si>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</si>
  <si>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</si>
  <si>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</si>
  <si>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</si>
  <si>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</si>
  <si>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</si>
  <si>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</si>
  <si>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</si>
  <si>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</si>
  <si>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</si>
  <si>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</si>
  <si>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</si>
  <si>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</si>
  <si>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</si>
  <si>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</si>
  <si>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</si>
  <si>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</si>
  <si>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</si>
  <si>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</si>
  <si>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</si>
  <si>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</si>
  <si>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</si>
  <si>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</si>
  <si>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</si>
  <si>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</si>
  <si>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</si>
  <si>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</si>
  <si>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</si>
  <si>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</si>
  <si>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</si>
  <si>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</si>
  <si>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</si>
  <si>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</si>
  <si>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</si>
  <si>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</si>
  <si>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</si>
  <si>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</si>
  <si>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</si>
  <si>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</si>
  <si>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</si>
  <si>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</si>
  <si>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</si>
  <si>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</si>
  <si>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</si>
  <si>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</si>
  <si>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</si>
  <si>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</si>
  <si>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</si>
  <si>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</si>
  <si>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</si>
  <si>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</si>
  <si>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</si>
  <si>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</si>
  <si>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</si>
  <si>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</si>
  <si>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</si>
  <si>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</si>
  <si>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</si>
  <si>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</si>
  <si>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</si>
  <si>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</si>
  <si>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</si>
  <si>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</si>
  <si>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</si>
  <si>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</si>
  <si>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</si>
  <si>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</si>
  <si>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</si>
  <si>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</si>
  <si>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</si>
  <si>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</si>
  <si>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</si>
  <si>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</si>
  <si>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</si>
  <si>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</si>
  <si>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</si>
  <si>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</si>
  <si>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</si>
  <si>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</si>
  <si>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</si>
  <si>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</si>
  <si>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</si>
  <si>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</si>
  <si>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</si>
  <si>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</si>
  <si>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</si>
  <si>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</si>
  <si>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</si>
  <si>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</si>
  <si>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</si>
  <si>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</si>
  <si>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</si>
  <si>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</si>
  <si>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</si>
  <si>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</si>
  <si>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</si>
  <si>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</si>
  <si>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</si>
  <si>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</si>
  <si>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</si>
  <si>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</si>
  <si>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</si>
  <si>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</si>
  <si>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</si>
  <si>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</si>
  <si>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</si>
  <si>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</si>
  <si>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</si>
  <si>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</si>
  <si>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</si>
  <si>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</si>
  <si>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</si>
  <si>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</si>
  <si>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</si>
  <si>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</si>
  <si>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</si>
  <si>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</si>
  <si>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</si>
  <si>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</si>
  <si>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</si>
  <si>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</si>
  <si>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</si>
  <si>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</si>
  <si>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</si>
  <si>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</si>
  <si>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</si>
  <si>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</si>
  <si>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</si>
  <si>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</si>
  <si>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</si>
  <si>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</si>
  <si>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</si>
  <si>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</si>
  <si>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</si>
  <si>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</si>
  <si>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</si>
  <si>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</si>
  <si>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</si>
  <si>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</si>
  <si>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</si>
  <si>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</si>
  <si>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</si>
  <si>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</si>
  <si>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</si>
  <si>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</si>
  <si>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</si>
  <si>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</si>
  <si>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</si>
  <si>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</si>
  <si>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</si>
  <si>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</si>
  <si>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</si>
  <si>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</si>
  <si>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</si>
  <si>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</si>
  <si>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</si>
  <si>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</si>
  <si>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</si>
  <si>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</si>
  <si>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</si>
  <si>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</si>
  <si>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</si>
  <si>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</si>
  <si>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</si>
  <si>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</si>
  <si>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</si>
  <si>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</si>
  <si>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</si>
  <si>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</si>
  <si>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</si>
  <si>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</si>
  <si>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</si>
  <si>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</si>
  <si>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</si>
  <si>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</si>
  <si>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</si>
  <si>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</si>
  <si>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</si>
  <si>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</si>
  <si>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</si>
  <si>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</si>
  <si>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</si>
  <si>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</si>
  <si>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</si>
  <si>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</si>
  <si>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</si>
  <si>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</si>
  <si>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</si>
  <si>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</si>
  <si>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</si>
  <si>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</si>
  <si>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</si>
  <si>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</si>
  <si>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</si>
  <si>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</si>
  <si>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</si>
  <si>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</si>
  <si>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</si>
  <si>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</si>
  <si>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</si>
  <si>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</si>
  <si>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</si>
  <si>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</si>
  <si>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</si>
  <si>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</si>
  <si>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</si>
  <si>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</si>
  <si>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</si>
  <si>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</si>
  <si>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</si>
  <si>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</si>
  <si>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</si>
  <si>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</si>
  <si>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</si>
  <si>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</si>
  <si>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</si>
  <si>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</si>
  <si>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</si>
  <si>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</si>
  <si>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</si>
  <si>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</si>
  <si>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</si>
  <si>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</si>
  <si>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</si>
  <si>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</si>
  <si>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</si>
  <si>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</si>
  <si>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</si>
  <si>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</si>
  <si>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</si>
  <si>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</si>
  <si>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</si>
  <si>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</si>
  <si>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</si>
  <si>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</si>
  <si>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</si>
  <si>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</si>
  <si>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</si>
  <si>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</si>
  <si>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</si>
  <si>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</si>
  <si>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</si>
  <si>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</si>
  <si>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</si>
  <si>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</si>
  <si>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</si>
  <si>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</si>
  <si>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</si>
  <si>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</si>
  <si>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</si>
  <si>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</si>
  <si>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</si>
  <si>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</si>
  <si>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</si>
  <si>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</si>
  <si>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</si>
  <si>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</si>
  <si>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</si>
  <si>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</si>
  <si>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</si>
  <si>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</si>
  <si>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</si>
  <si>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</si>
  <si>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</si>
  <si>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</si>
  <si>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</si>
  <si>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</si>
  <si>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</si>
  <si>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</si>
  <si>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</si>
  <si>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</si>
  <si>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</si>
  <si>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</si>
  <si>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</si>
  <si>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</si>
  <si>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</si>
  <si>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</si>
  <si>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</si>
  <si>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</si>
  <si>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</si>
  <si>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</si>
  <si>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</si>
  <si>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</si>
  <si>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</si>
  <si>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</si>
  <si>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</si>
  <si>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</si>
  <si>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</si>
  <si>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</si>
  <si>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</si>
  <si>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</si>
  <si>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</si>
  <si>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</si>
  <si>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</si>
  <si>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</si>
  <si>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</si>
  <si>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</si>
  <si>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</si>
  <si>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</si>
  <si>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</si>
  <si>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</si>
  <si>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</si>
  <si>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</si>
  <si>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</si>
  <si>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</si>
  <si>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</si>
  <si>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</si>
  <si>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</si>
  <si>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</si>
  <si>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</si>
  <si>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</si>
  <si>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</si>
  <si>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</si>
  <si>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</si>
  <si>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</si>
  <si>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</si>
  <si>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SKIP_Line equation polar</t>
  </si>
  <si>
    <t>Tval</t>
  </si>
  <si>
    <t>Zval*AmpFactor*SIN(NumPeriods*Tval)</t>
  </si>
  <si>
    <t>Zval*AmpFactor*SIN(NumPeriods*Tval)+0.9</t>
  </si>
  <si>
    <t>Zval*AmpFactor*SIN(NumPeriods*Tval)+1.8</t>
  </si>
  <si>
    <t>Zval*AmpFactor*SIN(NumPeriods*Tval)+2.7</t>
  </si>
  <si>
    <t>Zval*AmpFactor*SIN(NumPeriods*Tval)+3.6</t>
  </si>
  <si>
    <t>Zval*AmpFactor*SIN(NumPeriods*Tval)+4.5</t>
  </si>
  <si>
    <t>(FLOOR(MaxAmp/LayerHeight, 1)+1)*LayerHeight*AmpFactor*0.8*SIN(NumPeriods*Tval)+(FLOOR(MaxAmp/LayerHeight, 1)+1.5)*LayerHeight</t>
  </si>
  <si>
    <t>14</t>
  </si>
  <si>
    <t>14,15</t>
  </si>
  <si>
    <t>;M98 P"prime.g"</t>
  </si>
  <si>
    <t>; prime</t>
  </si>
  <si>
    <t>LineFeat1</t>
  </si>
  <si>
    <t>2</t>
  </si>
  <si>
    <t>LineFeat2</t>
  </si>
  <si>
    <t>3</t>
  </si>
  <si>
    <t>LineFeat3</t>
  </si>
  <si>
    <t>M109 S0</t>
  </si>
  <si>
    <t>M190 S0</t>
  </si>
  <si>
    <t>R-25</t>
  </si>
  <si>
    <t>RetractionFeat1</t>
  </si>
  <si>
    <t>RetractionZhop</t>
  </si>
  <si>
    <t>5</t>
  </si>
  <si>
    <t>set global.printing = false</t>
  </si>
  <si>
    <t>; set printing variable for tool changing</t>
  </si>
  <si>
    <t>if (exists(global.printing))</t>
  </si>
  <si>
    <t xml:space="preserve">    set global.printing = true</t>
  </si>
  <si>
    <t>else</t>
  </si>
  <si>
    <t xml:space="preserve">    global printing = true</t>
  </si>
  <si>
    <t>SKIP_Retraction</t>
  </si>
  <si>
    <t>R-130</t>
  </si>
  <si>
    <t>LineFeat4</t>
  </si>
  <si>
    <t>LineFeat5</t>
  </si>
  <si>
    <t>G1 F80.0 E0.0</t>
  </si>
  <si>
    <t>G1 X275 E01.2 F600</t>
  </si>
  <si>
    <t>LineFeat6</t>
  </si>
  <si>
    <t>G0 F3000.0 Z4.0</t>
  </si>
  <si>
    <t>G0 Z4.0</t>
  </si>
  <si>
    <t>G1 X100 Y160 Z2 F3000</t>
  </si>
  <si>
    <t>G1 F600 X225.0 Y140.0 Z2.0 E0.225048</t>
  </si>
  <si>
    <t>G1 Y10.0 E0.543116</t>
  </si>
  <si>
    <t>G1 X220.0 E0.020889</t>
  </si>
  <si>
    <t>G1 Y140.0 E0.543116</t>
  </si>
  <si>
    <t>G1 F600 X195.0 Z2.0 E0.104779</t>
  </si>
  <si>
    <t>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</si>
</sst>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2"/>
  <sheetViews>
    <sheetView showGridLines="0" tabSelected="1" topLeftCell="M1" zoomScale="85" zoomScaleNormal="85" workbookViewId="0">
      <pane ySplit="1" topLeftCell="A24" activePane="bottomLeft" state="frozen"/>
      <selection activeCell="G268" sqref="G268"/>
      <selection pane="bottomLeft" activeCell="T37" sqref="T37"/>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442</v>
      </c>
      <c r="M3" s="83"/>
      <c r="O3" s="83"/>
    </row>
    <row r="4" spans="1:40" x14ac:dyDescent="0.25">
      <c r="M4" s="84"/>
    </row>
    <row r="5" spans="1:40" x14ac:dyDescent="0.25">
      <c r="T5" s="94" t="s">
        <v>131</v>
      </c>
      <c r="U5" s="93">
        <f>COUNTA(RecycleBin!#REF!)</f>
        <v>1</v>
      </c>
      <c r="V5" s="85"/>
    </row>
    <row r="6" spans="1:40" s="81" customFormat="1" x14ac:dyDescent="0.25">
      <c r="A6" s="58" t="s">
        <v>129</v>
      </c>
      <c r="B6" s="2" t="s">
        <v>626</v>
      </c>
      <c r="C6" s="58" t="s">
        <v>128</v>
      </c>
      <c r="D6" s="2" t="s">
        <v>572</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249</v>
      </c>
      <c r="R7"/>
      <c r="S7"/>
      <c r="T7"/>
      <c r="U7" s="89"/>
      <c r="V7"/>
      <c r="W7"/>
      <c r="X7"/>
      <c r="Y7"/>
      <c r="Z7"/>
      <c r="AA7"/>
      <c r="AB7"/>
      <c r="AC7"/>
      <c r="AD7"/>
      <c r="AE7"/>
      <c r="AF7"/>
      <c r="AG7"/>
      <c r="AH7"/>
      <c r="AI7"/>
      <c r="AJ7"/>
      <c r="AK7"/>
      <c r="AL7"/>
      <c r="AM7"/>
      <c r="AN7"/>
    </row>
    <row r="8" spans="1:40" s="81" customFormat="1" x14ac:dyDescent="0.25">
      <c r="A8" s="2">
        <v>1</v>
      </c>
      <c r="B8" s="2" t="s">
        <v>1</v>
      </c>
      <c r="C8" s="2" t="s">
        <v>18</v>
      </c>
      <c r="D8" s="2" t="s">
        <v>100</v>
      </c>
      <c r="E8" s="2" t="s">
        <v>100</v>
      </c>
      <c r="F8" s="2" t="s">
        <v>100</v>
      </c>
      <c r="G8" s="2">
        <v>225</v>
      </c>
      <c r="H8" s="2">
        <v>140</v>
      </c>
      <c r="I8" s="2">
        <v>0</v>
      </c>
      <c r="J8" s="2" t="s">
        <v>19</v>
      </c>
      <c r="K8" s="2">
        <f>ExtrusionWidth</f>
        <v>3.75</v>
      </c>
      <c r="L8" s="2">
        <f>ExtrusionHeight</f>
        <v>2.8</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t="s">
        <v>100</v>
      </c>
      <c r="H9" s="2" t="str">
        <f>CONCATENATE("R-", 130)</f>
        <v>R-130</v>
      </c>
      <c r="I9" s="2">
        <v>0</v>
      </c>
      <c r="J9" s="2" t="s">
        <v>19</v>
      </c>
      <c r="K9" s="2">
        <f>ExtrusionWidth</f>
        <v>3.75</v>
      </c>
      <c r="L9" s="2">
        <f>ExtrusionHeight</f>
        <v>2.8</v>
      </c>
      <c r="M9" s="2"/>
      <c r="N9" s="2"/>
      <c r="O9" s="2"/>
      <c r="P9" s="2"/>
      <c r="Q9" s="2"/>
      <c r="R9"/>
      <c r="S9" s="5" t="s">
        <v>98</v>
      </c>
      <c r="T9" s="5">
        <v>2</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ExtrusionSpacing)</f>
        <v>R-5</v>
      </c>
      <c r="H10" s="2" t="s">
        <v>100</v>
      </c>
      <c r="I10" s="2" t="s">
        <v>100</v>
      </c>
      <c r="J10" s="2" t="s">
        <v>19</v>
      </c>
      <c r="K10" s="2">
        <f>ExtrusionWidth</f>
        <v>3.75</v>
      </c>
      <c r="L10" s="2">
        <f>ExtrusionHeight</f>
        <v>2.8</v>
      </c>
      <c r="M10" s="2"/>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130)</f>
        <v>R130</v>
      </c>
      <c r="I11" s="2">
        <v>0</v>
      </c>
      <c r="J11" s="2" t="s">
        <v>19</v>
      </c>
      <c r="K11" s="2">
        <f>ExtrusionWidth</f>
        <v>3.75</v>
      </c>
      <c r="L11" s="2">
        <f>ExtrusionHeight</f>
        <v>2.8</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39</v>
      </c>
      <c r="C12" s="2">
        <v>0</v>
      </c>
      <c r="D12" s="2">
        <v>80</v>
      </c>
      <c r="E12" s="2">
        <v>2</v>
      </c>
      <c r="F12" s="2">
        <v>3000</v>
      </c>
      <c r="G12" s="2"/>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426</v>
      </c>
      <c r="AC12" s="128" t="s">
        <v>441</v>
      </c>
      <c r="AD12" s="5" t="s">
        <v>204</v>
      </c>
      <c r="AE12" s="5" t="s">
        <v>204</v>
      </c>
      <c r="AF12" s="5" t="s">
        <v>204</v>
      </c>
      <c r="AG12" s="5" t="s">
        <v>204</v>
      </c>
      <c r="AH12" s="5" t="s">
        <v>204</v>
      </c>
      <c r="AI12"/>
      <c r="AJ12"/>
      <c r="AK12"/>
      <c r="AL12"/>
      <c r="AM12"/>
      <c r="AN12"/>
    </row>
    <row r="13" spans="1:40" s="81" customFormat="1" x14ac:dyDescent="0.25">
      <c r="A13" s="2">
        <v>6</v>
      </c>
      <c r="B13" s="2" t="s">
        <v>1</v>
      </c>
      <c r="C13" s="2" t="s">
        <v>18</v>
      </c>
      <c r="D13" s="2" t="s">
        <v>100</v>
      </c>
      <c r="E13" s="2" t="s">
        <v>100</v>
      </c>
      <c r="F13" s="2" t="s">
        <v>100</v>
      </c>
      <c r="G13" s="2" t="s">
        <v>664</v>
      </c>
      <c r="H13" s="2" t="s">
        <v>100</v>
      </c>
      <c r="I13" s="2">
        <v>0</v>
      </c>
      <c r="J13" s="2" t="s">
        <v>19</v>
      </c>
      <c r="K13" s="2">
        <f>ExtrusionWidth</f>
        <v>3.75</v>
      </c>
      <c r="L13" s="2">
        <f>ExtrusionHeight</f>
        <v>2.8</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2" t="s">
        <v>674</v>
      </c>
      <c r="C14" s="2">
        <v>-0.45</v>
      </c>
      <c r="D14" s="2">
        <v>80</v>
      </c>
      <c r="E14" s="2">
        <v>0</v>
      </c>
      <c r="F14" s="2">
        <v>0</v>
      </c>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t="s">
        <v>1</v>
      </c>
      <c r="C15" s="2" t="s">
        <v>18</v>
      </c>
      <c r="D15" s="2" t="s">
        <v>100</v>
      </c>
      <c r="E15" s="2" t="s">
        <v>100</v>
      </c>
      <c r="F15" s="2" t="s">
        <v>100</v>
      </c>
      <c r="G15" s="2" t="s">
        <v>100</v>
      </c>
      <c r="H15" s="2" t="s">
        <v>675</v>
      </c>
      <c r="I15" s="2">
        <v>0</v>
      </c>
      <c r="J15" s="2" t="s">
        <v>19</v>
      </c>
      <c r="K15" s="2">
        <f>ExtrusionWidth</f>
        <v>3.75</v>
      </c>
      <c r="L15" s="2">
        <f>ExtrusionHeight</f>
        <v>2.8</v>
      </c>
      <c r="M15" s="2"/>
      <c r="N15" s="2"/>
      <c r="O15" s="2"/>
      <c r="P15" s="2"/>
      <c r="Q15" s="2"/>
      <c r="R15"/>
      <c r="S15" s="5" t="s">
        <v>298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2" t="s">
        <v>674</v>
      </c>
      <c r="C16" s="2">
        <v>0.35</v>
      </c>
      <c r="D16" s="2">
        <v>80</v>
      </c>
      <c r="E16" s="2">
        <v>2</v>
      </c>
      <c r="F16" s="2">
        <v>3000</v>
      </c>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2" t="s">
        <v>1</v>
      </c>
      <c r="C17" s="2" t="s">
        <v>18</v>
      </c>
      <c r="D17" s="2" t="s">
        <v>100</v>
      </c>
      <c r="E17" s="2" t="s">
        <v>100</v>
      </c>
      <c r="F17" s="2" t="s">
        <v>100</v>
      </c>
      <c r="G17" s="2" t="s">
        <v>100</v>
      </c>
      <c r="H17" s="2" t="str">
        <f>CONCATENATE("R", 130)</f>
        <v>R130</v>
      </c>
      <c r="I17" s="2">
        <v>0</v>
      </c>
      <c r="J17" s="2" t="s">
        <v>19</v>
      </c>
      <c r="K17" s="2">
        <f>ExtrusionWidth</f>
        <v>3.75</v>
      </c>
      <c r="L17" s="2">
        <f>ExtrusionHeight</f>
        <v>2.8</v>
      </c>
      <c r="M17" s="2" t="s">
        <v>689</v>
      </c>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2"/>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2"/>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c r="C20" s="2"/>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c r="C21" s="2"/>
      <c r="D21" s="2"/>
      <c r="E21" s="2"/>
      <c r="F21" s="2"/>
      <c r="G21" s="2"/>
      <c r="H21" s="2"/>
      <c r="I21" s="2"/>
      <c r="J21" s="2"/>
      <c r="K21" s="2"/>
      <c r="L21" s="2"/>
      <c r="M21" s="2"/>
      <c r="N21" s="2"/>
      <c r="O21" s="2"/>
      <c r="P21" s="2"/>
      <c r="Q21" s="2"/>
      <c r="R21"/>
      <c r="S21" s="5" t="s">
        <v>108</v>
      </c>
      <c r="T21" s="122" t="s">
        <v>590</v>
      </c>
      <c r="U21" s="5"/>
      <c r="V21" s="122" t="s">
        <v>153</v>
      </c>
      <c r="W21" s="123" t="s">
        <v>354</v>
      </c>
      <c r="X21" s="137" t="s">
        <v>353</v>
      </c>
      <c r="Y21" s="24" t="s">
        <v>415</v>
      </c>
      <c r="Z21" s="126" t="s">
        <v>385</v>
      </c>
      <c r="AA21" s="127" t="s">
        <v>425</v>
      </c>
      <c r="AB21" s="127" t="s">
        <v>426</v>
      </c>
      <c r="AC21" s="134" t="s">
        <v>447</v>
      </c>
      <c r="AD21" s="135" t="s">
        <v>461</v>
      </c>
      <c r="AE21" s="136" t="s">
        <v>509</v>
      </c>
      <c r="AF21" s="138" t="s">
        <v>513</v>
      </c>
      <c r="AG21" s="132" t="s">
        <v>546</v>
      </c>
      <c r="AH21" s="139" t="s">
        <v>547</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590</v>
      </c>
      <c r="U22" s="5"/>
      <c r="V22" s="122" t="s">
        <v>125</v>
      </c>
      <c r="W22" s="123" t="s">
        <v>354</v>
      </c>
      <c r="X22" s="137" t="s">
        <v>353</v>
      </c>
      <c r="Y22" s="24" t="s">
        <v>415</v>
      </c>
      <c r="Z22" s="126" t="s">
        <v>385</v>
      </c>
      <c r="AA22" s="127" t="s">
        <v>425</v>
      </c>
      <c r="AB22" s="127" t="s">
        <v>426</v>
      </c>
      <c r="AC22" s="134" t="s">
        <v>447</v>
      </c>
      <c r="AD22" s="135" t="s">
        <v>461</v>
      </c>
      <c r="AE22" s="136" t="s">
        <v>509</v>
      </c>
      <c r="AF22" s="138" t="s">
        <v>513</v>
      </c>
      <c r="AG22" s="132" t="s">
        <v>546</v>
      </c>
      <c r="AH22" s="139" t="s">
        <v>547</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275</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160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1.3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299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252</v>
      </c>
      <c r="T36" s="96" t="s">
        <v>253</v>
      </c>
      <c r="U36" s="97" t="s">
        <v>291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617</v>
      </c>
      <c r="T37" s="75">
        <v>5</v>
      </c>
      <c r="U37" s="75">
        <v>2</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c r="T38" s="75"/>
      <c r="U38" s="75"/>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628</v>
      </c>
      <c r="T39" s="75">
        <v>3.75</v>
      </c>
      <c r="U39" s="75">
        <v>1.6002000000000001</v>
      </c>
    </row>
    <row r="40" spans="1:40" x14ac:dyDescent="0.25">
      <c r="A40" s="2">
        <v>33</v>
      </c>
      <c r="B40" s="2"/>
      <c r="C40" s="98"/>
      <c r="D40" s="2"/>
      <c r="E40" s="2"/>
      <c r="F40" s="2"/>
      <c r="G40" s="2"/>
      <c r="H40" s="2"/>
      <c r="I40" s="2"/>
      <c r="J40" s="2"/>
      <c r="K40" s="2"/>
      <c r="L40" s="2"/>
      <c r="M40" s="2"/>
      <c r="N40" s="2"/>
      <c r="O40" s="2"/>
      <c r="P40" s="2"/>
      <c r="Q40" s="2"/>
      <c r="S40" s="75" t="s">
        <v>629</v>
      </c>
      <c r="T40" s="75">
        <v>2.8</v>
      </c>
      <c r="U40" s="75">
        <v>1.8</v>
      </c>
    </row>
    <row r="41" spans="1:40" x14ac:dyDescent="0.25">
      <c r="A41" s="2">
        <v>34</v>
      </c>
      <c r="B41" s="143"/>
      <c r="C41" s="2"/>
      <c r="D41" s="2"/>
      <c r="E41" s="2"/>
      <c r="F41" s="2"/>
      <c r="G41" s="2"/>
      <c r="H41" s="2"/>
      <c r="I41" s="2"/>
      <c r="J41" s="2"/>
      <c r="K41" s="2"/>
      <c r="L41" s="2"/>
      <c r="M41" s="2"/>
      <c r="N41" s="2"/>
      <c r="O41" s="2"/>
      <c r="P41" s="2"/>
      <c r="Q41" s="2"/>
      <c r="S41" s="75" t="s">
        <v>599</v>
      </c>
      <c r="T41" s="75" t="s">
        <v>457</v>
      </c>
      <c r="U41" s="92" t="s">
        <v>109</v>
      </c>
    </row>
    <row r="42" spans="1:40" x14ac:dyDescent="0.25">
      <c r="A42" s="2">
        <v>35</v>
      </c>
      <c r="B42" s="143"/>
      <c r="C42" s="2"/>
      <c r="D42" s="2"/>
      <c r="E42" s="2"/>
      <c r="F42" s="2"/>
      <c r="G42" s="2"/>
      <c r="H42" s="2"/>
      <c r="I42" s="2"/>
      <c r="J42" s="2"/>
      <c r="K42" s="2"/>
      <c r="L42" s="2"/>
      <c r="M42" s="2"/>
      <c r="N42" s="2"/>
      <c r="O42" s="2"/>
      <c r="P42" s="2"/>
      <c r="Q42" s="2"/>
      <c r="S42" s="75" t="s">
        <v>269</v>
      </c>
      <c r="T42" s="75">
        <v>2</v>
      </c>
      <c r="U42" s="75">
        <v>1.3</v>
      </c>
    </row>
    <row r="43" spans="1:40" x14ac:dyDescent="0.25">
      <c r="A43" s="2">
        <v>36</v>
      </c>
      <c r="B43" s="143"/>
      <c r="C43" s="2"/>
      <c r="D43" s="2"/>
      <c r="E43" s="2"/>
      <c r="F43" s="2"/>
      <c r="G43" s="2"/>
      <c r="H43" s="2"/>
      <c r="I43" s="2"/>
      <c r="J43" s="2"/>
      <c r="K43" s="2"/>
      <c r="L43" s="2"/>
      <c r="M43" s="2"/>
      <c r="N43" s="2"/>
      <c r="O43" s="2"/>
      <c r="P43" s="2"/>
      <c r="Q43" s="2"/>
      <c r="S43" s="75" t="s">
        <v>634</v>
      </c>
      <c r="T43" s="75">
        <v>125</v>
      </c>
      <c r="U43" s="92" t="s">
        <v>109</v>
      </c>
    </row>
    <row r="44" spans="1:40" x14ac:dyDescent="0.25">
      <c r="A44" s="2">
        <v>37</v>
      </c>
      <c r="B44" s="143"/>
      <c r="C44" s="2"/>
      <c r="D44" s="2"/>
      <c r="E44" s="2"/>
      <c r="F44" s="2"/>
      <c r="G44" s="2"/>
      <c r="H44" s="2"/>
      <c r="I44" s="2"/>
      <c r="J44" s="2"/>
      <c r="K44" s="2"/>
      <c r="L44" s="2"/>
      <c r="M44" s="2"/>
      <c r="N44" s="2"/>
      <c r="O44" s="2"/>
      <c r="P44" s="2"/>
      <c r="Q44" s="2"/>
      <c r="S44" s="75" t="s">
        <v>179</v>
      </c>
      <c r="T44" s="75">
        <v>25</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231</v>
      </c>
      <c r="T46" s="75">
        <v>40</v>
      </c>
      <c r="U46" s="92" t="s">
        <v>109</v>
      </c>
    </row>
    <row r="47" spans="1:40" x14ac:dyDescent="0.25">
      <c r="A47" s="2">
        <v>40</v>
      </c>
      <c r="B47" s="143"/>
      <c r="C47" s="2"/>
      <c r="D47" s="2"/>
      <c r="E47" s="2"/>
      <c r="F47" s="2"/>
      <c r="G47" s="2"/>
      <c r="H47" s="2"/>
      <c r="I47" s="2"/>
      <c r="J47" s="2"/>
      <c r="K47" s="2"/>
      <c r="L47" s="2"/>
      <c r="M47" s="2"/>
      <c r="N47" s="2"/>
      <c r="O47" s="2"/>
      <c r="P47" s="2"/>
      <c r="Q47" s="2"/>
      <c r="S47" s="75" t="s">
        <v>232</v>
      </c>
      <c r="T47" s="75">
        <v>100</v>
      </c>
      <c r="U47" s="92" t="s">
        <v>109</v>
      </c>
    </row>
    <row r="48" spans="1:40" x14ac:dyDescent="0.25">
      <c r="S48" s="75"/>
      <c r="T48" s="75"/>
      <c r="U48" s="92" t="s">
        <v>109</v>
      </c>
    </row>
    <row r="49" spans="19:21" x14ac:dyDescent="0.25">
      <c r="S49" s="75"/>
      <c r="T49" s="75"/>
      <c r="U49" s="92" t="s">
        <v>109</v>
      </c>
    </row>
    <row r="50" spans="19:21" x14ac:dyDescent="0.25">
      <c r="S50" s="75"/>
      <c r="T50" s="75"/>
      <c r="U50" s="92" t="s">
        <v>109</v>
      </c>
    </row>
    <row r="51" spans="19:21" x14ac:dyDescent="0.25">
      <c r="S51" s="75"/>
      <c r="T51" s="75"/>
      <c r="U51" s="92" t="s">
        <v>109</v>
      </c>
    </row>
    <row r="52" spans="19:21" x14ac:dyDescent="0.25">
      <c r="S52" s="75"/>
      <c r="T52" s="75"/>
      <c r="U52"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604</v>
      </c>
      <c r="C3" s="58" t="s">
        <v>128</v>
      </c>
      <c r="D3" s="2" t="s">
        <v>572</v>
      </c>
      <c r="U3" s="89"/>
      <c r="AO3" t="s">
        <v>130</v>
      </c>
      <c r="AP3" t="s">
        <v>586</v>
      </c>
      <c r="AQ3" t="s">
        <v>129</v>
      </c>
      <c r="AR3" t="s">
        <v>570</v>
      </c>
      <c r="AS3" t="s">
        <v>128</v>
      </c>
      <c r="AT3" t="s">
        <v>572</v>
      </c>
    </row>
    <row r="4" spans="1:46" x14ac:dyDescent="0.25">
      <c r="A4" s="40" t="s">
        <v>0</v>
      </c>
      <c r="B4" s="2"/>
      <c r="C4" s="2"/>
      <c r="D4" s="2"/>
      <c r="E4" s="2"/>
      <c r="F4" s="2"/>
      <c r="G4" s="2"/>
      <c r="H4" s="2"/>
      <c r="I4" s="2"/>
      <c r="J4" s="2"/>
      <c r="K4" s="2"/>
      <c r="L4" s="2"/>
      <c r="M4" s="2"/>
      <c r="N4" s="2"/>
      <c r="O4" s="2"/>
      <c r="P4" s="2"/>
      <c r="Q4" s="58" t="s">
        <v>249</v>
      </c>
      <c r="U4" s="89"/>
    </row>
    <row r="5" spans="1:46" x14ac:dyDescent="0.25">
      <c r="A5" s="2">
        <v>1</v>
      </c>
      <c r="B5" s="2" t="s">
        <v>569</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571</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426</v>
      </c>
      <c r="AC9" s="128" t="s">
        <v>441</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298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590</v>
      </c>
      <c r="U18" s="5"/>
      <c r="V18" s="122" t="s">
        <v>153</v>
      </c>
      <c r="W18" s="123" t="s">
        <v>354</v>
      </c>
      <c r="X18" s="137" t="s">
        <v>353</v>
      </c>
      <c r="Y18" s="24" t="s">
        <v>415</v>
      </c>
      <c r="Z18" s="126" t="s">
        <v>385</v>
      </c>
      <c r="AA18" s="127" t="s">
        <v>425</v>
      </c>
      <c r="AB18" s="127" t="s">
        <v>426</v>
      </c>
      <c r="AC18" s="134" t="s">
        <v>447</v>
      </c>
      <c r="AD18" s="135" t="s">
        <v>461</v>
      </c>
      <c r="AE18" s="136" t="s">
        <v>509</v>
      </c>
      <c r="AF18" s="138" t="s">
        <v>513</v>
      </c>
      <c r="AG18" s="132" t="s">
        <v>546</v>
      </c>
      <c r="AH18" s="139" t="s">
        <v>547</v>
      </c>
    </row>
    <row r="19" spans="1:34" x14ac:dyDescent="0.25">
      <c r="A19" s="2">
        <v>15</v>
      </c>
      <c r="B19" s="2"/>
      <c r="C19" s="2"/>
      <c r="D19" s="2"/>
      <c r="E19" s="2"/>
      <c r="F19" s="2"/>
      <c r="G19" s="2"/>
      <c r="H19" s="2"/>
      <c r="I19" s="2"/>
      <c r="J19" s="2"/>
      <c r="K19" s="2"/>
      <c r="L19" s="2"/>
      <c r="M19" s="2"/>
      <c r="N19" s="2"/>
      <c r="O19" s="2"/>
      <c r="P19" s="2"/>
      <c r="Q19" s="2"/>
      <c r="S19" s="5" t="s">
        <v>152</v>
      </c>
      <c r="T19" s="122" t="s">
        <v>590</v>
      </c>
      <c r="U19" s="5"/>
      <c r="V19" s="122" t="s">
        <v>125</v>
      </c>
      <c r="W19" s="123" t="s">
        <v>354</v>
      </c>
      <c r="X19" s="137" t="s">
        <v>353</v>
      </c>
      <c r="Y19" s="24" t="s">
        <v>415</v>
      </c>
      <c r="Z19" s="126" t="s">
        <v>385</v>
      </c>
      <c r="AA19" s="127" t="s">
        <v>425</v>
      </c>
      <c r="AB19" s="127" t="s">
        <v>426</v>
      </c>
      <c r="AC19" s="134" t="s">
        <v>447</v>
      </c>
      <c r="AD19" s="135" t="s">
        <v>461</v>
      </c>
      <c r="AE19" s="136" t="s">
        <v>509</v>
      </c>
      <c r="AF19" s="138" t="s">
        <v>513</v>
      </c>
      <c r="AG19" s="132" t="s">
        <v>546</v>
      </c>
      <c r="AH19" s="139" t="s">
        <v>547</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299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252</v>
      </c>
      <c r="T33" s="96" t="s">
        <v>253</v>
      </c>
      <c r="U33" s="97" t="s">
        <v>291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635</v>
      </c>
      <c r="C37" s="58" t="s">
        <v>128</v>
      </c>
      <c r="D37" s="2" t="s">
        <v>572</v>
      </c>
      <c r="U37" s="89"/>
      <c r="AO37" t="s">
        <v>130</v>
      </c>
      <c r="AP37" t="s">
        <v>636</v>
      </c>
      <c r="AQ37" t="s">
        <v>129</v>
      </c>
      <c r="AR37" t="s">
        <v>635</v>
      </c>
      <c r="AS37" t="s">
        <v>128</v>
      </c>
      <c r="AT37" t="s">
        <v>572</v>
      </c>
    </row>
    <row r="38" spans="1:46" x14ac:dyDescent="0.25">
      <c r="A38" s="40" t="s">
        <v>0</v>
      </c>
      <c r="B38" s="2"/>
      <c r="C38" s="2"/>
      <c r="D38" s="2"/>
      <c r="E38" s="2"/>
      <c r="F38" s="2"/>
      <c r="G38" s="2"/>
      <c r="H38" s="2"/>
      <c r="I38" s="2"/>
      <c r="J38" s="2"/>
      <c r="K38" s="2"/>
      <c r="L38" s="2"/>
      <c r="M38" s="2"/>
      <c r="N38" s="2"/>
      <c r="O38" s="2"/>
      <c r="P38" s="2"/>
      <c r="Q38" s="58" t="s">
        <v>249</v>
      </c>
      <c r="U38" s="89"/>
    </row>
    <row r="39" spans="1:46" x14ac:dyDescent="0.25">
      <c r="A39" s="2">
        <v>1</v>
      </c>
      <c r="B39" s="142" t="s">
        <v>614</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621</v>
      </c>
      <c r="C40" s="2" t="s">
        <v>203</v>
      </c>
      <c r="D40" s="2">
        <v>0</v>
      </c>
      <c r="E40" s="2"/>
      <c r="F40" s="2"/>
      <c r="G40" s="2"/>
      <c r="H40" s="2"/>
      <c r="I40" s="2"/>
      <c r="J40" s="2"/>
      <c r="K40" s="2"/>
      <c r="L40" s="2"/>
      <c r="M40" s="2"/>
      <c r="N40" s="2"/>
      <c r="O40" s="2"/>
      <c r="P40" s="2"/>
      <c r="Q40" s="2" t="s">
        <v>616</v>
      </c>
      <c r="S40" s="5" t="s">
        <v>98</v>
      </c>
      <c r="T40" s="5">
        <v>0.55000000000000004</v>
      </c>
      <c r="U40" s="5" t="s">
        <v>44</v>
      </c>
    </row>
    <row r="41" spans="1:46" x14ac:dyDescent="0.25">
      <c r="A41" s="2">
        <v>3</v>
      </c>
      <c r="B41" s="142" t="s">
        <v>614</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40</v>
      </c>
      <c r="E42" s="2">
        <f>StartY</f>
        <v>100</v>
      </c>
      <c r="F42" s="2">
        <v>0</v>
      </c>
      <c r="G42" s="2" t="str">
        <f>CONCATENATE("R", 3*ExtrusionSpacing_L1)</f>
        <v>R15</v>
      </c>
      <c r="H42" s="2" t="s">
        <v>100</v>
      </c>
      <c r="I42" s="2" t="s">
        <v>100</v>
      </c>
      <c r="J42" s="2" t="s">
        <v>19</v>
      </c>
      <c r="K42" s="2">
        <f>ExtrusionWidth</f>
        <v>3.75</v>
      </c>
      <c r="L42" s="2">
        <f>ExtrusionHeight</f>
        <v>2.8</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R125</v>
      </c>
      <c r="I43" s="2" t="s">
        <v>100</v>
      </c>
      <c r="J43" s="2" t="s">
        <v>19</v>
      </c>
      <c r="K43" s="2">
        <f>ExtrusionWidth</f>
        <v>3.75</v>
      </c>
      <c r="L43" s="2">
        <f>ExtrusionHeight</f>
        <v>2.8</v>
      </c>
      <c r="M43" s="2"/>
      <c r="N43" s="2"/>
      <c r="O43" s="2"/>
      <c r="P43" s="2"/>
      <c r="Q43" s="2"/>
      <c r="S43" s="5" t="s">
        <v>193</v>
      </c>
      <c r="T43" s="5" t="s">
        <v>204</v>
      </c>
      <c r="U43" s="5"/>
      <c r="V43" s="5" t="s">
        <v>204</v>
      </c>
      <c r="W43" s="5" t="s">
        <v>204</v>
      </c>
      <c r="X43" s="5" t="s">
        <v>204</v>
      </c>
      <c r="Y43" s="5" t="s">
        <v>204</v>
      </c>
      <c r="Z43" s="5" t="s">
        <v>204</v>
      </c>
      <c r="AA43" s="5" t="s">
        <v>204</v>
      </c>
      <c r="AB43" s="127" t="s">
        <v>426</v>
      </c>
      <c r="AC43" s="128" t="s">
        <v>441</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R5</v>
      </c>
      <c r="H44" s="2" t="s">
        <v>100</v>
      </c>
      <c r="I44" s="2" t="s">
        <v>100</v>
      </c>
      <c r="J44" s="2" t="s">
        <v>19</v>
      </c>
      <c r="K44" s="2">
        <f>ExtrusionWidth</f>
        <v>3.75</v>
      </c>
      <c r="L44" s="2">
        <f>ExtrusionHeight</f>
        <v>2.8</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R-125</v>
      </c>
      <c r="I45" s="2" t="s">
        <v>100</v>
      </c>
      <c r="J45" s="2" t="s">
        <v>19</v>
      </c>
      <c r="K45" s="2">
        <f>ExtrusionWidth</f>
        <v>3.75</v>
      </c>
      <c r="L45" s="2">
        <f>ExtrusionHeight</f>
        <v>2.8</v>
      </c>
      <c r="M45" s="2"/>
      <c r="N45" s="2"/>
      <c r="O45" s="2"/>
      <c r="P45" s="2"/>
      <c r="Q45" s="2"/>
      <c r="S45" s="57"/>
      <c r="T45" s="57"/>
      <c r="U45" s="90"/>
    </row>
    <row r="46" spans="1:46" x14ac:dyDescent="0.25">
      <c r="A46" s="2">
        <v>8</v>
      </c>
      <c r="B46" s="2" t="s">
        <v>55</v>
      </c>
      <c r="C46" s="98" t="s">
        <v>623</v>
      </c>
      <c r="D46" s="2">
        <f>4*ExtrusionSpacing_L1</f>
        <v>20</v>
      </c>
      <c r="E46" s="2">
        <v>0</v>
      </c>
      <c r="F46" s="2">
        <v>0</v>
      </c>
      <c r="G46" s="2">
        <v>20</v>
      </c>
      <c r="H46" s="2"/>
      <c r="I46" s="2"/>
      <c r="J46" s="2"/>
      <c r="K46" s="2"/>
      <c r="L46" s="2"/>
      <c r="M46" s="2"/>
      <c r="N46" s="2"/>
      <c r="O46" s="2"/>
      <c r="P46" s="2"/>
      <c r="Q46" s="2"/>
      <c r="S46" s="5" t="s">
        <v>298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631</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589</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614</v>
      </c>
      <c r="C50" s="2" t="s">
        <v>18</v>
      </c>
      <c r="D50" s="2" t="s">
        <v>100</v>
      </c>
      <c r="E50" s="2" t="s">
        <v>100</v>
      </c>
      <c r="F50" s="2" t="s">
        <v>100</v>
      </c>
      <c r="G50" s="2">
        <f>50+ExtrusionSpacing_L1</f>
        <v>55</v>
      </c>
      <c r="H50" s="2">
        <f>50+Length+ExtrusionSpacing_L1</f>
        <v>180</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45</v>
      </c>
      <c r="E51" s="2">
        <f>StartY+Length+ExtrusionSpacing_L1</f>
        <v>230</v>
      </c>
      <c r="F51" s="2">
        <v>1E-4</v>
      </c>
      <c r="G51" s="2" t="s">
        <v>100</v>
      </c>
      <c r="H51" s="2" t="str">
        <f>CONCATENATE("R-", Length)</f>
        <v>R-125</v>
      </c>
      <c r="I51" s="2" t="s">
        <v>100</v>
      </c>
      <c r="J51" s="2" t="s">
        <v>19</v>
      </c>
      <c r="K51" s="2">
        <f>ExtrusionWidth</f>
        <v>3.75</v>
      </c>
      <c r="L51" s="2">
        <f>ExtrusionHeight</f>
        <v>2.8</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R5</v>
      </c>
      <c r="H52" s="2" t="s">
        <v>100</v>
      </c>
      <c r="I52" s="2" t="s">
        <v>100</v>
      </c>
      <c r="J52" s="2" t="s">
        <v>19</v>
      </c>
      <c r="K52" s="2">
        <f>ExtrusionWidth</f>
        <v>3.75</v>
      </c>
      <c r="L52" s="2">
        <f>ExtrusionHeight</f>
        <v>2.8</v>
      </c>
      <c r="M52" s="2"/>
      <c r="N52" s="2"/>
      <c r="O52" s="2"/>
      <c r="P52" s="2"/>
      <c r="Q52" s="2"/>
      <c r="S52" s="5" t="s">
        <v>108</v>
      </c>
      <c r="T52" s="122" t="s">
        <v>590</v>
      </c>
      <c r="U52" s="5"/>
      <c r="V52" s="122" t="s">
        <v>153</v>
      </c>
      <c r="W52" s="123" t="s">
        <v>354</v>
      </c>
      <c r="X52" s="137" t="s">
        <v>353</v>
      </c>
      <c r="Y52" s="24" t="s">
        <v>415</v>
      </c>
      <c r="Z52" s="126" t="s">
        <v>385</v>
      </c>
      <c r="AA52" s="127" t="s">
        <v>425</v>
      </c>
      <c r="AB52" s="127" t="s">
        <v>426</v>
      </c>
      <c r="AC52" s="134" t="s">
        <v>447</v>
      </c>
      <c r="AD52" s="135" t="s">
        <v>461</v>
      </c>
      <c r="AE52" s="136" t="s">
        <v>509</v>
      </c>
      <c r="AF52" s="138" t="s">
        <v>513</v>
      </c>
      <c r="AG52" s="132" t="s">
        <v>546</v>
      </c>
      <c r="AH52" s="139" t="s">
        <v>547</v>
      </c>
    </row>
    <row r="53" spans="1:34" x14ac:dyDescent="0.25">
      <c r="A53" s="2">
        <v>15</v>
      </c>
      <c r="B53" s="143" t="s">
        <v>1</v>
      </c>
      <c r="C53" s="2" t="s">
        <v>18</v>
      </c>
      <c r="D53" s="2" t="s">
        <v>100</v>
      </c>
      <c r="E53" s="2" t="s">
        <v>100</v>
      </c>
      <c r="F53" s="2" t="s">
        <v>100</v>
      </c>
      <c r="G53" s="2" t="s">
        <v>100</v>
      </c>
      <c r="H53" s="2" t="str" cm="1">
        <f t="array" ref="H53">CONCATENATE("R", Length)</f>
        <v>R125</v>
      </c>
      <c r="I53" s="2" t="s">
        <v>100</v>
      </c>
      <c r="J53" s="2" t="s">
        <v>19</v>
      </c>
      <c r="K53" s="2">
        <f>ExtrusionWidth</f>
        <v>3.75</v>
      </c>
      <c r="L53" s="2">
        <f>ExtrusionHeight</f>
        <v>2.8</v>
      </c>
      <c r="M53" s="2"/>
      <c r="N53" s="2"/>
      <c r="O53" s="2"/>
      <c r="P53" s="2"/>
      <c r="Q53" s="2"/>
      <c r="S53" s="5" t="s">
        <v>152</v>
      </c>
      <c r="T53" s="122" t="s">
        <v>590</v>
      </c>
      <c r="U53" s="5"/>
      <c r="V53" s="122" t="s">
        <v>125</v>
      </c>
      <c r="W53" s="123" t="s">
        <v>354</v>
      </c>
      <c r="X53" s="137" t="s">
        <v>353</v>
      </c>
      <c r="Y53" s="24" t="s">
        <v>415</v>
      </c>
      <c r="Z53" s="126" t="s">
        <v>385</v>
      </c>
      <c r="AA53" s="127" t="s">
        <v>425</v>
      </c>
      <c r="AB53" s="127" t="s">
        <v>426</v>
      </c>
      <c r="AC53" s="134" t="s">
        <v>447</v>
      </c>
      <c r="AD53" s="135" t="s">
        <v>461</v>
      </c>
      <c r="AE53" s="136" t="s">
        <v>509</v>
      </c>
      <c r="AF53" s="138" t="s">
        <v>513</v>
      </c>
      <c r="AG53" s="132" t="s">
        <v>546</v>
      </c>
      <c r="AH53" s="139" t="s">
        <v>547</v>
      </c>
    </row>
    <row r="54" spans="1:34" x14ac:dyDescent="0.25">
      <c r="A54" s="2">
        <v>16</v>
      </c>
      <c r="B54" s="143" t="s">
        <v>1</v>
      </c>
      <c r="C54" s="2" t="s">
        <v>18</v>
      </c>
      <c r="D54" s="2" t="s">
        <v>100</v>
      </c>
      <c r="E54" s="2" t="s">
        <v>100</v>
      </c>
      <c r="F54" s="2" t="s">
        <v>100</v>
      </c>
      <c r="G54" s="2" t="str">
        <f>CONCATENATE("R", 3*ExtrusionSpacing_L1)</f>
        <v>R15</v>
      </c>
      <c r="H54" s="2" t="s">
        <v>100</v>
      </c>
      <c r="I54" s="2" t="s">
        <v>100</v>
      </c>
      <c r="J54" s="2" t="s">
        <v>19</v>
      </c>
      <c r="K54" s="2">
        <f>ExtrusionWidth</f>
        <v>3.75</v>
      </c>
      <c r="L54" s="2">
        <f>ExtrusionHeight</f>
        <v>2.8</v>
      </c>
      <c r="M54" s="2"/>
      <c r="N54" s="2"/>
      <c r="O54" s="2"/>
      <c r="P54" s="2"/>
      <c r="Q54" s="2"/>
      <c r="S54" s="5" t="s">
        <v>167</v>
      </c>
      <c r="T54" s="5">
        <v>20</v>
      </c>
      <c r="U54" s="5" t="s">
        <v>44</v>
      </c>
    </row>
    <row r="55" spans="1:34" x14ac:dyDescent="0.25">
      <c r="A55" s="2">
        <v>17</v>
      </c>
      <c r="B55" s="143" t="s">
        <v>55</v>
      </c>
      <c r="C55" s="98" t="s">
        <v>622</v>
      </c>
      <c r="D55" s="2">
        <f>4*ExtrusionSpacing_L1</f>
        <v>20</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2</v>
      </c>
      <c r="F56" s="2">
        <v>10000</v>
      </c>
      <c r="G56" s="2"/>
      <c r="H56" s="2"/>
      <c r="I56" s="2"/>
      <c r="J56" s="2"/>
      <c r="K56" s="2"/>
      <c r="L56" s="2"/>
      <c r="M56" s="2"/>
      <c r="N56" s="2"/>
      <c r="O56" s="2"/>
      <c r="P56" s="2"/>
      <c r="Q56" s="2"/>
      <c r="S56" s="5" t="s">
        <v>169</v>
      </c>
      <c r="T56" s="5">
        <v>0.3</v>
      </c>
      <c r="U56" s="5" t="s">
        <v>44</v>
      </c>
    </row>
    <row r="57" spans="1:34" x14ac:dyDescent="0.25">
      <c r="A57" s="2">
        <v>19</v>
      </c>
      <c r="B57" s="142" t="s">
        <v>614</v>
      </c>
      <c r="C57" s="2" t="s">
        <v>18</v>
      </c>
      <c r="D57" s="2" t="s">
        <v>100</v>
      </c>
      <c r="E57" s="2" t="s">
        <v>100</v>
      </c>
      <c r="F57" s="2" t="s">
        <v>100</v>
      </c>
      <c r="G57" s="2">
        <f>50+ExtrusionSpacing_L1</f>
        <v>55</v>
      </c>
      <c r="H57" s="2">
        <f>50+Length+ExtrusionSpacing_L1</f>
        <v>180</v>
      </c>
      <c r="I57" s="2"/>
      <c r="J57" s="2" t="s">
        <v>23</v>
      </c>
      <c r="K57" s="2"/>
      <c r="L57" s="2"/>
      <c r="M57" s="2"/>
      <c r="N57" s="2"/>
      <c r="O57" s="2"/>
      <c r="P57" s="2"/>
      <c r="Q57" s="2"/>
      <c r="S57" s="78" t="s">
        <v>299</v>
      </c>
      <c r="T57" s="5">
        <v>0</v>
      </c>
      <c r="U57" s="5"/>
      <c r="V57" s="1"/>
    </row>
    <row r="58" spans="1:34" x14ac:dyDescent="0.25">
      <c r="A58" s="2">
        <v>20</v>
      </c>
      <c r="B58" s="143" t="s">
        <v>1</v>
      </c>
      <c r="C58" s="2" t="s">
        <v>18</v>
      </c>
      <c r="D58" s="2">
        <f>StartX+ExtrusionSpacing_L1</f>
        <v>45</v>
      </c>
      <c r="E58" s="2">
        <f>StartY+Length+ExtrusionSpacing_L1</f>
        <v>230</v>
      </c>
      <c r="F58" s="2" t="s">
        <v>100</v>
      </c>
      <c r="G58" s="2" t="s">
        <v>100</v>
      </c>
      <c r="H58" s="2" t="str">
        <f>CONCATENATE("R-", Length)</f>
        <v>R-125</v>
      </c>
      <c r="I58" s="2" t="s">
        <v>100</v>
      </c>
      <c r="J58" s="2" t="s">
        <v>19</v>
      </c>
      <c r="K58" s="2">
        <f>ExtrusionWidth</f>
        <v>3.75</v>
      </c>
      <c r="L58" s="2">
        <f>ExtrusionHeight</f>
        <v>2.8</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R5</v>
      </c>
      <c r="H59" s="2" t="s">
        <v>100</v>
      </c>
      <c r="I59" s="2" t="s">
        <v>100</v>
      </c>
      <c r="J59" s="2" t="s">
        <v>19</v>
      </c>
      <c r="K59" s="2">
        <f>ExtrusionWidth</f>
        <v>3.75</v>
      </c>
      <c r="L59" s="2">
        <f>ExtrusionHeight</f>
        <v>2.8</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R125</v>
      </c>
      <c r="I60" s="2" t="s">
        <v>100</v>
      </c>
      <c r="J60" s="2" t="s">
        <v>19</v>
      </c>
      <c r="K60" s="2">
        <f>ExtrusionWidth</f>
        <v>3.75</v>
      </c>
      <c r="L60" s="2">
        <f>ExtrusionHeight</f>
        <v>2.8</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R15</v>
      </c>
      <c r="H61" s="2" t="s">
        <v>100</v>
      </c>
      <c r="I61" s="2" t="s">
        <v>100</v>
      </c>
      <c r="J61" s="2" t="s">
        <v>19</v>
      </c>
      <c r="K61" s="2">
        <f>ExtrusionWidth</f>
        <v>3.75</v>
      </c>
      <c r="L61" s="2">
        <f>ExtrusionHeight</f>
        <v>2.8</v>
      </c>
      <c r="M61" s="2"/>
      <c r="N61" s="2"/>
      <c r="O61" s="2"/>
      <c r="P61" s="2"/>
      <c r="Q61" s="2"/>
      <c r="S61" s="5" t="s">
        <v>161</v>
      </c>
      <c r="T61" s="5">
        <v>2500</v>
      </c>
      <c r="U61" s="5" t="s">
        <v>45</v>
      </c>
    </row>
    <row r="62" spans="1:34" x14ac:dyDescent="0.25">
      <c r="A62" s="2">
        <v>24</v>
      </c>
      <c r="B62" s="143" t="s">
        <v>55</v>
      </c>
      <c r="C62" s="98" t="s">
        <v>630</v>
      </c>
      <c r="D62" s="2">
        <f>4*ExtrusionSpacing_L1</f>
        <v>20</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631</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589</v>
      </c>
      <c r="D65" s="2"/>
      <c r="E65" s="2"/>
      <c r="F65" s="2"/>
      <c r="G65" s="2"/>
      <c r="H65" s="2"/>
      <c r="I65" s="2"/>
      <c r="J65" s="2"/>
      <c r="K65" s="2"/>
      <c r="L65" s="2"/>
      <c r="M65" s="2"/>
      <c r="N65" s="2"/>
      <c r="O65" s="2"/>
      <c r="P65" s="2"/>
      <c r="Q65" s="2"/>
      <c r="S65" s="3" t="s">
        <v>165</v>
      </c>
      <c r="T65" s="3">
        <v>10000</v>
      </c>
      <c r="U65" s="5" t="s">
        <v>45</v>
      </c>
    </row>
    <row r="66" spans="1:46" x14ac:dyDescent="0.25">
      <c r="A66" s="2">
        <v>28</v>
      </c>
      <c r="B66" s="142" t="s">
        <v>614</v>
      </c>
      <c r="C66" s="2" t="s">
        <v>18</v>
      </c>
      <c r="D66" s="2" t="s">
        <v>100</v>
      </c>
      <c r="E66" s="2" t="s">
        <v>100</v>
      </c>
      <c r="F66" s="2" t="s">
        <v>100</v>
      </c>
      <c r="G66" s="2">
        <v>50</v>
      </c>
      <c r="H66" s="2">
        <v>50</v>
      </c>
      <c r="I66" s="2">
        <f>LayerHeight</f>
        <v>2</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40</v>
      </c>
      <c r="E67" s="2">
        <f>StartY</f>
        <v>100</v>
      </c>
      <c r="F67" s="2">
        <f>LayerHeight</f>
        <v>2</v>
      </c>
      <c r="G67" s="2" t="str">
        <f>CONCATENATE("R", 3*ExtrusionSpacing_L1)</f>
        <v>R15</v>
      </c>
      <c r="H67" s="2" t="s">
        <v>100</v>
      </c>
      <c r="I67" s="2" t="s">
        <v>100</v>
      </c>
      <c r="J67" s="2" t="s">
        <v>19</v>
      </c>
      <c r="K67" s="2">
        <f>ExtrusionWidth</f>
        <v>3.75</v>
      </c>
      <c r="L67" s="2">
        <f>ExtrusionHeight</f>
        <v>2.8</v>
      </c>
      <c r="M67" s="2"/>
      <c r="N67" s="2"/>
      <c r="O67" s="143"/>
      <c r="P67" s="2"/>
      <c r="Q67" s="2"/>
      <c r="S67" s="96" t="s">
        <v>252</v>
      </c>
      <c r="T67" s="96" t="s">
        <v>253</v>
      </c>
      <c r="U67" s="97" t="s">
        <v>291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R125</v>
      </c>
      <c r="I68" s="2" t="s">
        <v>100</v>
      </c>
      <c r="J68" s="2" t="s">
        <v>19</v>
      </c>
      <c r="K68" s="2">
        <f>ExtrusionWidth</f>
        <v>3.75</v>
      </c>
      <c r="L68" s="2">
        <f>ExtrusionHeight</f>
        <v>2.8</v>
      </c>
      <c r="M68" s="2"/>
      <c r="N68" s="2"/>
      <c r="O68" s="2"/>
      <c r="P68" s="2"/>
      <c r="Q68" s="2"/>
      <c r="R68" s="29"/>
      <c r="S68" s="75" t="s">
        <v>618</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R5</v>
      </c>
      <c r="H69" s="2" t="s">
        <v>100</v>
      </c>
      <c r="I69" s="2" t="s">
        <v>100</v>
      </c>
      <c r="J69" s="2" t="s">
        <v>19</v>
      </c>
      <c r="K69" s="2">
        <f>ExtrusionWidth</f>
        <v>3.75</v>
      </c>
      <c r="L69" s="2">
        <f>ExtrusionHeight</f>
        <v>2.8</v>
      </c>
      <c r="M69" s="2"/>
      <c r="N69" s="2"/>
      <c r="O69" s="2"/>
      <c r="P69" s="2"/>
      <c r="Q69" s="2"/>
      <c r="R69" s="29"/>
      <c r="S69" s="75" t="s">
        <v>617</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R-125</v>
      </c>
      <c r="I70" s="2" t="s">
        <v>100</v>
      </c>
      <c r="J70" s="2" t="s">
        <v>19</v>
      </c>
      <c r="K70" s="2">
        <f>ExtrusionWidth</f>
        <v>3.75</v>
      </c>
      <c r="L70" s="2">
        <f>ExtrusionHeight</f>
        <v>2.8</v>
      </c>
      <c r="M70" s="2"/>
      <c r="N70" s="2"/>
      <c r="O70" s="2"/>
      <c r="P70" s="2"/>
      <c r="Q70" s="2"/>
      <c r="S70" s="75" t="s">
        <v>628</v>
      </c>
      <c r="T70" s="75">
        <v>1.2</v>
      </c>
      <c r="U70" s="92" t="s">
        <v>109</v>
      </c>
    </row>
    <row r="71" spans="1:46" x14ac:dyDescent="0.25">
      <c r="A71" s="2">
        <v>33</v>
      </c>
      <c r="B71" s="2" t="s">
        <v>55</v>
      </c>
      <c r="C71" s="98" t="s">
        <v>632</v>
      </c>
      <c r="D71" s="2">
        <f>4*ExtrusionSpacing_L1</f>
        <v>20</v>
      </c>
      <c r="E71" s="2">
        <v>0</v>
      </c>
      <c r="F71" s="2">
        <v>0</v>
      </c>
      <c r="G71" s="2">
        <v>20</v>
      </c>
      <c r="H71" s="2"/>
      <c r="I71" s="2"/>
      <c r="J71" s="2"/>
      <c r="K71" s="2"/>
      <c r="L71" s="2"/>
      <c r="M71" s="2"/>
      <c r="N71" s="2"/>
      <c r="O71" s="2"/>
      <c r="P71" s="2"/>
      <c r="Q71" s="2"/>
      <c r="S71" s="75" t="s">
        <v>629</v>
      </c>
      <c r="T71" s="75">
        <v>0.9</v>
      </c>
      <c r="U71" s="92" t="s">
        <v>109</v>
      </c>
      <c r="AO71" t="s">
        <v>130</v>
      </c>
      <c r="AP71" t="s">
        <v>625</v>
      </c>
      <c r="AQ71" t="s">
        <v>129</v>
      </c>
      <c r="AR71" t="s">
        <v>624</v>
      </c>
      <c r="AS71" t="s">
        <v>128</v>
      </c>
      <c r="AT71" t="s">
        <v>572</v>
      </c>
    </row>
    <row r="72" spans="1:46" x14ac:dyDescent="0.25">
      <c r="A72" s="2">
        <v>34</v>
      </c>
      <c r="B72" s="143" t="s">
        <v>39</v>
      </c>
      <c r="C72" s="2">
        <v>1.25</v>
      </c>
      <c r="D72" s="2">
        <v>2100</v>
      </c>
      <c r="E72" s="2">
        <f>LayerHeight</f>
        <v>2</v>
      </c>
      <c r="F72" s="2">
        <v>10000</v>
      </c>
      <c r="G72" s="2"/>
      <c r="H72" s="2"/>
      <c r="I72" s="2"/>
      <c r="J72" s="2"/>
      <c r="K72" s="2"/>
      <c r="L72" s="2"/>
      <c r="M72" s="2"/>
      <c r="N72" s="2"/>
      <c r="O72" s="2"/>
      <c r="P72" s="2"/>
      <c r="Q72" s="2"/>
      <c r="S72" s="75" t="s">
        <v>599</v>
      </c>
      <c r="T72" s="75" t="s">
        <v>427</v>
      </c>
      <c r="U72" s="92" t="s">
        <v>109</v>
      </c>
    </row>
    <row r="73" spans="1:46" x14ac:dyDescent="0.25">
      <c r="A73" s="2">
        <v>35</v>
      </c>
      <c r="B73" s="143" t="s">
        <v>55</v>
      </c>
      <c r="C73" s="2" t="s">
        <v>633</v>
      </c>
      <c r="D73" s="2">
        <v>0</v>
      </c>
      <c r="E73" s="2">
        <v>0</v>
      </c>
      <c r="F73" s="2">
        <f>2*LayerHeight</f>
        <v>4</v>
      </c>
      <c r="G73" s="2">
        <v>20</v>
      </c>
      <c r="H73" s="2"/>
      <c r="I73" s="2"/>
      <c r="J73" s="2"/>
      <c r="K73" s="2"/>
      <c r="L73" s="2"/>
      <c r="M73" s="2"/>
      <c r="N73" s="2"/>
      <c r="O73" s="2"/>
      <c r="P73" s="2"/>
      <c r="Q73" s="2"/>
      <c r="R73" s="80"/>
      <c r="S73" s="75" t="s">
        <v>269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634</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231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232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637</v>
      </c>
      <c r="C80" s="58" t="s">
        <v>128</v>
      </c>
      <c r="D80" s="2" t="s">
        <v>572</v>
      </c>
      <c r="U80" s="89"/>
      <c r="AO80" t="s">
        <v>130</v>
      </c>
      <c r="AP80" t="s">
        <v>638</v>
      </c>
      <c r="AQ80" t="s">
        <v>129</v>
      </c>
      <c r="AR80" t="s">
        <v>637</v>
      </c>
      <c r="AS80" t="s">
        <v>128</v>
      </c>
      <c r="AT80" t="s">
        <v>572</v>
      </c>
    </row>
    <row r="81" spans="1:34" x14ac:dyDescent="0.25">
      <c r="A81" s="40" t="s">
        <v>0</v>
      </c>
      <c r="B81" s="2"/>
      <c r="C81" s="2"/>
      <c r="D81" s="2"/>
      <c r="E81" s="2"/>
      <c r="F81" s="2"/>
      <c r="G81" s="2"/>
      <c r="H81" s="2"/>
      <c r="I81" s="2"/>
      <c r="J81" s="2"/>
      <c r="K81" s="2"/>
      <c r="L81" s="2"/>
      <c r="M81" s="2"/>
      <c r="N81" s="2"/>
      <c r="O81" s="2"/>
      <c r="P81" s="2"/>
      <c r="Q81" s="58" t="s">
        <v>249</v>
      </c>
      <c r="U81" s="89"/>
    </row>
    <row r="82" spans="1:34" x14ac:dyDescent="0.25">
      <c r="A82" s="2">
        <v>1</v>
      </c>
      <c r="B82" s="142" t="s">
        <v>614</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621</v>
      </c>
      <c r="C83" s="2" t="s">
        <v>203</v>
      </c>
      <c r="D83" s="2">
        <v>0</v>
      </c>
      <c r="E83" s="2"/>
      <c r="F83" s="2"/>
      <c r="G83" s="2"/>
      <c r="H83" s="2"/>
      <c r="I83" s="2"/>
      <c r="J83" s="2"/>
      <c r="K83" s="2"/>
      <c r="L83" s="2"/>
      <c r="M83" s="2"/>
      <c r="N83" s="2"/>
      <c r="O83" s="2"/>
      <c r="P83" s="2"/>
      <c r="Q83" s="2" t="s">
        <v>616</v>
      </c>
      <c r="S83" s="5" t="s">
        <v>98</v>
      </c>
      <c r="T83" s="5">
        <v>0.55000000000000004</v>
      </c>
      <c r="U83" s="5" t="s">
        <v>44</v>
      </c>
    </row>
    <row r="84" spans="1:34" x14ac:dyDescent="0.25">
      <c r="A84" s="2">
        <v>3</v>
      </c>
      <c r="B84" s="142" t="s">
        <v>614</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40</v>
      </c>
      <c r="E85" s="2">
        <f>StartY</f>
        <v>100</v>
      </c>
      <c r="F85" s="2">
        <v>0</v>
      </c>
      <c r="G85" s="2" t="str">
        <f>CONCATENATE("R", 3*ExtrusionSpacing_L1)</f>
        <v>R15</v>
      </c>
      <c r="H85" s="2" t="s">
        <v>100</v>
      </c>
      <c r="I85" s="2" t="s">
        <v>100</v>
      </c>
      <c r="J85" s="2" t="s">
        <v>19</v>
      </c>
      <c r="K85" s="2">
        <f>ExtrusionWidth</f>
        <v>3.75</v>
      </c>
      <c r="L85" s="2">
        <f>ExtrusionHeight</f>
        <v>2.8</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R125</v>
      </c>
      <c r="I86" s="2" t="s">
        <v>100</v>
      </c>
      <c r="J86" s="2" t="s">
        <v>19</v>
      </c>
      <c r="K86" s="2">
        <f>ExtrusionWidth</f>
        <v>3.75</v>
      </c>
      <c r="L86" s="2">
        <f>ExtrusionHeight</f>
        <v>2.8</v>
      </c>
      <c r="M86" s="2"/>
      <c r="N86" s="2"/>
      <c r="O86" s="2"/>
      <c r="P86" s="2"/>
      <c r="Q86" s="2"/>
      <c r="S86" s="5" t="s">
        <v>193</v>
      </c>
      <c r="T86" s="5" t="s">
        <v>204</v>
      </c>
      <c r="U86" s="5"/>
      <c r="V86" s="5" t="s">
        <v>204</v>
      </c>
      <c r="W86" s="5" t="s">
        <v>204</v>
      </c>
      <c r="X86" s="5" t="s">
        <v>204</v>
      </c>
      <c r="Y86" s="5" t="s">
        <v>204</v>
      </c>
      <c r="Z86" s="5" t="s">
        <v>204</v>
      </c>
      <c r="AA86" s="5" t="s">
        <v>204</v>
      </c>
      <c r="AB86" s="127" t="s">
        <v>426</v>
      </c>
      <c r="AC86" s="128" t="s">
        <v>441</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R5</v>
      </c>
      <c r="H87" s="2" t="s">
        <v>100</v>
      </c>
      <c r="I87" s="2" t="s">
        <v>100</v>
      </c>
      <c r="J87" s="2" t="s">
        <v>19</v>
      </c>
      <c r="K87" s="2">
        <f>ExtrusionWidth</f>
        <v>3.75</v>
      </c>
      <c r="L87" s="2">
        <f>ExtrusionHeight</f>
        <v>2.8</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R-125</v>
      </c>
      <c r="I88" s="2" t="s">
        <v>100</v>
      </c>
      <c r="J88" s="2" t="s">
        <v>19</v>
      </c>
      <c r="K88" s="2">
        <f>ExtrusionWidth</f>
        <v>3.75</v>
      </c>
      <c r="L88" s="2">
        <f>ExtrusionHeight</f>
        <v>2.8</v>
      </c>
      <c r="M88" s="2"/>
      <c r="N88" s="2"/>
      <c r="O88" s="2"/>
      <c r="P88" s="2"/>
      <c r="Q88" s="2"/>
      <c r="S88" s="57"/>
      <c r="T88" s="57"/>
      <c r="U88" s="90"/>
    </row>
    <row r="89" spans="1:34" x14ac:dyDescent="0.25">
      <c r="A89" s="2">
        <v>8</v>
      </c>
      <c r="B89" s="2" t="s">
        <v>55</v>
      </c>
      <c r="C89" s="98" t="s">
        <v>623</v>
      </c>
      <c r="D89" s="2">
        <f>4*ExtrusionSpacing_L1</f>
        <v>20</v>
      </c>
      <c r="E89" s="2">
        <v>0</v>
      </c>
      <c r="F89" s="2">
        <v>0</v>
      </c>
      <c r="G89" s="2">
        <v>20</v>
      </c>
      <c r="H89" s="2"/>
      <c r="I89" s="2"/>
      <c r="J89" s="2"/>
      <c r="K89" s="2"/>
      <c r="L89" s="2"/>
      <c r="M89" s="2"/>
      <c r="N89" s="2"/>
      <c r="O89" s="2"/>
      <c r="P89" s="2"/>
      <c r="Q89" s="2"/>
      <c r="S89" s="5" t="s">
        <v>298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631</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589</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614</v>
      </c>
      <c r="C93" s="2" t="s">
        <v>18</v>
      </c>
      <c r="D93" s="2" t="s">
        <v>100</v>
      </c>
      <c r="E93" s="2" t="s">
        <v>100</v>
      </c>
      <c r="F93" s="2" t="s">
        <v>100</v>
      </c>
      <c r="G93" s="2">
        <f>50+ExtrusionSpacing_L1</f>
        <v>55</v>
      </c>
      <c r="H93" s="2">
        <f>50+Length+ExtrusionSpacing_L1</f>
        <v>180</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45</v>
      </c>
      <c r="E94" s="2">
        <f>StartY+Length+ExtrusionSpacing_L1</f>
        <v>230</v>
      </c>
      <c r="F94" s="2">
        <v>1E-4</v>
      </c>
      <c r="G94" s="2" t="s">
        <v>100</v>
      </c>
      <c r="H94" s="2" t="str">
        <f>CONCATENATE("R-", Length)</f>
        <v>R-125</v>
      </c>
      <c r="I94" s="2" t="s">
        <v>100</v>
      </c>
      <c r="J94" s="2" t="s">
        <v>19</v>
      </c>
      <c r="K94" s="2">
        <f>ExtrusionWidth</f>
        <v>3.75</v>
      </c>
      <c r="L94" s="2">
        <f>ExtrusionHeight</f>
        <v>2.8</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R5</v>
      </c>
      <c r="H95" s="2" t="s">
        <v>100</v>
      </c>
      <c r="I95" s="2" t="s">
        <v>100</v>
      </c>
      <c r="J95" s="2" t="s">
        <v>19</v>
      </c>
      <c r="K95" s="2">
        <f>ExtrusionWidth</f>
        <v>3.75</v>
      </c>
      <c r="L95" s="2">
        <f>ExtrusionHeight</f>
        <v>2.8</v>
      </c>
      <c r="M95" s="2"/>
      <c r="N95" s="2"/>
      <c r="O95" s="2"/>
      <c r="P95" s="2"/>
      <c r="Q95" s="2"/>
      <c r="S95" s="5" t="s">
        <v>108</v>
      </c>
      <c r="T95" s="122" t="s">
        <v>590</v>
      </c>
      <c r="U95" s="5"/>
      <c r="V95" s="122" t="s">
        <v>153</v>
      </c>
      <c r="W95" s="123" t="s">
        <v>354</v>
      </c>
      <c r="X95" s="137" t="s">
        <v>353</v>
      </c>
      <c r="Y95" s="24" t="s">
        <v>415</v>
      </c>
      <c r="Z95" s="126" t="s">
        <v>385</v>
      </c>
      <c r="AA95" s="127" t="s">
        <v>425</v>
      </c>
      <c r="AB95" s="127" t="s">
        <v>426</v>
      </c>
      <c r="AC95" s="134" t="s">
        <v>447</v>
      </c>
      <c r="AD95" s="135" t="s">
        <v>461</v>
      </c>
      <c r="AE95" s="136" t="s">
        <v>509</v>
      </c>
      <c r="AF95" s="138" t="s">
        <v>513</v>
      </c>
      <c r="AG95" s="132" t="s">
        <v>546</v>
      </c>
      <c r="AH95" s="139" t="s">
        <v>547</v>
      </c>
    </row>
    <row r="96" spans="1:34" x14ac:dyDescent="0.25">
      <c r="A96" s="2">
        <v>15</v>
      </c>
      <c r="B96" s="143" t="s">
        <v>1</v>
      </c>
      <c r="C96" s="2" t="s">
        <v>18</v>
      </c>
      <c r="D96" s="2" t="s">
        <v>100</v>
      </c>
      <c r="E96" s="2" t="s">
        <v>100</v>
      </c>
      <c r="F96" s="2" t="s">
        <v>100</v>
      </c>
      <c r="G96" s="2" t="s">
        <v>100</v>
      </c>
      <c r="H96" s="2" t="str" cm="1">
        <f t="array" ref="H96">CONCATENATE("R", Length)</f>
        <v>R125</v>
      </c>
      <c r="I96" s="2" t="s">
        <v>100</v>
      </c>
      <c r="J96" s="2" t="s">
        <v>19</v>
      </c>
      <c r="K96" s="2">
        <f>ExtrusionWidth</f>
        <v>3.75</v>
      </c>
      <c r="L96" s="2">
        <f>ExtrusionHeight</f>
        <v>2.8</v>
      </c>
      <c r="M96" s="2"/>
      <c r="N96" s="2"/>
      <c r="O96" s="2"/>
      <c r="P96" s="2"/>
      <c r="Q96" s="2"/>
      <c r="S96" s="5" t="s">
        <v>152</v>
      </c>
      <c r="T96" s="122" t="s">
        <v>590</v>
      </c>
      <c r="U96" s="5"/>
      <c r="V96" s="122" t="s">
        <v>125</v>
      </c>
      <c r="W96" s="123" t="s">
        <v>354</v>
      </c>
      <c r="X96" s="137" t="s">
        <v>353</v>
      </c>
      <c r="Y96" s="24" t="s">
        <v>415</v>
      </c>
      <c r="Z96" s="126" t="s">
        <v>385</v>
      </c>
      <c r="AA96" s="127" t="s">
        <v>425</v>
      </c>
      <c r="AB96" s="127" t="s">
        <v>426</v>
      </c>
      <c r="AC96" s="134" t="s">
        <v>447</v>
      </c>
      <c r="AD96" s="135" t="s">
        <v>461</v>
      </c>
      <c r="AE96" s="136" t="s">
        <v>509</v>
      </c>
      <c r="AF96" s="138" t="s">
        <v>513</v>
      </c>
      <c r="AG96" s="132" t="s">
        <v>546</v>
      </c>
      <c r="AH96" s="139" t="s">
        <v>547</v>
      </c>
    </row>
    <row r="97" spans="1:40" x14ac:dyDescent="0.25">
      <c r="A97" s="2">
        <v>16</v>
      </c>
      <c r="B97" s="143" t="s">
        <v>1</v>
      </c>
      <c r="C97" s="2" t="s">
        <v>18</v>
      </c>
      <c r="D97" s="2" t="s">
        <v>100</v>
      </c>
      <c r="E97" s="2" t="s">
        <v>100</v>
      </c>
      <c r="F97" s="2" t="s">
        <v>100</v>
      </c>
      <c r="G97" s="2" t="str">
        <f>CONCATENATE("R", 3*ExtrusionSpacing_L1)</f>
        <v>R15</v>
      </c>
      <c r="H97" s="2" t="s">
        <v>100</v>
      </c>
      <c r="I97" s="2" t="s">
        <v>100</v>
      </c>
      <c r="J97" s="2" t="s">
        <v>19</v>
      </c>
      <c r="K97" s="2">
        <f>ExtrusionWidth</f>
        <v>3.75</v>
      </c>
      <c r="L97" s="2">
        <f>ExtrusionHeight</f>
        <v>2.8</v>
      </c>
      <c r="M97" s="2"/>
      <c r="N97" s="2"/>
      <c r="O97" s="2"/>
      <c r="P97" s="2"/>
      <c r="Q97" s="2"/>
      <c r="S97" s="5" t="s">
        <v>167</v>
      </c>
      <c r="T97" s="5">
        <v>20</v>
      </c>
      <c r="U97" s="5" t="s">
        <v>44</v>
      </c>
    </row>
    <row r="98" spans="1:40" x14ac:dyDescent="0.25">
      <c r="A98" s="2">
        <v>17</v>
      </c>
      <c r="B98" s="143" t="s">
        <v>55</v>
      </c>
      <c r="C98" s="98" t="s">
        <v>622</v>
      </c>
      <c r="D98" s="2">
        <f>4*ExtrusionSpacing_L1</f>
        <v>20</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2</v>
      </c>
      <c r="F99" s="2">
        <v>10000</v>
      </c>
      <c r="G99" s="2"/>
      <c r="H99" s="2"/>
      <c r="I99" s="2"/>
      <c r="J99" s="2"/>
      <c r="K99" s="2"/>
      <c r="L99" s="2"/>
      <c r="M99" s="2"/>
      <c r="N99" s="2"/>
      <c r="O99" s="2"/>
      <c r="P99" s="2"/>
      <c r="Q99" s="2"/>
      <c r="S99" s="5" t="s">
        <v>169</v>
      </c>
      <c r="T99" s="5">
        <v>0.3</v>
      </c>
      <c r="U99" s="5" t="s">
        <v>44</v>
      </c>
    </row>
    <row r="100" spans="1:40" x14ac:dyDescent="0.25">
      <c r="A100" s="2">
        <v>19</v>
      </c>
      <c r="B100" s="142" t="s">
        <v>614</v>
      </c>
      <c r="C100" s="2" t="s">
        <v>18</v>
      </c>
      <c r="D100" s="2" t="s">
        <v>100</v>
      </c>
      <c r="E100" s="2" t="s">
        <v>100</v>
      </c>
      <c r="F100" s="2" t="s">
        <v>100</v>
      </c>
      <c r="G100" s="2">
        <f>50+ExtrusionSpacing_L1</f>
        <v>55</v>
      </c>
      <c r="H100" s="2">
        <f>50+Length+ExtrusionSpacing_L1</f>
        <v>180</v>
      </c>
      <c r="I100" s="2"/>
      <c r="J100" s="2" t="s">
        <v>23</v>
      </c>
      <c r="K100" s="2"/>
      <c r="L100" s="2"/>
      <c r="M100" s="2"/>
      <c r="N100" s="2"/>
      <c r="O100" s="2"/>
      <c r="P100" s="2"/>
      <c r="Q100" s="2"/>
      <c r="S100" s="78" t="s">
        <v>299</v>
      </c>
      <c r="T100" s="5">
        <v>0</v>
      </c>
      <c r="U100" s="5"/>
      <c r="V100" s="1"/>
    </row>
    <row r="101" spans="1:40" x14ac:dyDescent="0.25">
      <c r="A101" s="2">
        <v>20</v>
      </c>
      <c r="B101" s="2" t="s">
        <v>1</v>
      </c>
      <c r="C101" s="2" t="s">
        <v>18</v>
      </c>
      <c r="D101" s="2" cm="1">
        <f t="array" ref="D101">StartX</f>
        <v>40</v>
      </c>
      <c r="E101" s="2">
        <f>StartY</f>
        <v>100</v>
      </c>
      <c r="F101" s="2" t="s">
        <v>100</v>
      </c>
      <c r="G101" s="2" t="str">
        <f>CONCATENATE("R", 3*ExtrusionSpacing_L1)</f>
        <v>R15</v>
      </c>
      <c r="H101" s="2" t="s">
        <v>100</v>
      </c>
      <c r="I101" s="2" t="s">
        <v>100</v>
      </c>
      <c r="J101" s="2" t="s">
        <v>19</v>
      </c>
      <c r="K101" s="2">
        <f>ExtrusionWidth</f>
        <v>3.75</v>
      </c>
      <c r="L101" s="2">
        <f>ExtrusionHeight</f>
        <v>2.8</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R125</v>
      </c>
      <c r="I102" s="2" t="s">
        <v>100</v>
      </c>
      <c r="J102" s="2" t="s">
        <v>19</v>
      </c>
      <c r="K102" s="2">
        <f>ExtrusionWidth</f>
        <v>3.75</v>
      </c>
      <c r="L102" s="2">
        <f>ExtrusionHeight</f>
        <v>2.8</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R5</v>
      </c>
      <c r="H103" s="2" t="s">
        <v>100</v>
      </c>
      <c r="I103" s="2" t="s">
        <v>100</v>
      </c>
      <c r="J103" s="2" t="s">
        <v>19</v>
      </c>
      <c r="K103" s="2">
        <f>ExtrusionWidth</f>
        <v>3.75</v>
      </c>
      <c r="L103" s="2">
        <f>ExtrusionHeight</f>
        <v>2.8</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R-125</v>
      </c>
      <c r="I104" s="2" t="s">
        <v>100</v>
      </c>
      <c r="J104" s="2" t="s">
        <v>19</v>
      </c>
      <c r="K104" s="2">
        <f>ExtrusionWidth</f>
        <v>3.75</v>
      </c>
      <c r="L104" s="2">
        <f>ExtrusionHeight</f>
        <v>2.8</v>
      </c>
      <c r="M104" s="2"/>
      <c r="N104" s="2"/>
      <c r="O104" s="2"/>
      <c r="P104" s="2"/>
      <c r="Q104" s="2"/>
      <c r="S104" s="5" t="s">
        <v>161</v>
      </c>
      <c r="T104" s="5">
        <v>2500</v>
      </c>
      <c r="U104" s="5" t="s">
        <v>45</v>
      </c>
    </row>
    <row r="105" spans="1:40" x14ac:dyDescent="0.25">
      <c r="A105" s="2">
        <v>24</v>
      </c>
      <c r="B105" s="143" t="s">
        <v>55</v>
      </c>
      <c r="C105" s="98" t="s">
        <v>630</v>
      </c>
      <c r="D105" s="2">
        <f>4*ExtrusionSpacing_L1</f>
        <v>20</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631</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589</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614</v>
      </c>
      <c r="C109" s="2" t="s">
        <v>18</v>
      </c>
      <c r="D109" s="2" t="s">
        <v>100</v>
      </c>
      <c r="E109" s="2" t="s">
        <v>100</v>
      </c>
      <c r="F109" s="2" t="s">
        <v>100</v>
      </c>
      <c r="G109" s="2">
        <v>50</v>
      </c>
      <c r="H109" s="2">
        <v>50</v>
      </c>
      <c r="I109" s="2">
        <f>LayerHeight</f>
        <v>2</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45</v>
      </c>
      <c r="E110" s="2">
        <f>StartY+Length+ExtrusionSpacing_L1</f>
        <v>230</v>
      </c>
      <c r="F110" s="2">
        <v>0.9</v>
      </c>
      <c r="G110" s="2" t="s">
        <v>100</v>
      </c>
      <c r="H110" s="2" t="str">
        <f>CONCATENATE("R-", Length)</f>
        <v>R-125</v>
      </c>
      <c r="I110" s="2" t="s">
        <v>100</v>
      </c>
      <c r="J110" s="2" t="s">
        <v>19</v>
      </c>
      <c r="K110" s="2">
        <f>ExtrusionWidth</f>
        <v>3.75</v>
      </c>
      <c r="L110" s="2">
        <f>ExtrusionHeight</f>
        <v>2.8</v>
      </c>
      <c r="M110" s="2"/>
      <c r="N110" s="2"/>
      <c r="O110" s="143"/>
      <c r="P110" s="2"/>
      <c r="Q110" s="2"/>
      <c r="S110" s="96" t="s">
        <v>252</v>
      </c>
      <c r="T110" s="96" t="s">
        <v>253</v>
      </c>
      <c r="U110" s="97" t="s">
        <v>291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R5</v>
      </c>
      <c r="H111" s="2" t="s">
        <v>100</v>
      </c>
      <c r="I111" s="2" t="s">
        <v>100</v>
      </c>
      <c r="J111" s="2" t="s">
        <v>19</v>
      </c>
      <c r="K111" s="2">
        <f>ExtrusionWidth</f>
        <v>3.75</v>
      </c>
      <c r="L111" s="2">
        <f>ExtrusionHeight</f>
        <v>2.8</v>
      </c>
      <c r="M111" s="2"/>
      <c r="N111" s="2"/>
      <c r="O111" s="2"/>
      <c r="P111" s="2"/>
      <c r="Q111" s="2"/>
      <c r="R111" s="29"/>
      <c r="S111" s="75" t="s">
        <v>618</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R125</v>
      </c>
      <c r="I112" s="2" t="s">
        <v>100</v>
      </c>
      <c r="J112" s="2" t="s">
        <v>19</v>
      </c>
      <c r="K112" s="2">
        <f>ExtrusionWidth</f>
        <v>3.75</v>
      </c>
      <c r="L112" s="2">
        <f>ExtrusionHeight</f>
        <v>2.8</v>
      </c>
      <c r="M112" s="2"/>
      <c r="N112" s="2"/>
      <c r="O112" s="2"/>
      <c r="P112" s="2"/>
      <c r="Q112" s="2"/>
      <c r="R112" s="29"/>
      <c r="S112" s="75" t="s">
        <v>617</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R15</v>
      </c>
      <c r="H113" s="2" t="s">
        <v>100</v>
      </c>
      <c r="I113" s="2" t="s">
        <v>100</v>
      </c>
      <c r="J113" s="2" t="s">
        <v>19</v>
      </c>
      <c r="K113" s="2">
        <f>ExtrusionWidth</f>
        <v>3.75</v>
      </c>
      <c r="L113" s="2">
        <f>ExtrusionHeight</f>
        <v>2.8</v>
      </c>
      <c r="M113" s="2"/>
      <c r="N113" s="2"/>
      <c r="O113" s="2"/>
      <c r="P113" s="2"/>
      <c r="Q113" s="2"/>
      <c r="S113" s="75" t="s">
        <v>628</v>
      </c>
      <c r="T113" s="75">
        <v>1.2</v>
      </c>
      <c r="U113" s="92" t="s">
        <v>109</v>
      </c>
    </row>
    <row r="114" spans="1:46" x14ac:dyDescent="0.25">
      <c r="A114" s="2">
        <v>33</v>
      </c>
      <c r="B114" s="2" t="s">
        <v>55</v>
      </c>
      <c r="C114" s="98" t="s">
        <v>632</v>
      </c>
      <c r="D114" s="2">
        <f>4*ExtrusionSpacing_L1</f>
        <v>20</v>
      </c>
      <c r="E114" s="2">
        <v>0</v>
      </c>
      <c r="F114" s="2">
        <v>0</v>
      </c>
      <c r="G114" s="2">
        <v>20</v>
      </c>
      <c r="H114" s="2"/>
      <c r="I114" s="2"/>
      <c r="J114" s="2"/>
      <c r="K114" s="2"/>
      <c r="L114" s="2"/>
      <c r="M114" s="2"/>
      <c r="N114" s="2"/>
      <c r="O114" s="2"/>
      <c r="P114" s="2"/>
      <c r="Q114" s="2"/>
      <c r="S114" s="75" t="s">
        <v>629</v>
      </c>
      <c r="T114" s="75">
        <v>0.9</v>
      </c>
      <c r="U114" s="92" t="s">
        <v>109</v>
      </c>
      <c r="AO114" t="s">
        <v>130</v>
      </c>
      <c r="AP114" t="s">
        <v>627</v>
      </c>
      <c r="AQ114" t="s">
        <v>129</v>
      </c>
      <c r="AR114" t="s">
        <v>626</v>
      </c>
      <c r="AS114" t="s">
        <v>128</v>
      </c>
      <c r="AT114" t="s">
        <v>572</v>
      </c>
    </row>
    <row r="115" spans="1:46" x14ac:dyDescent="0.25">
      <c r="A115" s="2">
        <v>34</v>
      </c>
      <c r="B115" s="143" t="s">
        <v>39</v>
      </c>
      <c r="C115" s="2">
        <v>1.25</v>
      </c>
      <c r="D115" s="2">
        <v>2100</v>
      </c>
      <c r="E115" s="2">
        <f>LayerHeight</f>
        <v>2</v>
      </c>
      <c r="F115" s="2">
        <v>10000</v>
      </c>
      <c r="G115" s="2"/>
      <c r="H115" s="2"/>
      <c r="I115" s="2"/>
      <c r="J115" s="2"/>
      <c r="K115" s="2"/>
      <c r="L115" s="2"/>
      <c r="M115" s="2"/>
      <c r="N115" s="2"/>
      <c r="O115" s="2"/>
      <c r="P115" s="2"/>
      <c r="Q115" s="2"/>
      <c r="S115" s="75" t="s">
        <v>599</v>
      </c>
      <c r="T115" s="75" t="s">
        <v>427</v>
      </c>
      <c r="U115" s="92" t="s">
        <v>109</v>
      </c>
    </row>
    <row r="116" spans="1:46" x14ac:dyDescent="0.25">
      <c r="A116" s="2">
        <v>35</v>
      </c>
      <c r="B116" s="143" t="s">
        <v>55</v>
      </c>
      <c r="C116" s="2" t="s">
        <v>633</v>
      </c>
      <c r="D116" s="2">
        <v>0</v>
      </c>
      <c r="E116" s="2">
        <v>0</v>
      </c>
      <c r="F116" s="2">
        <f>2*LayerHeight</f>
        <v>4</v>
      </c>
      <c r="G116" s="2">
        <v>20</v>
      </c>
      <c r="H116" s="2"/>
      <c r="I116" s="2"/>
      <c r="J116" s="2"/>
      <c r="K116" s="2"/>
      <c r="L116" s="2"/>
      <c r="M116" s="2"/>
      <c r="N116" s="2"/>
      <c r="O116" s="2"/>
      <c r="P116" s="2"/>
      <c r="Q116" s="2"/>
      <c r="R116" s="80"/>
      <c r="S116" s="75" t="s">
        <v>269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634</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231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232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306</v>
      </c>
      <c r="C3" s="58" t="s">
        <v>128</v>
      </c>
      <c r="D3" s="2" t="s">
        <v>307</v>
      </c>
      <c r="U3" s="89"/>
      <c r="AO3" t="s">
        <v>130</v>
      </c>
      <c r="AP3" t="s">
        <v>308</v>
      </c>
      <c r="AQ3" t="s">
        <v>129</v>
      </c>
      <c r="AR3" t="s">
        <v>306</v>
      </c>
      <c r="AS3" t="s">
        <v>128</v>
      </c>
      <c r="AT3" t="s">
        <v>307</v>
      </c>
    </row>
    <row r="4" spans="1:46" x14ac:dyDescent="0.25">
      <c r="A4" s="40" t="s">
        <v>0</v>
      </c>
      <c r="B4" s="2"/>
      <c r="C4" s="2"/>
      <c r="D4" s="2"/>
      <c r="E4" s="2"/>
      <c r="F4" s="2"/>
      <c r="G4" s="2"/>
      <c r="H4" s="2"/>
      <c r="I4" s="2"/>
      <c r="J4" s="2"/>
      <c r="K4" s="2"/>
      <c r="L4" s="2"/>
      <c r="M4" s="2"/>
      <c r="N4" s="2"/>
      <c r="O4" s="2"/>
      <c r="P4" s="2"/>
      <c r="Q4" s="58" t="s">
        <v>249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346</v>
      </c>
      <c r="S5" s="95" t="s">
        <v>40</v>
      </c>
      <c r="T5" s="3"/>
      <c r="U5" s="5"/>
    </row>
    <row r="6" spans="1:46" x14ac:dyDescent="0.25">
      <c r="A6" s="10">
        <v>2</v>
      </c>
      <c r="B6" s="10" t="s">
        <v>1</v>
      </c>
      <c r="C6" s="10" t="s">
        <v>18</v>
      </c>
      <c r="D6" s="10" t="s">
        <v>100</v>
      </c>
      <c r="E6" s="10" t="s">
        <v>100</v>
      </c>
      <c r="F6" s="10" t="s">
        <v>100</v>
      </c>
      <c r="G6" s="10" t="s">
        <v>305</v>
      </c>
      <c r="H6" s="10" t="s">
        <v>100</v>
      </c>
      <c r="I6" s="10" t="s">
        <v>100</v>
      </c>
      <c r="J6" s="10" t="s">
        <v>19</v>
      </c>
      <c r="K6" s="10">
        <v>0.4</v>
      </c>
      <c r="L6" s="10">
        <v>0.2</v>
      </c>
      <c r="M6" s="10"/>
      <c r="N6" s="10"/>
      <c r="O6" s="10"/>
      <c r="P6" s="10"/>
      <c r="Q6" s="10" t="s">
        <v>345</v>
      </c>
      <c r="S6" s="5" t="s">
        <v>98</v>
      </c>
      <c r="T6" s="5">
        <v>0.2</v>
      </c>
      <c r="U6" s="5" t="s">
        <v>44</v>
      </c>
    </row>
    <row r="7" spans="1:46" x14ac:dyDescent="0.25">
      <c r="A7" s="10">
        <v>3</v>
      </c>
      <c r="B7" s="10" t="s">
        <v>55</v>
      </c>
      <c r="C7" s="104" t="s">
        <v>245</v>
      </c>
      <c r="D7" s="10">
        <v>0</v>
      </c>
      <c r="E7" s="10">
        <v>0</v>
      </c>
      <c r="F7" s="10">
        <v>0.2</v>
      </c>
      <c r="G7" s="10">
        <v>150</v>
      </c>
      <c r="H7" s="10"/>
      <c r="I7" s="10"/>
      <c r="J7" s="10"/>
      <c r="K7" s="10"/>
      <c r="L7" s="10"/>
      <c r="M7" s="10"/>
      <c r="N7" s="10"/>
      <c r="O7" s="10"/>
      <c r="P7" s="10"/>
      <c r="Q7" s="10" t="s">
        <v>344</v>
      </c>
      <c r="S7" s="5" t="s">
        <v>87</v>
      </c>
      <c r="T7" s="5">
        <v>1</v>
      </c>
      <c r="U7" s="5" t="s">
        <v>89</v>
      </c>
    </row>
    <row r="8" spans="1:46" x14ac:dyDescent="0.25">
      <c r="A8" s="3">
        <v>4</v>
      </c>
      <c r="B8" s="102" t="s">
        <v>251</v>
      </c>
      <c r="C8" s="3">
        <v>3</v>
      </c>
      <c r="D8" s="103" t="s">
        <v>245</v>
      </c>
      <c r="E8" s="3">
        <v>1</v>
      </c>
      <c r="F8" s="3">
        <v>50</v>
      </c>
      <c r="G8" s="3" t="s">
        <v>26</v>
      </c>
      <c r="H8" s="3">
        <v>50</v>
      </c>
      <c r="I8" s="3">
        <v>50</v>
      </c>
      <c r="J8" s="3">
        <f>90/50</f>
        <v>1.8</v>
      </c>
      <c r="K8" s="3">
        <v>0</v>
      </c>
      <c r="L8" s="3" t="s">
        <v>118</v>
      </c>
      <c r="M8" s="3" t="s">
        <v>118</v>
      </c>
      <c r="N8" s="3"/>
      <c r="O8" s="3"/>
      <c r="P8" s="3"/>
      <c r="Q8" s="3" t="s">
        <v>341</v>
      </c>
      <c r="S8" s="5" t="s">
        <v>88</v>
      </c>
      <c r="T8" s="5">
        <v>1</v>
      </c>
      <c r="U8" s="5" t="s">
        <v>89</v>
      </c>
    </row>
    <row r="9" spans="1:46" x14ac:dyDescent="0.25">
      <c r="A9" s="3">
        <v>5</v>
      </c>
      <c r="B9" s="102" t="s">
        <v>251</v>
      </c>
      <c r="C9" s="3">
        <v>3</v>
      </c>
      <c r="D9" s="103" t="s">
        <v>245</v>
      </c>
      <c r="E9" s="3">
        <v>51</v>
      </c>
      <c r="F9" s="3">
        <v>100</v>
      </c>
      <c r="G9" s="3" t="s">
        <v>26</v>
      </c>
      <c r="H9" s="3">
        <v>50</v>
      </c>
      <c r="I9" s="3">
        <v>50</v>
      </c>
      <c r="J9" s="3">
        <f>-90/50</f>
        <v>-1.8</v>
      </c>
      <c r="K9" s="3">
        <v>0</v>
      </c>
      <c r="L9" s="3" t="s">
        <v>118</v>
      </c>
      <c r="M9" s="3" t="s">
        <v>118</v>
      </c>
      <c r="N9" s="3"/>
      <c r="O9" s="3"/>
      <c r="P9" s="3"/>
      <c r="Q9" s="3" t="s">
        <v>342</v>
      </c>
      <c r="S9" s="5" t="s">
        <v>193</v>
      </c>
      <c r="T9" s="5" t="s">
        <v>204</v>
      </c>
      <c r="U9" s="5"/>
    </row>
    <row r="10" spans="1:46" x14ac:dyDescent="0.25">
      <c r="A10" s="3">
        <v>6</v>
      </c>
      <c r="B10" s="102" t="s">
        <v>251</v>
      </c>
      <c r="C10" s="3">
        <v>3</v>
      </c>
      <c r="D10" s="103" t="s">
        <v>245</v>
      </c>
      <c r="E10" s="3">
        <v>101</v>
      </c>
      <c r="F10" s="3">
        <v>150</v>
      </c>
      <c r="G10" s="3" t="s">
        <v>26</v>
      </c>
      <c r="H10" s="3">
        <v>50</v>
      </c>
      <c r="I10" s="3">
        <v>50</v>
      </c>
      <c r="J10" s="3">
        <f>90/50</f>
        <v>1.8</v>
      </c>
      <c r="K10" s="3">
        <v>0</v>
      </c>
      <c r="L10" s="3" t="s">
        <v>118</v>
      </c>
      <c r="M10" s="3" t="s">
        <v>118</v>
      </c>
      <c r="N10" s="3"/>
      <c r="O10" s="3"/>
      <c r="P10" s="3"/>
      <c r="Q10" s="3" t="s">
        <v>343</v>
      </c>
      <c r="S10" s="5" t="s">
        <v>194</v>
      </c>
      <c r="T10" s="5">
        <v>0</v>
      </c>
      <c r="U10" s="5"/>
    </row>
    <row r="11" spans="1:46" x14ac:dyDescent="0.25">
      <c r="A11" s="14">
        <v>7</v>
      </c>
      <c r="B11" s="105" t="s">
        <v>254</v>
      </c>
      <c r="C11" s="14" t="s">
        <v>309</v>
      </c>
      <c r="D11" s="14" t="s">
        <v>25</v>
      </c>
      <c r="E11" s="14">
        <v>50</v>
      </c>
      <c r="F11" s="14">
        <v>50</v>
      </c>
      <c r="G11" s="14">
        <v>0</v>
      </c>
      <c r="H11" s="14">
        <v>0.4</v>
      </c>
      <c r="I11" s="14" t="s">
        <v>118</v>
      </c>
      <c r="J11" s="14" t="s">
        <v>118</v>
      </c>
      <c r="K11" s="14"/>
      <c r="L11" s="14"/>
      <c r="M11" s="14"/>
      <c r="N11" s="14"/>
      <c r="O11" s="14"/>
      <c r="P11" s="14"/>
      <c r="Q11" s="14" t="s">
        <v>338</v>
      </c>
      <c r="S11" s="57"/>
      <c r="T11" s="57"/>
      <c r="U11" s="90"/>
    </row>
    <row r="12" spans="1:46" x14ac:dyDescent="0.25">
      <c r="A12" s="106">
        <v>8</v>
      </c>
      <c r="B12" s="107" t="s">
        <v>251</v>
      </c>
      <c r="C12" s="106">
        <v>3</v>
      </c>
      <c r="D12" s="108" t="s">
        <v>245</v>
      </c>
      <c r="E12" s="106">
        <v>1</v>
      </c>
      <c r="F12" s="106">
        <v>150</v>
      </c>
      <c r="G12" s="106" t="s">
        <v>170</v>
      </c>
      <c r="H12" s="106">
        <v>50</v>
      </c>
      <c r="I12" s="106">
        <v>50</v>
      </c>
      <c r="J12" s="106">
        <v>0</v>
      </c>
      <c r="K12" s="106" t="s">
        <v>334</v>
      </c>
      <c r="L12" s="106">
        <v>0</v>
      </c>
      <c r="M12" s="106" t="s">
        <v>118</v>
      </c>
      <c r="N12" s="106" t="s">
        <v>118</v>
      </c>
      <c r="O12" s="106"/>
      <c r="P12" s="106"/>
      <c r="Q12" s="106" t="s">
        <v>339</v>
      </c>
      <c r="S12" s="5" t="s">
        <v>298</v>
      </c>
      <c r="T12" s="5">
        <v>60</v>
      </c>
      <c r="U12" s="5" t="s">
        <v>43</v>
      </c>
      <c r="V12" s="1"/>
    </row>
    <row r="13" spans="1:46" x14ac:dyDescent="0.25">
      <c r="A13" s="106">
        <v>9</v>
      </c>
      <c r="B13" s="107" t="s">
        <v>251</v>
      </c>
      <c r="C13" s="106">
        <v>3</v>
      </c>
      <c r="D13" s="108" t="s">
        <v>245</v>
      </c>
      <c r="E13" s="106">
        <v>1</v>
      </c>
      <c r="F13" s="106">
        <v>150</v>
      </c>
      <c r="G13" s="106" t="s">
        <v>138</v>
      </c>
      <c r="H13" s="106" t="s">
        <v>337</v>
      </c>
      <c r="I13" s="106">
        <v>0</v>
      </c>
      <c r="J13" s="106">
        <v>0</v>
      </c>
      <c r="K13" s="106" t="s">
        <v>118</v>
      </c>
      <c r="L13" s="106" t="s">
        <v>118</v>
      </c>
      <c r="M13" s="106"/>
      <c r="N13" s="106"/>
      <c r="O13" s="106"/>
      <c r="P13" s="106"/>
      <c r="Q13" s="106" t="s">
        <v>340</v>
      </c>
      <c r="S13" s="5" t="s">
        <v>85</v>
      </c>
      <c r="T13" s="5">
        <v>1000</v>
      </c>
      <c r="U13" s="5" t="s">
        <v>45</v>
      </c>
    </row>
    <row r="14" spans="1:46" x14ac:dyDescent="0.25">
      <c r="A14" s="75">
        <v>10</v>
      </c>
      <c r="B14" s="109" t="s">
        <v>251</v>
      </c>
      <c r="C14" s="75">
        <v>3</v>
      </c>
      <c r="D14" s="110" t="s">
        <v>245</v>
      </c>
      <c r="E14" s="75">
        <v>151</v>
      </c>
      <c r="F14" s="75">
        <v>200</v>
      </c>
      <c r="G14" s="75" t="s">
        <v>170</v>
      </c>
      <c r="H14" s="75">
        <v>50</v>
      </c>
      <c r="I14" s="75">
        <v>50</v>
      </c>
      <c r="J14" s="75">
        <v>0</v>
      </c>
      <c r="K14" s="75" t="s">
        <v>311</v>
      </c>
      <c r="L14" s="75">
        <v>0</v>
      </c>
      <c r="M14" s="75" t="s">
        <v>118</v>
      </c>
      <c r="N14" s="75" t="s">
        <v>118</v>
      </c>
      <c r="O14" s="75"/>
      <c r="P14" s="75"/>
      <c r="Q14" s="75"/>
      <c r="S14" s="5" t="s">
        <v>86</v>
      </c>
      <c r="T14" s="5">
        <v>9000</v>
      </c>
      <c r="U14" s="5" t="s">
        <v>45</v>
      </c>
    </row>
    <row r="15" spans="1:46" x14ac:dyDescent="0.25">
      <c r="A15" s="75">
        <v>11</v>
      </c>
      <c r="B15" s="109" t="s">
        <v>251</v>
      </c>
      <c r="C15" s="75">
        <v>3</v>
      </c>
      <c r="D15" s="110" t="s">
        <v>245</v>
      </c>
      <c r="E15" s="75">
        <v>151</v>
      </c>
      <c r="F15" s="75">
        <v>200</v>
      </c>
      <c r="G15" s="75" t="s">
        <v>138</v>
      </c>
      <c r="H15" s="75">
        <v>0</v>
      </c>
      <c r="I15" s="75">
        <v>0</v>
      </c>
      <c r="J15" s="75" t="s">
        <v>310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299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252</v>
      </c>
      <c r="T33" s="96" t="s">
        <v>253</v>
      </c>
      <c r="U33" s="97" t="s">
        <v>291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331</v>
      </c>
      <c r="C37" s="58" t="s">
        <v>128</v>
      </c>
      <c r="D37" s="2" t="s">
        <v>307</v>
      </c>
      <c r="U37" s="89"/>
      <c r="AO37" t="s">
        <v>130</v>
      </c>
      <c r="AP37" t="s">
        <v>332</v>
      </c>
      <c r="AQ37" t="s">
        <v>129</v>
      </c>
      <c r="AR37" t="s">
        <v>331</v>
      </c>
      <c r="AS37" t="s">
        <v>128</v>
      </c>
      <c r="AT37" t="s">
        <v>307</v>
      </c>
    </row>
    <row r="38" spans="1:46" x14ac:dyDescent="0.25">
      <c r="A38" s="40" t="s">
        <v>0</v>
      </c>
      <c r="B38" s="2"/>
      <c r="C38" s="2"/>
      <c r="D38" s="2"/>
      <c r="E38" s="2"/>
      <c r="F38" s="2"/>
      <c r="G38" s="2"/>
      <c r="H38" s="2"/>
      <c r="I38" s="2"/>
      <c r="J38" s="2"/>
      <c r="K38" s="2"/>
      <c r="L38" s="2"/>
      <c r="M38" s="2"/>
      <c r="N38" s="2"/>
      <c r="O38" s="2"/>
      <c r="P38" s="2"/>
      <c r="Q38" s="58" t="s">
        <v>249</v>
      </c>
      <c r="U38" s="89"/>
    </row>
    <row r="39" spans="1:46" x14ac:dyDescent="0.25">
      <c r="A39" s="2">
        <v>1</v>
      </c>
      <c r="B39" s="10" t="s">
        <v>9</v>
      </c>
      <c r="C39" s="10">
        <v>50</v>
      </c>
      <c r="D39" s="10">
        <v>50</v>
      </c>
      <c r="E39" s="10" t="s">
        <v>303</v>
      </c>
      <c r="F39" s="10" t="s">
        <v>315</v>
      </c>
      <c r="G39" s="10">
        <v>0</v>
      </c>
      <c r="H39" s="10" t="s">
        <v>20</v>
      </c>
      <c r="I39" s="10">
        <v>0.4</v>
      </c>
      <c r="J39" s="10">
        <v>0.2</v>
      </c>
      <c r="K39" s="10"/>
      <c r="L39" s="10"/>
      <c r="M39" s="10"/>
      <c r="N39" s="10"/>
      <c r="O39" s="10"/>
      <c r="P39" s="10"/>
      <c r="Q39" s="10" t="s">
        <v>316</v>
      </c>
      <c r="S39" s="95" t="s">
        <v>40</v>
      </c>
      <c r="T39" s="3"/>
      <c r="U39" s="5"/>
    </row>
    <row r="40" spans="1:46" x14ac:dyDescent="0.25">
      <c r="A40" s="2">
        <v>2</v>
      </c>
      <c r="B40" s="12" t="s">
        <v>1</v>
      </c>
      <c r="C40" s="12" t="s">
        <v>18</v>
      </c>
      <c r="D40" s="12" t="s">
        <v>100</v>
      </c>
      <c r="E40" s="12" t="s">
        <v>100</v>
      </c>
      <c r="F40" s="12" t="s">
        <v>100</v>
      </c>
      <c r="G40" s="12" t="s">
        <v>324</v>
      </c>
      <c r="H40" s="12" t="s">
        <v>100</v>
      </c>
      <c r="I40" s="12" t="s">
        <v>100</v>
      </c>
      <c r="J40" s="12" t="s">
        <v>23</v>
      </c>
      <c r="K40" s="12"/>
      <c r="L40" s="12"/>
      <c r="M40" s="12"/>
      <c r="N40" s="12"/>
      <c r="O40" s="12"/>
      <c r="P40" s="12"/>
      <c r="Q40" s="2" t="s">
        <v>317</v>
      </c>
      <c r="S40" s="5" t="s">
        <v>98</v>
      </c>
      <c r="T40" s="5">
        <v>0.2</v>
      </c>
      <c r="U40" s="5" t="s">
        <v>44</v>
      </c>
    </row>
    <row r="41" spans="1:46" x14ac:dyDescent="0.25">
      <c r="A41" s="2">
        <v>3</v>
      </c>
      <c r="B41" s="15" t="s">
        <v>49</v>
      </c>
      <c r="C41" s="15" t="s">
        <v>333</v>
      </c>
      <c r="D41" s="15">
        <v>1</v>
      </c>
      <c r="E41" s="15" t="s">
        <v>323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312</v>
      </c>
      <c r="J42" s="3" t="s">
        <v>23</v>
      </c>
      <c r="K42" s="3">
        <v>0</v>
      </c>
      <c r="L42" s="3">
        <v>0</v>
      </c>
      <c r="M42" s="3" t="s">
        <v>328</v>
      </c>
      <c r="N42" s="3"/>
      <c r="O42" s="3"/>
      <c r="P42" s="3"/>
      <c r="Q42" s="3" t="s">
        <v>318</v>
      </c>
      <c r="S42" s="5" t="s">
        <v>88</v>
      </c>
      <c r="T42" s="5">
        <v>1</v>
      </c>
      <c r="U42" s="5" t="s">
        <v>89</v>
      </c>
    </row>
    <row r="43" spans="1:46" x14ac:dyDescent="0.25">
      <c r="A43" s="2">
        <v>5</v>
      </c>
      <c r="B43" s="3" t="s">
        <v>1</v>
      </c>
      <c r="C43" s="3" t="s">
        <v>18</v>
      </c>
      <c r="D43" s="3" t="s">
        <v>100</v>
      </c>
      <c r="E43" s="3" t="s">
        <v>100</v>
      </c>
      <c r="F43" s="3" t="s">
        <v>100</v>
      </c>
      <c r="G43" s="3" t="s">
        <v>100</v>
      </c>
      <c r="H43" s="3" t="s">
        <v>315</v>
      </c>
      <c r="I43" s="3" t="s">
        <v>100</v>
      </c>
      <c r="J43" s="3" t="s">
        <v>23</v>
      </c>
      <c r="K43" s="3">
        <v>0</v>
      </c>
      <c r="L43" s="3">
        <v>0</v>
      </c>
      <c r="M43" s="3" t="s">
        <v>329</v>
      </c>
      <c r="N43" s="3"/>
      <c r="O43" s="3"/>
      <c r="P43" s="3"/>
      <c r="Q43" s="3" t="s">
        <v>319</v>
      </c>
      <c r="S43" s="5" t="s">
        <v>193</v>
      </c>
      <c r="T43" s="5" t="s">
        <v>204</v>
      </c>
      <c r="U43" s="5"/>
    </row>
    <row r="44" spans="1:46" x14ac:dyDescent="0.25">
      <c r="A44" s="2">
        <v>6</v>
      </c>
      <c r="B44" s="3" t="s">
        <v>1</v>
      </c>
      <c r="C44" s="48" t="s">
        <v>18</v>
      </c>
      <c r="D44" s="3" t="s">
        <v>100</v>
      </c>
      <c r="E44" s="3" t="s">
        <v>100</v>
      </c>
      <c r="F44" s="3" t="s">
        <v>100</v>
      </c>
      <c r="G44" s="3" t="s">
        <v>100</v>
      </c>
      <c r="H44" s="3" t="s">
        <v>100</v>
      </c>
      <c r="I44" s="3" t="s">
        <v>313</v>
      </c>
      <c r="J44" s="3" t="s">
        <v>23</v>
      </c>
      <c r="K44" s="3">
        <v>0</v>
      </c>
      <c r="L44" s="3">
        <v>0</v>
      </c>
      <c r="M44" s="3" t="s">
        <v>328</v>
      </c>
      <c r="N44" s="3"/>
      <c r="O44" s="3"/>
      <c r="P44" s="3"/>
      <c r="Q44" s="3" t="s">
        <v>320</v>
      </c>
      <c r="S44" s="5" t="s">
        <v>194</v>
      </c>
      <c r="T44" s="5">
        <v>0</v>
      </c>
      <c r="U44" s="5"/>
    </row>
    <row r="45" spans="1:46" x14ac:dyDescent="0.25">
      <c r="A45" s="2">
        <v>7</v>
      </c>
      <c r="B45" s="3" t="s">
        <v>1</v>
      </c>
      <c r="C45" s="48" t="s">
        <v>18</v>
      </c>
      <c r="D45" s="3" t="s">
        <v>100</v>
      </c>
      <c r="E45" s="3" t="s">
        <v>100</v>
      </c>
      <c r="F45" s="3" t="s">
        <v>100</v>
      </c>
      <c r="G45" s="3" t="s">
        <v>314</v>
      </c>
      <c r="H45" s="3" t="s">
        <v>100</v>
      </c>
      <c r="I45" s="3" t="s">
        <v>100</v>
      </c>
      <c r="J45" s="3" t="s">
        <v>23</v>
      </c>
      <c r="K45" s="3">
        <v>0</v>
      </c>
      <c r="L45" s="3">
        <v>0</v>
      </c>
      <c r="M45" s="3" t="s">
        <v>328</v>
      </c>
      <c r="N45" s="3"/>
      <c r="O45" s="3"/>
      <c r="P45" s="3"/>
      <c r="Q45" s="3" t="s">
        <v>321</v>
      </c>
      <c r="S45" s="57"/>
      <c r="T45" s="57"/>
      <c r="U45" s="90"/>
    </row>
    <row r="46" spans="1:46" x14ac:dyDescent="0.25">
      <c r="A46" s="2">
        <v>8</v>
      </c>
      <c r="B46" s="15" t="s">
        <v>49</v>
      </c>
      <c r="C46" s="15" t="s">
        <v>333</v>
      </c>
      <c r="D46" s="15">
        <v>1</v>
      </c>
      <c r="E46" s="15" t="s">
        <v>323</v>
      </c>
      <c r="F46" s="15">
        <v>2000</v>
      </c>
      <c r="G46" s="15"/>
      <c r="H46" s="15"/>
      <c r="I46" s="15"/>
      <c r="J46" s="15"/>
      <c r="K46" s="15"/>
      <c r="L46" s="15"/>
      <c r="M46" s="15"/>
      <c r="N46" s="15"/>
      <c r="O46" s="15"/>
      <c r="P46" s="15"/>
      <c r="Q46" s="15"/>
      <c r="S46" s="5" t="s">
        <v>298</v>
      </c>
      <c r="T46" s="5">
        <v>60</v>
      </c>
      <c r="U46" s="5" t="s">
        <v>43</v>
      </c>
      <c r="V46" s="1"/>
    </row>
    <row r="47" spans="1:46" x14ac:dyDescent="0.25">
      <c r="A47" s="2">
        <v>9</v>
      </c>
      <c r="B47" s="8" t="s">
        <v>1</v>
      </c>
      <c r="C47" s="8" t="s">
        <v>18</v>
      </c>
      <c r="D47" s="70" t="s">
        <v>100</v>
      </c>
      <c r="E47" s="8" t="s">
        <v>100</v>
      </c>
      <c r="F47" s="8" t="s">
        <v>100</v>
      </c>
      <c r="G47" s="8" t="s">
        <v>100</v>
      </c>
      <c r="H47" s="8" t="s">
        <v>100</v>
      </c>
      <c r="I47" s="8" t="s">
        <v>312</v>
      </c>
      <c r="J47" s="8" t="s">
        <v>23</v>
      </c>
      <c r="K47" s="8">
        <v>0</v>
      </c>
      <c r="L47" s="8">
        <v>0</v>
      </c>
      <c r="M47" s="8" t="s">
        <v>328</v>
      </c>
      <c r="N47" s="8"/>
      <c r="O47" s="8"/>
      <c r="P47" s="8"/>
      <c r="Q47" s="8" t="s">
        <v>318</v>
      </c>
      <c r="S47" s="5" t="s">
        <v>85</v>
      </c>
      <c r="T47" s="5">
        <v>1000</v>
      </c>
      <c r="U47" s="5" t="s">
        <v>45</v>
      </c>
    </row>
    <row r="48" spans="1:46" x14ac:dyDescent="0.25">
      <c r="A48" s="2">
        <v>10</v>
      </c>
      <c r="B48" s="8" t="s">
        <v>1</v>
      </c>
      <c r="C48" s="8" t="s">
        <v>18</v>
      </c>
      <c r="D48" s="99" t="s">
        <v>100</v>
      </c>
      <c r="E48" s="8" t="s">
        <v>100</v>
      </c>
      <c r="F48" s="8" t="s">
        <v>100</v>
      </c>
      <c r="G48" s="8" t="s">
        <v>100</v>
      </c>
      <c r="H48" s="8" t="s">
        <v>322</v>
      </c>
      <c r="I48" s="8" t="s">
        <v>100</v>
      </c>
      <c r="J48" s="8" t="s">
        <v>23</v>
      </c>
      <c r="K48" s="8">
        <v>0</v>
      </c>
      <c r="L48" s="8">
        <v>0</v>
      </c>
      <c r="M48" s="8" t="s">
        <v>329</v>
      </c>
      <c r="N48" s="8"/>
      <c r="O48" s="8"/>
      <c r="P48" s="8"/>
      <c r="Q48" s="8" t="s">
        <v>319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313</v>
      </c>
      <c r="J49" s="8" t="s">
        <v>23</v>
      </c>
      <c r="K49" s="8">
        <v>0</v>
      </c>
      <c r="L49" s="8">
        <v>0</v>
      </c>
      <c r="M49" s="8" t="s">
        <v>328</v>
      </c>
      <c r="N49" s="8"/>
      <c r="O49" s="8"/>
      <c r="P49" s="8"/>
      <c r="Q49" s="8" t="s">
        <v>320</v>
      </c>
      <c r="S49" s="5" t="s">
        <v>41</v>
      </c>
      <c r="T49" s="5">
        <v>210</v>
      </c>
      <c r="U49" s="5" t="s">
        <v>43</v>
      </c>
      <c r="V49" s="1"/>
    </row>
    <row r="50" spans="1:22" x14ac:dyDescent="0.25">
      <c r="A50" s="2">
        <v>12</v>
      </c>
      <c r="B50" s="8" t="s">
        <v>1</v>
      </c>
      <c r="C50" s="8" t="s">
        <v>18</v>
      </c>
      <c r="D50" s="8" t="s">
        <v>100</v>
      </c>
      <c r="E50" s="8" t="s">
        <v>100</v>
      </c>
      <c r="F50" s="8" t="s">
        <v>100</v>
      </c>
      <c r="G50" s="8" t="s">
        <v>314</v>
      </c>
      <c r="H50" s="8" t="s">
        <v>100</v>
      </c>
      <c r="I50" s="8" t="s">
        <v>100</v>
      </c>
      <c r="J50" s="8" t="s">
        <v>23</v>
      </c>
      <c r="K50" s="8">
        <v>0</v>
      </c>
      <c r="L50" s="8">
        <v>0</v>
      </c>
      <c r="M50" s="8" t="s">
        <v>328</v>
      </c>
      <c r="N50" s="8"/>
      <c r="O50" s="8"/>
      <c r="P50" s="8"/>
      <c r="Q50" s="8" t="s">
        <v>321</v>
      </c>
      <c r="S50" s="5" t="s">
        <v>42</v>
      </c>
      <c r="T50" s="5">
        <v>2.85</v>
      </c>
      <c r="U50" s="5" t="s">
        <v>44</v>
      </c>
    </row>
    <row r="51" spans="1:22" x14ac:dyDescent="0.25">
      <c r="A51" s="2">
        <v>13</v>
      </c>
      <c r="B51" s="2" t="s">
        <v>55</v>
      </c>
      <c r="C51" s="100" t="s">
        <v>326</v>
      </c>
      <c r="D51" s="2">
        <v>4</v>
      </c>
      <c r="E51" s="2">
        <v>0</v>
      </c>
      <c r="F51" s="2">
        <v>0</v>
      </c>
      <c r="G51" s="2">
        <v>9</v>
      </c>
      <c r="H51" s="2"/>
      <c r="I51" s="2"/>
      <c r="J51" s="2"/>
      <c r="K51" s="2"/>
      <c r="L51" s="2"/>
      <c r="M51" s="2"/>
      <c r="N51" s="2"/>
      <c r="O51" s="2"/>
      <c r="P51" s="2"/>
      <c r="Q51" s="2" t="s">
        <v>325</v>
      </c>
      <c r="S51" s="5" t="s">
        <v>46</v>
      </c>
      <c r="T51" s="5" t="s">
        <v>82</v>
      </c>
      <c r="U51" s="5" t="s">
        <v>90</v>
      </c>
    </row>
    <row r="52" spans="1:22" x14ac:dyDescent="0.25">
      <c r="A52" s="2">
        <v>14</v>
      </c>
      <c r="B52" s="101" t="s">
        <v>52</v>
      </c>
      <c r="C52" s="101">
        <v>13</v>
      </c>
      <c r="D52" s="101" t="s">
        <v>327</v>
      </c>
      <c r="E52" s="101">
        <v>1</v>
      </c>
      <c r="F52" s="101">
        <f>G51</f>
        <v>9</v>
      </c>
      <c r="G52" s="101" t="s">
        <v>60</v>
      </c>
      <c r="H52" s="101">
        <v>3</v>
      </c>
      <c r="I52" s="101">
        <v>0.5</v>
      </c>
      <c r="J52" s="101"/>
      <c r="K52" s="101"/>
      <c r="L52" s="101"/>
      <c r="M52" s="101"/>
      <c r="N52" s="101"/>
      <c r="O52" s="101"/>
      <c r="P52" s="101"/>
      <c r="Q52" s="101" t="s">
        <v>330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299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252</v>
      </c>
      <c r="T67" s="96" t="s">
        <v>253</v>
      </c>
      <c r="U67" s="97" t="s">
        <v>291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335</v>
      </c>
      <c r="C71" s="58" t="s">
        <v>128</v>
      </c>
      <c r="D71" s="2" t="s">
        <v>307</v>
      </c>
      <c r="U71" s="89"/>
      <c r="AO71" t="s">
        <v>130</v>
      </c>
      <c r="AP71" t="s">
        <v>336</v>
      </c>
      <c r="AQ71" t="s">
        <v>129</v>
      </c>
      <c r="AR71" t="s">
        <v>335</v>
      </c>
      <c r="AS71" t="s">
        <v>128</v>
      </c>
      <c r="AT71" t="s">
        <v>307</v>
      </c>
    </row>
    <row r="72" spans="1:46" x14ac:dyDescent="0.25">
      <c r="A72" s="40" t="s">
        <v>0</v>
      </c>
      <c r="B72" s="2"/>
      <c r="C72" s="2"/>
      <c r="D72" s="2"/>
      <c r="E72" s="2"/>
      <c r="F72" s="2"/>
      <c r="G72" s="2"/>
      <c r="H72" s="2"/>
      <c r="I72" s="2"/>
      <c r="J72" s="2"/>
      <c r="K72" s="2"/>
      <c r="L72" s="2"/>
      <c r="M72" s="2"/>
      <c r="N72" s="2"/>
      <c r="O72" s="2"/>
      <c r="P72" s="2"/>
      <c r="Q72" s="58" t="s">
        <v>249</v>
      </c>
      <c r="U72" s="89"/>
    </row>
    <row r="73" spans="1:46" x14ac:dyDescent="0.25">
      <c r="A73" s="2">
        <v>1</v>
      </c>
      <c r="B73" s="2" t="s">
        <v>1</v>
      </c>
      <c r="C73" s="2" t="s">
        <v>18</v>
      </c>
      <c r="D73" s="2">
        <v>50</v>
      </c>
      <c r="E73" s="2">
        <v>50</v>
      </c>
      <c r="F73" s="2">
        <v>0</v>
      </c>
      <c r="G73" s="2" t="s">
        <v>303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303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304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304</v>
      </c>
      <c r="I76" s="2" t="s">
        <v>100</v>
      </c>
      <c r="J76" s="2" t="s">
        <v>19</v>
      </c>
      <c r="K76" s="2">
        <v>0.4</v>
      </c>
      <c r="L76" s="2">
        <v>0.2</v>
      </c>
      <c r="M76" s="2"/>
      <c r="N76" s="2"/>
      <c r="O76" s="2"/>
      <c r="P76" s="2"/>
      <c r="Q76" s="2"/>
      <c r="S76" s="5" t="s">
        <v>88</v>
      </c>
      <c r="T76" s="5">
        <v>1</v>
      </c>
      <c r="U76" s="5" t="s">
        <v>89</v>
      </c>
    </row>
    <row r="77" spans="1:46" x14ac:dyDescent="0.25">
      <c r="A77" s="2">
        <v>5</v>
      </c>
      <c r="B77" s="2" t="s">
        <v>55</v>
      </c>
      <c r="C77" s="98" t="s">
        <v>230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298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299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252</v>
      </c>
      <c r="T101" s="96" t="s">
        <v>253</v>
      </c>
      <c r="U101" s="97" t="s">
        <v>291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351</v>
      </c>
      <c r="C105" s="58" t="s">
        <v>128</v>
      </c>
      <c r="D105" s="2" t="s">
        <v>307</v>
      </c>
      <c r="E105" s="29"/>
      <c r="F105" s="29"/>
      <c r="G105" s="29"/>
      <c r="H105" s="29"/>
      <c r="I105" s="29"/>
      <c r="J105" s="29"/>
      <c r="K105" s="29"/>
      <c r="L105" s="29"/>
      <c r="M105" s="29"/>
      <c r="N105" s="29"/>
      <c r="O105" s="29"/>
      <c r="P105" s="29"/>
      <c r="U105" s="89"/>
      <c r="AO105" t="s">
        <v>130</v>
      </c>
      <c r="AP105" t="s">
        <v>352</v>
      </c>
      <c r="AQ105" t="s">
        <v>129</v>
      </c>
      <c r="AR105" t="s">
        <v>351</v>
      </c>
      <c r="AS105" t="s">
        <v>128</v>
      </c>
      <c r="AT105" t="s">
        <v>307</v>
      </c>
    </row>
    <row r="106" spans="1:46" x14ac:dyDescent="0.25">
      <c r="A106" s="40" t="s">
        <v>0</v>
      </c>
      <c r="B106" s="41"/>
      <c r="C106" s="18"/>
      <c r="D106" s="18"/>
      <c r="E106" s="18"/>
      <c r="F106" s="18"/>
      <c r="G106" s="18"/>
      <c r="H106" s="18"/>
      <c r="I106" s="18"/>
      <c r="J106" s="18"/>
      <c r="K106" s="18"/>
      <c r="L106" s="18"/>
      <c r="M106" s="18"/>
      <c r="N106" s="18"/>
      <c r="O106" s="18"/>
      <c r="P106" s="18"/>
      <c r="Q106" s="58" t="s">
        <v>249</v>
      </c>
      <c r="U106" s="89"/>
    </row>
    <row r="107" spans="1:46" x14ac:dyDescent="0.25">
      <c r="A107" s="20">
        <v>1</v>
      </c>
      <c r="B107" s="113" t="s">
        <v>1</v>
      </c>
      <c r="C107" s="20" t="s">
        <v>18</v>
      </c>
      <c r="D107" s="20">
        <v>50</v>
      </c>
      <c r="E107" s="20">
        <v>50</v>
      </c>
      <c r="F107" s="20">
        <v>0</v>
      </c>
      <c r="G107" s="20" t="s">
        <v>315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315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322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322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230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350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350</v>
      </c>
      <c r="M114" s="42"/>
      <c r="N114" s="42"/>
      <c r="O114" s="42"/>
      <c r="P114" s="42"/>
      <c r="Q114" s="42"/>
      <c r="S114" s="5" t="s">
        <v>298</v>
      </c>
      <c r="T114" s="5">
        <v>60</v>
      </c>
      <c r="U114" s="5" t="s">
        <v>43</v>
      </c>
      <c r="V114" s="1"/>
    </row>
    <row r="115" spans="1:22" x14ac:dyDescent="0.25">
      <c r="A115" s="20">
        <v>9</v>
      </c>
      <c r="B115" s="114" t="s">
        <v>251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251</v>
      </c>
      <c r="C116" s="115">
        <v>5</v>
      </c>
      <c r="D116" s="116">
        <v>1</v>
      </c>
      <c r="E116" s="115">
        <v>50</v>
      </c>
      <c r="F116" s="115">
        <v>100</v>
      </c>
      <c r="G116" s="115" t="s">
        <v>124</v>
      </c>
      <c r="H116" s="115">
        <v>5.0000000000000001E-3</v>
      </c>
      <c r="I116" s="115">
        <v>0</v>
      </c>
      <c r="J116" s="115">
        <v>0</v>
      </c>
      <c r="K116" s="115" t="s">
        <v>350</v>
      </c>
      <c r="L116" s="115" t="s">
        <v>118</v>
      </c>
      <c r="M116" s="115"/>
      <c r="N116" s="115"/>
      <c r="O116" s="115"/>
      <c r="P116" s="115"/>
      <c r="Q116" s="115"/>
      <c r="S116" s="5" t="s">
        <v>86</v>
      </c>
      <c r="T116" s="5">
        <v>9000</v>
      </c>
      <c r="U116" s="5" t="s">
        <v>45</v>
      </c>
    </row>
    <row r="117" spans="1:22" x14ac:dyDescent="0.25">
      <c r="A117" s="20">
        <v>11</v>
      </c>
      <c r="B117" s="114" t="s">
        <v>251</v>
      </c>
      <c r="C117" s="115">
        <v>5</v>
      </c>
      <c r="D117" s="116">
        <v>3</v>
      </c>
      <c r="E117" s="115">
        <v>50</v>
      </c>
      <c r="F117" s="115">
        <v>100</v>
      </c>
      <c r="G117" s="115" t="s">
        <v>124</v>
      </c>
      <c r="H117" s="115">
        <v>5.0000000000000001E-3</v>
      </c>
      <c r="I117" s="115">
        <v>0</v>
      </c>
      <c r="J117" s="115">
        <v>0</v>
      </c>
      <c r="K117" s="115" t="s">
        <v>118</v>
      </c>
      <c r="L117" s="115" t="s">
        <v>350</v>
      </c>
      <c r="M117" s="115"/>
      <c r="N117" s="115"/>
      <c r="O117" s="115"/>
      <c r="P117" s="115"/>
      <c r="Q117" s="115"/>
      <c r="S117" s="5" t="s">
        <v>41</v>
      </c>
      <c r="T117" s="5">
        <v>210</v>
      </c>
      <c r="U117" s="5" t="s">
        <v>43</v>
      </c>
      <c r="V117" s="1"/>
    </row>
    <row r="118" spans="1:22" x14ac:dyDescent="0.25">
      <c r="A118" s="20">
        <v>12</v>
      </c>
      <c r="B118" s="119" t="s">
        <v>251</v>
      </c>
      <c r="C118" s="43">
        <v>5</v>
      </c>
      <c r="D118" s="120" t="s">
        <v>230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251</v>
      </c>
      <c r="C119" s="43">
        <v>5</v>
      </c>
      <c r="D119" s="120" t="s">
        <v>230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251</v>
      </c>
      <c r="C120" s="43">
        <v>5</v>
      </c>
      <c r="D120" s="120" t="s">
        <v>230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251</v>
      </c>
      <c r="C121" s="43">
        <v>5</v>
      </c>
      <c r="D121" s="120" t="s">
        <v>230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251</v>
      </c>
      <c r="C122" s="43">
        <v>5</v>
      </c>
      <c r="D122" s="120" t="s">
        <v>230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251</v>
      </c>
      <c r="C123" s="43">
        <v>5</v>
      </c>
      <c r="D123" s="120" t="s">
        <v>230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299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252</v>
      </c>
      <c r="T135" s="96" t="s">
        <v>253</v>
      </c>
      <c r="U135" s="97" t="s">
        <v>291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247</v>
      </c>
      <c r="C3" s="58" t="s">
        <v>128</v>
      </c>
      <c r="D3" s="2" t="s">
        <v>294</v>
      </c>
      <c r="AO3" t="s">
        <v>130</v>
      </c>
      <c r="AP3" t="s">
        <v>248</v>
      </c>
      <c r="AQ3" t="s">
        <v>129</v>
      </c>
      <c r="AR3" t="s">
        <v>247</v>
      </c>
      <c r="AS3" t="s">
        <v>128</v>
      </c>
      <c r="AT3" t="s">
        <v>294</v>
      </c>
    </row>
    <row r="4" spans="1:46" x14ac:dyDescent="0.25">
      <c r="A4" s="40" t="s">
        <v>0</v>
      </c>
      <c r="B4" s="2"/>
      <c r="C4" s="2"/>
      <c r="D4" s="2"/>
      <c r="E4" s="2"/>
      <c r="F4" s="2"/>
      <c r="G4" s="2"/>
      <c r="H4" s="2"/>
      <c r="I4" s="2"/>
      <c r="J4" s="2"/>
      <c r="K4" s="2"/>
      <c r="L4" s="2"/>
      <c r="M4" s="2"/>
      <c r="N4" s="2"/>
      <c r="O4" s="2"/>
      <c r="P4" s="2"/>
      <c r="Q4" s="58" t="s">
        <v>249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25</v>
      </c>
      <c r="L5" s="10">
        <f>_xlfn.SINGLE(Height)</f>
        <v>15.3</v>
      </c>
      <c r="M5" s="10"/>
      <c r="N5" s="10"/>
      <c r="O5" s="10"/>
      <c r="P5" s="10"/>
      <c r="Q5" s="11" t="s">
        <v>237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25</v>
      </c>
      <c r="L6" s="12">
        <f>_xlfn.SINGLE(Height)</f>
        <v>15.3</v>
      </c>
      <c r="M6" s="12"/>
      <c r="N6" s="12"/>
      <c r="O6" s="12"/>
      <c r="P6" s="12"/>
      <c r="Q6" s="13" t="s">
        <v>238</v>
      </c>
      <c r="S6" s="5" t="s">
        <v>98</v>
      </c>
      <c r="T6" s="5">
        <v>0.2</v>
      </c>
      <c r="U6" s="5" t="s">
        <v>44</v>
      </c>
    </row>
    <row r="7" spans="1:46" x14ac:dyDescent="0.25">
      <c r="A7" s="2">
        <v>3</v>
      </c>
      <c r="B7" s="49" t="s">
        <v>55</v>
      </c>
      <c r="C7" s="50" t="s">
        <v>245</v>
      </c>
      <c r="D7" s="49">
        <v>0</v>
      </c>
      <c r="E7" s="49" t="e">
        <f>Period</f>
        <v>#NAME?</v>
      </c>
      <c r="F7" s="49">
        <v>0</v>
      </c>
      <c r="G7" s="49" t="e">
        <f>UnitCells-1</f>
        <v>#NAME?</v>
      </c>
      <c r="H7" s="49"/>
      <c r="I7" s="49"/>
      <c r="J7" s="49"/>
      <c r="K7" s="49"/>
      <c r="L7" s="49"/>
      <c r="M7" s="49"/>
      <c r="N7" s="49"/>
      <c r="O7" s="49"/>
      <c r="P7" s="49"/>
      <c r="Q7" s="59" t="s">
        <v>242</v>
      </c>
      <c r="S7" s="5" t="s">
        <v>87</v>
      </c>
      <c r="T7" s="5">
        <v>1</v>
      </c>
      <c r="U7" s="5" t="s">
        <v>89</v>
      </c>
    </row>
    <row r="8" spans="1:46" x14ac:dyDescent="0.25">
      <c r="A8" s="2">
        <v>4</v>
      </c>
      <c r="B8" s="14" t="s">
        <v>17</v>
      </c>
      <c r="C8" s="14" t="s">
        <v>244</v>
      </c>
      <c r="D8" s="14" t="s">
        <v>2</v>
      </c>
      <c r="E8" s="14" t="e">
        <f>CONCATENATE("R",QuarterPeriod)</f>
        <v>#NAME?</v>
      </c>
      <c r="F8" s="14" t="s">
        <v>100</v>
      </c>
      <c r="G8" s="14">
        <v>90</v>
      </c>
      <c r="H8" s="14"/>
      <c r="I8" s="14"/>
      <c r="J8" s="14"/>
      <c r="K8" s="14"/>
      <c r="L8" s="14"/>
      <c r="M8" s="14"/>
      <c r="N8" s="14"/>
      <c r="O8" s="14"/>
      <c r="P8" s="14"/>
      <c r="Q8" s="14" t="s">
        <v>239</v>
      </c>
      <c r="S8" s="5" t="s">
        <v>88</v>
      </c>
      <c r="T8" s="5">
        <v>1</v>
      </c>
      <c r="U8" s="5" t="s">
        <v>89</v>
      </c>
    </row>
    <row r="9" spans="1:46" x14ac:dyDescent="0.25">
      <c r="A9" s="2">
        <v>5</v>
      </c>
      <c r="B9" s="15" t="s">
        <v>55</v>
      </c>
      <c r="C9" s="25" t="s">
        <v>230</v>
      </c>
      <c r="D9" s="15" t="e">
        <f>Period</f>
        <v>#NAME?</v>
      </c>
      <c r="E9" s="15">
        <v>0</v>
      </c>
      <c r="F9" s="15">
        <v>0</v>
      </c>
      <c r="G9" s="15" t="e">
        <f>UnitCells-1</f>
        <v>#NAME?</v>
      </c>
      <c r="H9" s="15"/>
      <c r="I9" s="15"/>
      <c r="J9" s="15"/>
      <c r="K9" s="15"/>
      <c r="L9" s="15"/>
      <c r="M9" s="15"/>
      <c r="N9" s="15"/>
      <c r="O9" s="15"/>
      <c r="P9" s="15"/>
      <c r="Q9" s="16" t="s">
        <v>240</v>
      </c>
      <c r="S9" s="5" t="s">
        <v>193</v>
      </c>
      <c r="T9" s="5" t="s">
        <v>204</v>
      </c>
      <c r="U9" s="5"/>
    </row>
    <row r="10" spans="1:46" x14ac:dyDescent="0.25">
      <c r="A10" s="2">
        <v>6</v>
      </c>
      <c r="B10" s="3" t="s">
        <v>55</v>
      </c>
      <c r="C10" s="48" t="s">
        <v>246</v>
      </c>
      <c r="D10" s="3">
        <v>0</v>
      </c>
      <c r="E10" s="3">
        <v>0</v>
      </c>
      <c r="F10" s="3" t="e">
        <f>SecondLayerOffset</f>
        <v>#NAME?</v>
      </c>
      <c r="G10" s="3" t="e">
        <f>NumberOfLayers-1</f>
        <v>#NAME?</v>
      </c>
      <c r="H10" s="3"/>
      <c r="I10" s="3"/>
      <c r="J10" s="3"/>
      <c r="K10" s="3"/>
      <c r="L10" s="3"/>
      <c r="M10" s="3"/>
      <c r="N10" s="3"/>
      <c r="O10" s="3"/>
      <c r="P10" s="3"/>
      <c r="Q10" s="45" t="s">
        <v>241</v>
      </c>
      <c r="S10" s="5" t="s">
        <v>194</v>
      </c>
      <c r="T10" s="5">
        <v>0</v>
      </c>
      <c r="U10" s="5"/>
    </row>
    <row r="11" spans="1:46" x14ac:dyDescent="0.25">
      <c r="A11" s="2">
        <v>7</v>
      </c>
      <c r="B11" s="8" t="s">
        <v>52</v>
      </c>
      <c r="C11" s="8">
        <v>6</v>
      </c>
      <c r="D11" s="70" t="s">
        <v>504</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243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298</v>
      </c>
      <c r="T12" s="5">
        <v>60</v>
      </c>
      <c r="U12" s="5" t="s">
        <v>43</v>
      </c>
      <c r="V12" s="1"/>
    </row>
    <row r="13" spans="1:46" ht="14.45" customHeight="1" x14ac:dyDescent="0.25">
      <c r="A13" s="2">
        <v>9</v>
      </c>
      <c r="B13" s="29"/>
      <c r="C13" s="147" t="s">
        <v>302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296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297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505</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506</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299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252</v>
      </c>
      <c r="T33" s="96" t="s">
        <v>253</v>
      </c>
      <c r="U33" s="97" t="s">
        <v>291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286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231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232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234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287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236</v>
      </c>
      <c r="T50" s="77" t="e">
        <f>NumberOfLayers*SecondLayerOffset</f>
        <v>#NAME?</v>
      </c>
      <c r="U50" s="92" t="s">
        <v>44</v>
      </c>
    </row>
    <row r="51" spans="1:46" x14ac:dyDescent="0.25">
      <c r="S51" s="77" t="s">
        <v>235</v>
      </c>
      <c r="T51" s="77">
        <f>_xlfn.SINGLE(Height)/2</f>
        <v>7.65</v>
      </c>
      <c r="U51" s="92" t="s">
        <v>44</v>
      </c>
    </row>
    <row r="53" spans="1:46" x14ac:dyDescent="0.25">
      <c r="A53" s="58" t="s">
        <v>129</v>
      </c>
      <c r="B53" s="2" t="s">
        <v>282</v>
      </c>
      <c r="C53" s="58" t="s">
        <v>128</v>
      </c>
      <c r="D53" s="2" t="s">
        <v>294</v>
      </c>
      <c r="E53" s="29"/>
      <c r="F53" s="29"/>
      <c r="G53" s="29"/>
      <c r="H53" s="29"/>
      <c r="I53" s="29"/>
      <c r="J53" s="29"/>
      <c r="K53" s="29"/>
      <c r="L53" s="29"/>
      <c r="M53" s="29"/>
      <c r="N53" s="29"/>
      <c r="O53" s="29"/>
      <c r="P53" s="29"/>
      <c r="AO53" t="s">
        <v>130</v>
      </c>
      <c r="AP53" t="s">
        <v>281</v>
      </c>
      <c r="AQ53" t="s">
        <v>129</v>
      </c>
      <c r="AR53" t="s">
        <v>282</v>
      </c>
      <c r="AS53" t="s">
        <v>128</v>
      </c>
      <c r="AT53" t="s">
        <v>294</v>
      </c>
    </row>
    <row r="54" spans="1:46" x14ac:dyDescent="0.25">
      <c r="A54" s="40" t="s">
        <v>0</v>
      </c>
      <c r="B54" s="41"/>
      <c r="C54" s="18"/>
      <c r="D54" s="18"/>
      <c r="E54" s="18"/>
      <c r="F54" s="18"/>
      <c r="G54" s="18"/>
      <c r="H54" s="18"/>
      <c r="I54" s="18"/>
      <c r="J54" s="18"/>
      <c r="K54" s="18"/>
      <c r="L54" s="18"/>
      <c r="M54" s="18"/>
      <c r="N54" s="18"/>
      <c r="O54" s="18"/>
      <c r="P54" s="18"/>
      <c r="Q54" s="58" t="s">
        <v>249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2</v>
      </c>
      <c r="M55" s="28"/>
      <c r="N55" s="28"/>
      <c r="O55" s="28"/>
      <c r="P55" s="28"/>
      <c r="Q55" s="6" t="s">
        <v>270</v>
      </c>
      <c r="S55" s="95" t="s">
        <v>40</v>
      </c>
      <c r="T55" s="3"/>
      <c r="U55" s="5"/>
    </row>
    <row r="56" spans="1:46" x14ac:dyDescent="0.25">
      <c r="A56" s="20">
        <v>2</v>
      </c>
      <c r="B56" s="26" t="s">
        <v>54</v>
      </c>
      <c r="C56" s="19" t="s">
        <v>250</v>
      </c>
      <c r="D56" s="26">
        <f>50+(45/2)</f>
        <v>72.5</v>
      </c>
      <c r="E56" s="26">
        <f>50+(45/2)</f>
        <v>72.5</v>
      </c>
      <c r="F56" s="26">
        <v>-90</v>
      </c>
      <c r="G56" s="26">
        <v>0</v>
      </c>
      <c r="H56" s="26">
        <v>3</v>
      </c>
      <c r="I56" s="26"/>
      <c r="J56" s="26"/>
      <c r="K56" s="26"/>
      <c r="L56" s="26"/>
      <c r="M56" s="26"/>
      <c r="N56" s="26"/>
      <c r="O56" s="26"/>
      <c r="P56" s="26"/>
      <c r="Q56" s="24" t="s">
        <v>271</v>
      </c>
      <c r="S56" s="5" t="s">
        <v>98</v>
      </c>
      <c r="T56" s="5">
        <v>0.2</v>
      </c>
      <c r="U56" s="5" t="s">
        <v>44</v>
      </c>
    </row>
    <row r="57" spans="1:46" x14ac:dyDescent="0.25">
      <c r="A57" s="20">
        <v>3</v>
      </c>
      <c r="B57" s="23" t="s">
        <v>55</v>
      </c>
      <c r="C57" s="22" t="s">
        <v>245</v>
      </c>
      <c r="D57" s="23">
        <v>0</v>
      </c>
      <c r="E57" s="23">
        <v>0</v>
      </c>
      <c r="F57" s="23">
        <f>_xlfn.SINGLE(LayerHeight)</f>
        <v>2</v>
      </c>
      <c r="G57" s="23">
        <f>(45/_xlfn.SINGLE(LayerHeight))-1</f>
        <v>21.5</v>
      </c>
      <c r="H57" s="23"/>
      <c r="I57" s="23"/>
      <c r="J57" s="23"/>
      <c r="K57" s="23"/>
      <c r="L57" s="23"/>
      <c r="M57" s="23"/>
      <c r="N57" s="23"/>
      <c r="O57" s="23"/>
      <c r="P57" s="23"/>
      <c r="Q57" s="7" t="s">
        <v>272</v>
      </c>
      <c r="S57" s="5" t="s">
        <v>87</v>
      </c>
      <c r="T57" s="5">
        <v>1</v>
      </c>
      <c r="U57" s="5" t="s">
        <v>89</v>
      </c>
    </row>
    <row r="58" spans="1:46" x14ac:dyDescent="0.25">
      <c r="A58" s="20">
        <v>4</v>
      </c>
      <c r="B58" s="35" t="s">
        <v>52</v>
      </c>
      <c r="C58" s="35">
        <v>3</v>
      </c>
      <c r="D58" s="36" t="s">
        <v>22</v>
      </c>
      <c r="E58" s="35">
        <f>14/_xlfn.SINGLE(LayerHeight)-1</f>
        <v>6</v>
      </c>
      <c r="F58" s="35">
        <f>(14+1.4)/_xlfn.SINGLE(LayerHeight)-1</f>
        <v>6.7</v>
      </c>
      <c r="G58" s="35" t="s">
        <v>24</v>
      </c>
      <c r="H58" s="35" t="e">
        <f>-(ShoulderThickness-GaugeThickness)/(F58-E58)</f>
        <v>#NAME?</v>
      </c>
      <c r="I58" s="35"/>
      <c r="J58" s="35"/>
      <c r="K58" s="35"/>
      <c r="L58" s="35"/>
      <c r="M58" s="35"/>
      <c r="N58" s="35"/>
      <c r="O58" s="35"/>
      <c r="P58" s="35"/>
      <c r="Q58" s="9" t="s">
        <v>274</v>
      </c>
      <c r="S58" s="5" t="s">
        <v>88</v>
      </c>
      <c r="T58" s="5">
        <v>1</v>
      </c>
      <c r="U58" s="5" t="s">
        <v>89</v>
      </c>
    </row>
    <row r="59" spans="1:46" x14ac:dyDescent="0.25">
      <c r="A59" s="20">
        <v>5</v>
      </c>
      <c r="B59" s="37" t="s">
        <v>52</v>
      </c>
      <c r="C59" s="37">
        <v>3</v>
      </c>
      <c r="D59" s="38" t="s">
        <v>22</v>
      </c>
      <c r="E59" s="37">
        <f>(14+1.4)/_xlfn.SINGLE(LayerHeight)-1</f>
        <v>6.7</v>
      </c>
      <c r="F59" s="37">
        <f>(14+1.4+14)/_xlfn.SINGLE(LayerHeight)-1</f>
        <v>13.7</v>
      </c>
      <c r="G59" s="37" t="s">
        <v>15</v>
      </c>
      <c r="H59" s="37" t="e">
        <f>GaugeThickness</f>
        <v>#NAME?</v>
      </c>
      <c r="I59" s="37"/>
      <c r="J59" s="37"/>
      <c r="K59" s="37"/>
      <c r="L59" s="37"/>
      <c r="M59" s="37"/>
      <c r="N59" s="37"/>
      <c r="O59" s="37"/>
      <c r="P59" s="37"/>
      <c r="Q59" s="17" t="s">
        <v>273</v>
      </c>
      <c r="S59" s="5" t="s">
        <v>193</v>
      </c>
      <c r="T59" s="5" t="s">
        <v>204</v>
      </c>
      <c r="U59" s="5"/>
    </row>
    <row r="60" spans="1:46" x14ac:dyDescent="0.25">
      <c r="A60" s="20">
        <v>6</v>
      </c>
      <c r="B60" s="27" t="s">
        <v>52</v>
      </c>
      <c r="C60" s="27">
        <v>3</v>
      </c>
      <c r="D60" s="39" t="s">
        <v>22</v>
      </c>
      <c r="E60" s="27">
        <f>(14+1.4+14)/_xlfn.SINGLE(LayerHeight)-1</f>
        <v>13.7</v>
      </c>
      <c r="F60" s="27">
        <f>(14+1.4+14+1.4)/_xlfn.SINGLE(LayerHeight)-1</f>
        <v>14.399999999999999</v>
      </c>
      <c r="G60" s="27" t="s">
        <v>15</v>
      </c>
      <c r="H60" s="27" t="e">
        <f>GaugeThickness</f>
        <v>#NAME?</v>
      </c>
      <c r="I60" s="27"/>
      <c r="J60" s="27"/>
      <c r="K60" s="27"/>
      <c r="L60" s="27"/>
      <c r="M60" s="27"/>
      <c r="N60" s="27"/>
      <c r="O60" s="27"/>
      <c r="P60" s="27"/>
      <c r="Q60" s="16" t="s">
        <v>276</v>
      </c>
      <c r="S60" s="5" t="s">
        <v>194</v>
      </c>
      <c r="T60" s="5">
        <v>0</v>
      </c>
      <c r="U60" s="5"/>
    </row>
    <row r="61" spans="1:46" x14ac:dyDescent="0.25">
      <c r="A61" s="20">
        <v>7</v>
      </c>
      <c r="B61" s="27" t="s">
        <v>52</v>
      </c>
      <c r="C61" s="27">
        <v>3</v>
      </c>
      <c r="D61" s="39" t="s">
        <v>22</v>
      </c>
      <c r="E61" s="27">
        <f>(14+1.4+14)/_xlfn.SINGLE(LayerHeight)-1</f>
        <v>13.7</v>
      </c>
      <c r="F61" s="27">
        <f>(14+1.4+14+1.4)/_xlfn.SINGLE(LayerHeight)-1</f>
        <v>14.399999999999999</v>
      </c>
      <c r="G61" s="27" t="s">
        <v>24</v>
      </c>
      <c r="H61" s="27" t="e">
        <f>(ShoulderThickness-GaugeThickness)/(F61-E61)</f>
        <v>#NAME?</v>
      </c>
      <c r="I61" s="27"/>
      <c r="J61" s="27"/>
      <c r="K61" s="27"/>
      <c r="L61" s="27"/>
      <c r="M61" s="27"/>
      <c r="N61" s="27"/>
      <c r="O61" s="27"/>
      <c r="P61" s="27"/>
      <c r="Q61" s="16" t="s">
        <v>275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298</v>
      </c>
      <c r="T62" s="5">
        <v>60</v>
      </c>
      <c r="U62" s="5" t="s">
        <v>43</v>
      </c>
      <c r="V62" s="1"/>
    </row>
    <row r="63" spans="1:46" x14ac:dyDescent="0.25">
      <c r="A63" s="20">
        <v>9</v>
      </c>
      <c r="B63" s="20"/>
      <c r="C63" s="20"/>
      <c r="D63" s="20" t="s">
        <v>277</v>
      </c>
      <c r="E63" s="20"/>
      <c r="F63" s="46" t="s">
        <v>278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279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280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299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252</v>
      </c>
      <c r="T83" s="96" t="s">
        <v>253</v>
      </c>
      <c r="U83" s="97" t="s">
        <v>291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269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267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268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284</v>
      </c>
      <c r="C89" s="58" t="s">
        <v>128</v>
      </c>
      <c r="D89" s="2" t="s">
        <v>294</v>
      </c>
      <c r="E89" s="29"/>
      <c r="F89" s="29"/>
      <c r="G89" s="29"/>
      <c r="H89" s="29"/>
      <c r="I89" s="29"/>
      <c r="J89" s="29"/>
      <c r="K89" s="29"/>
      <c r="L89" s="29"/>
      <c r="M89" s="29"/>
      <c r="N89" s="29"/>
      <c r="O89" s="29"/>
      <c r="P89" s="29"/>
      <c r="AO89" t="s">
        <v>130</v>
      </c>
      <c r="AP89" t="s">
        <v>285</v>
      </c>
      <c r="AQ89" t="s">
        <v>129</v>
      </c>
      <c r="AR89" t="s">
        <v>284</v>
      </c>
      <c r="AS89" t="s">
        <v>128</v>
      </c>
      <c r="AT89" t="s">
        <v>294</v>
      </c>
    </row>
    <row r="90" spans="1:46" x14ac:dyDescent="0.25">
      <c r="A90" s="40" t="s">
        <v>0</v>
      </c>
      <c r="B90" s="41"/>
      <c r="C90" s="18"/>
      <c r="D90" s="18"/>
      <c r="E90" s="18"/>
      <c r="F90" s="18"/>
      <c r="G90" s="18"/>
      <c r="H90" s="18"/>
      <c r="I90" s="18"/>
      <c r="J90" s="18"/>
      <c r="K90" s="18"/>
      <c r="L90" s="18"/>
      <c r="M90" s="18"/>
      <c r="N90" s="18"/>
      <c r="O90" s="18"/>
      <c r="P90" s="18"/>
      <c r="Q90" s="58" t="s">
        <v>249</v>
      </c>
    </row>
    <row r="91" spans="1:46" x14ac:dyDescent="0.25">
      <c r="A91" s="20">
        <v>1</v>
      </c>
      <c r="B91" s="42" t="s">
        <v>111</v>
      </c>
      <c r="C91" s="42" t="s">
        <v>292</v>
      </c>
      <c r="D91" s="42" t="s">
        <v>293</v>
      </c>
      <c r="E91" s="42" t="s">
        <v>114</v>
      </c>
      <c r="F91" s="42" t="s">
        <v>113</v>
      </c>
      <c r="G91" s="42">
        <v>250</v>
      </c>
      <c r="H91" s="42">
        <f>G91*40</f>
        <v>10000</v>
      </c>
      <c r="I91" s="42">
        <v>0.5</v>
      </c>
      <c r="J91" s="42">
        <v>0.2</v>
      </c>
      <c r="K91" s="42"/>
      <c r="L91" s="42"/>
      <c r="M91" s="42"/>
      <c r="N91" s="42"/>
      <c r="O91" s="42"/>
      <c r="P91" s="42"/>
      <c r="Q91" s="42" t="s">
        <v>283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298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299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252</v>
      </c>
      <c r="T119" s="96" t="s">
        <v>253</v>
      </c>
      <c r="U119" s="97" t="s">
        <v>291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290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259</v>
      </c>
      <c r="C125" s="58" t="s">
        <v>128</v>
      </c>
      <c r="D125" s="2" t="s">
        <v>294</v>
      </c>
      <c r="E125" s="29"/>
      <c r="F125" s="29"/>
      <c r="G125" s="29"/>
      <c r="H125" s="29"/>
      <c r="I125" s="29"/>
      <c r="J125" s="29"/>
      <c r="K125" s="29"/>
      <c r="L125" s="29"/>
      <c r="M125" s="29"/>
      <c r="N125" s="29"/>
      <c r="O125" s="29"/>
      <c r="P125" s="29"/>
      <c r="AO125" t="s">
        <v>130</v>
      </c>
      <c r="AP125" t="s">
        <v>260</v>
      </c>
      <c r="AQ125" t="s">
        <v>129</v>
      </c>
      <c r="AR125" t="s">
        <v>259</v>
      </c>
      <c r="AS125" t="s">
        <v>128</v>
      </c>
      <c r="AT125" t="s">
        <v>294</v>
      </c>
    </row>
    <row r="126" spans="1:46" x14ac:dyDescent="0.25">
      <c r="A126" s="40" t="s">
        <v>0</v>
      </c>
      <c r="B126" s="41"/>
      <c r="C126" s="18"/>
      <c r="D126" s="18"/>
      <c r="E126" s="18"/>
      <c r="F126" s="18"/>
      <c r="G126" s="18"/>
      <c r="H126" s="18"/>
      <c r="I126" s="18"/>
      <c r="J126" s="18"/>
      <c r="K126" s="18"/>
      <c r="L126" s="18"/>
      <c r="M126" s="18"/>
      <c r="N126" s="18"/>
      <c r="O126" s="18"/>
      <c r="P126" s="18"/>
      <c r="Q126" s="58" t="s">
        <v>249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256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257</v>
      </c>
      <c r="S128" s="5" t="s">
        <v>98</v>
      </c>
      <c r="T128" s="5">
        <v>0.2</v>
      </c>
      <c r="U128" s="5" t="s">
        <v>44</v>
      </c>
    </row>
    <row r="129" spans="1:22" x14ac:dyDescent="0.25">
      <c r="A129" s="20">
        <v>3</v>
      </c>
      <c r="B129" s="111" t="s">
        <v>251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261</v>
      </c>
      <c r="S129" s="5" t="s">
        <v>87</v>
      </c>
      <c r="T129" s="5">
        <v>1</v>
      </c>
      <c r="U129" s="5" t="s">
        <v>89</v>
      </c>
    </row>
    <row r="130" spans="1:22" x14ac:dyDescent="0.25">
      <c r="A130" s="20">
        <v>4</v>
      </c>
      <c r="B130" s="42" t="s">
        <v>206</v>
      </c>
      <c r="C130" s="42" t="s">
        <v>22</v>
      </c>
      <c r="D130" s="42" t="s">
        <v>170</v>
      </c>
      <c r="E130" s="42">
        <f>C127</f>
        <v>50</v>
      </c>
      <c r="F130" s="42">
        <f>D127</f>
        <v>50</v>
      </c>
      <c r="G130" s="42">
        <v>0</v>
      </c>
      <c r="H130" s="42">
        <v>0</v>
      </c>
      <c r="I130" s="42" t="s">
        <v>221</v>
      </c>
      <c r="J130" s="42" t="s">
        <v>118</v>
      </c>
      <c r="K130" s="42" t="s">
        <v>118</v>
      </c>
      <c r="L130" s="42"/>
      <c r="M130" s="42"/>
      <c r="N130" s="42"/>
      <c r="O130" s="42"/>
      <c r="P130" s="42"/>
      <c r="Q130" s="4" t="s">
        <v>261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295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298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299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252</v>
      </c>
      <c r="T155" s="96" t="s">
        <v>253</v>
      </c>
      <c r="U155" s="97" t="s">
        <v>291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255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258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263</v>
      </c>
      <c r="C160" s="58" t="s">
        <v>128</v>
      </c>
      <c r="D160" s="2" t="s">
        <v>294</v>
      </c>
      <c r="E160" s="29"/>
      <c r="F160" s="29"/>
      <c r="G160" s="29"/>
      <c r="H160" s="29"/>
      <c r="I160" s="29"/>
      <c r="J160" s="29"/>
      <c r="K160" s="29"/>
      <c r="L160" s="29"/>
      <c r="M160" s="29"/>
      <c r="N160" s="29"/>
      <c r="O160" s="29"/>
      <c r="P160" s="29"/>
      <c r="AO160" t="s">
        <v>130</v>
      </c>
      <c r="AP160" t="s">
        <v>264</v>
      </c>
      <c r="AQ160" t="s">
        <v>129</v>
      </c>
      <c r="AR160" t="s">
        <v>263</v>
      </c>
      <c r="AS160" t="s">
        <v>128</v>
      </c>
      <c r="AT160" t="s">
        <v>294</v>
      </c>
    </row>
    <row r="161" spans="1:22" x14ac:dyDescent="0.25">
      <c r="A161" s="40" t="s">
        <v>0</v>
      </c>
      <c r="B161" s="41"/>
      <c r="C161" s="18"/>
      <c r="D161" s="18"/>
      <c r="E161" s="18"/>
      <c r="F161" s="18"/>
      <c r="G161" s="18"/>
      <c r="H161" s="18"/>
      <c r="I161" s="18"/>
      <c r="J161" s="18"/>
      <c r="K161" s="18"/>
      <c r="L161" s="18"/>
      <c r="M161" s="18"/>
      <c r="N161" s="18"/>
      <c r="O161" s="18"/>
      <c r="P161" s="18"/>
      <c r="Q161" s="58" t="s">
        <v>249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262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262</v>
      </c>
      <c r="S163" s="5" t="s">
        <v>98</v>
      </c>
      <c r="T163" s="5">
        <v>0.2</v>
      </c>
      <c r="U163" s="5" t="s">
        <v>44</v>
      </c>
    </row>
    <row r="164" spans="1:22" x14ac:dyDescent="0.25">
      <c r="A164" s="20">
        <v>3</v>
      </c>
      <c r="B164" s="8" t="s">
        <v>1</v>
      </c>
      <c r="C164" s="8" t="s">
        <v>18</v>
      </c>
      <c r="D164" s="8" t="s">
        <v>100</v>
      </c>
      <c r="E164" s="8" t="s">
        <v>100</v>
      </c>
      <c r="F164" s="8" t="s">
        <v>100</v>
      </c>
      <c r="G164" s="8">
        <f>_xlfn.SINGLE(StartX)</f>
        <v>40</v>
      </c>
      <c r="H164" s="8">
        <f>_xlfn.SINGLE(StartY)</f>
        <v>100</v>
      </c>
      <c r="I164" s="8">
        <v>0</v>
      </c>
      <c r="J164" s="8" t="s">
        <v>19</v>
      </c>
      <c r="K164" s="8">
        <v>0.6</v>
      </c>
      <c r="L164" s="8">
        <v>0.2</v>
      </c>
      <c r="M164" s="8"/>
      <c r="N164" s="8"/>
      <c r="O164" s="8"/>
      <c r="P164" s="8"/>
      <c r="Q164" s="9" t="s">
        <v>262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298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299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252</v>
      </c>
      <c r="T190" s="96" t="s">
        <v>253</v>
      </c>
      <c r="U190" s="97" t="s">
        <v>291</v>
      </c>
      <c r="V190" s="29"/>
      <c r="W190" s="29"/>
      <c r="X190" s="29"/>
      <c r="Y190" s="29"/>
      <c r="Z190" s="29"/>
      <c r="AA190" s="29"/>
      <c r="AB190" s="29"/>
      <c r="AC190" s="29"/>
      <c r="AD190" s="29"/>
      <c r="AE190" s="29"/>
      <c r="AF190" s="29"/>
    </row>
    <row r="191" spans="1:32" x14ac:dyDescent="0.25">
      <c r="S191" s="75"/>
      <c r="T191" s="75"/>
      <c r="U191" s="92"/>
    </row>
    <row r="192" spans="1:32" x14ac:dyDescent="0.25">
      <c r="S192" s="75" t="s">
        <v>231</v>
      </c>
      <c r="T192" s="75">
        <v>50</v>
      </c>
      <c r="U192" s="92" t="s">
        <v>44</v>
      </c>
    </row>
    <row r="193" spans="1:46" x14ac:dyDescent="0.25">
      <c r="S193" s="79" t="s">
        <v>232</v>
      </c>
      <c r="T193" s="79">
        <v>50</v>
      </c>
      <c r="U193" s="92" t="s">
        <v>44</v>
      </c>
    </row>
    <row r="195" spans="1:46" x14ac:dyDescent="0.25">
      <c r="A195" s="58" t="s">
        <v>129</v>
      </c>
      <c r="B195" s="2" t="s">
        <v>265</v>
      </c>
      <c r="C195" s="58" t="s">
        <v>128</v>
      </c>
      <c r="D195" s="2" t="s">
        <v>294</v>
      </c>
      <c r="E195" s="29"/>
      <c r="F195" s="29"/>
      <c r="G195" s="29"/>
      <c r="H195" s="29"/>
      <c r="I195" s="29"/>
      <c r="J195" s="29"/>
      <c r="K195" s="29"/>
      <c r="L195" s="29"/>
      <c r="M195" s="29"/>
      <c r="N195" s="29"/>
      <c r="O195" s="29"/>
      <c r="P195" s="29"/>
      <c r="AO195" t="s">
        <v>130</v>
      </c>
      <c r="AP195" t="s">
        <v>266</v>
      </c>
      <c r="AQ195" t="s">
        <v>129</v>
      </c>
      <c r="AR195" t="s">
        <v>265</v>
      </c>
      <c r="AS195" t="s">
        <v>128</v>
      </c>
      <c r="AT195" t="s">
        <v>294</v>
      </c>
    </row>
    <row r="196" spans="1:46" x14ac:dyDescent="0.25">
      <c r="A196" s="40" t="s">
        <v>0</v>
      </c>
      <c r="B196" s="41"/>
      <c r="C196" s="18"/>
      <c r="D196" s="18"/>
      <c r="E196" s="18"/>
      <c r="F196" s="18"/>
      <c r="G196" s="18"/>
      <c r="H196" s="18"/>
      <c r="I196" s="18"/>
      <c r="J196" s="18"/>
      <c r="K196" s="18"/>
      <c r="L196" s="18"/>
      <c r="M196" s="18"/>
      <c r="N196" s="18"/>
      <c r="O196" s="18"/>
      <c r="P196" s="18"/>
      <c r="Q196" s="58" t="s">
        <v>249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262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262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262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256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257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289</v>
      </c>
      <c r="S202" s="5" t="s">
        <v>194</v>
      </c>
      <c r="T202" s="5">
        <v>0</v>
      </c>
      <c r="U202" s="5"/>
    </row>
    <row r="203" spans="1:46" x14ac:dyDescent="0.25">
      <c r="A203" s="20">
        <v>7</v>
      </c>
      <c r="B203" s="111" t="s">
        <v>254</v>
      </c>
      <c r="C203" s="42" t="s">
        <v>127</v>
      </c>
      <c r="D203" s="42" t="s">
        <v>170</v>
      </c>
      <c r="E203" s="42">
        <f>C200</f>
        <v>50</v>
      </c>
      <c r="F203" s="42">
        <f>D200</f>
        <v>50</v>
      </c>
      <c r="G203" s="42">
        <v>0</v>
      </c>
      <c r="H203" s="42">
        <v>0</v>
      </c>
      <c r="I203" s="42" t="s">
        <v>221</v>
      </c>
      <c r="J203" s="42" t="s">
        <v>118</v>
      </c>
      <c r="K203" s="42" t="s">
        <v>118</v>
      </c>
      <c r="L203" s="42"/>
      <c r="M203" s="42"/>
      <c r="N203" s="42"/>
      <c r="O203" s="42"/>
      <c r="P203" s="42"/>
      <c r="Q203" s="4" t="s">
        <v>289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298</v>
      </c>
      <c r="T204" s="5">
        <v>60</v>
      </c>
      <c r="U204" s="5" t="s">
        <v>43</v>
      </c>
      <c r="V204" s="1"/>
    </row>
    <row r="205" spans="1:46" x14ac:dyDescent="0.25">
      <c r="A205" s="20">
        <v>9</v>
      </c>
      <c r="B205" s="20"/>
      <c r="C205" s="21" t="s">
        <v>288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299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252</v>
      </c>
      <c r="T225" s="96" t="s">
        <v>253</v>
      </c>
      <c r="U225" s="97" t="s">
        <v>291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255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258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347</v>
      </c>
      <c r="C230" s="58" t="s">
        <v>128</v>
      </c>
      <c r="D230" s="2" t="s">
        <v>294</v>
      </c>
      <c r="E230" s="29"/>
      <c r="F230" s="29"/>
      <c r="G230" s="29"/>
      <c r="H230" s="29"/>
      <c r="I230" s="29"/>
      <c r="J230" s="29"/>
      <c r="K230" s="29"/>
      <c r="L230" s="29"/>
      <c r="M230" s="29"/>
      <c r="N230" s="29"/>
      <c r="O230" s="29"/>
      <c r="P230" s="29"/>
      <c r="AO230" t="s">
        <v>130</v>
      </c>
      <c r="AP230" t="s">
        <v>348</v>
      </c>
      <c r="AQ230" t="s">
        <v>129</v>
      </c>
      <c r="AR230" t="s">
        <v>347</v>
      </c>
      <c r="AS230" t="s">
        <v>128</v>
      </c>
      <c r="AT230" t="s">
        <v>294</v>
      </c>
    </row>
    <row r="231" spans="1:46" x14ac:dyDescent="0.25">
      <c r="A231" s="40" t="s">
        <v>0</v>
      </c>
      <c r="B231" s="41"/>
      <c r="C231" s="18"/>
      <c r="D231" s="18"/>
      <c r="E231" s="18"/>
      <c r="F231" s="18"/>
      <c r="G231" s="18"/>
      <c r="H231" s="18"/>
      <c r="I231" s="18"/>
      <c r="J231" s="18"/>
      <c r="K231" s="18"/>
      <c r="L231" s="18"/>
      <c r="M231" s="18"/>
      <c r="N231" s="18"/>
      <c r="O231" s="18"/>
      <c r="P231" s="18"/>
      <c r="Q231" s="58" t="s">
        <v>249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298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299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252</v>
      </c>
      <c r="T260" s="96" t="s">
        <v>253</v>
      </c>
      <c r="U260" s="97" t="s">
        <v>291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269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267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268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226</v>
      </c>
      <c r="B1" s="71" t="s">
        <v>229</v>
      </c>
      <c r="C1" s="71" t="s">
        <v>227</v>
      </c>
      <c r="D1" s="60" t="s">
        <v>228</v>
      </c>
    </row>
    <row r="2" spans="1:17" ht="16.350000000000001" customHeight="1" x14ac:dyDescent="0.25">
      <c r="A2" s="71">
        <v>1</v>
      </c>
      <c r="B2" s="71">
        <v>1</v>
      </c>
      <c r="C2" s="60">
        <v>1</v>
      </c>
      <c r="D2" s="60" t="s">
        <v>173</v>
      </c>
      <c r="E2" s="60">
        <v>150</v>
      </c>
      <c r="F2" s="60">
        <v>125</v>
      </c>
      <c r="G2" s="60" t="s">
        <v>645</v>
      </c>
      <c r="H2" s="60">
        <v>32.5</v>
      </c>
      <c r="I2" s="60" t="s">
        <v>646</v>
      </c>
      <c r="J2" s="60">
        <v>0</v>
      </c>
      <c r="K2" s="60">
        <v>6.2831853071795862</v>
      </c>
      <c r="L2" s="60">
        <v>225</v>
      </c>
      <c r="M2" s="60">
        <v>1.2</v>
      </c>
      <c r="N2" s="60">
        <v>0.9</v>
      </c>
      <c r="Q2" s="72"/>
    </row>
    <row r="3" spans="1:17" ht="16.350000000000001" customHeight="1" x14ac:dyDescent="0.25">
      <c r="A3" s="71">
        <v>2</v>
      </c>
      <c r="B3" s="71">
        <v>2</v>
      </c>
      <c r="C3" s="60">
        <v>2</v>
      </c>
      <c r="D3" s="60" t="s">
        <v>644</v>
      </c>
      <c r="E3" s="60" t="s">
        <v>73</v>
      </c>
      <c r="F3" s="60" t="s">
        <v>74</v>
      </c>
      <c r="G3" s="60" t="s">
        <v>175</v>
      </c>
      <c r="H3" s="60" t="s">
        <v>174</v>
      </c>
      <c r="I3" s="60" t="s">
        <v>95</v>
      </c>
      <c r="J3" s="60" t="s">
        <v>96</v>
      </c>
      <c r="K3" s="60" t="s">
        <v>97</v>
      </c>
      <c r="L3" s="60" t="s">
        <v>112</v>
      </c>
      <c r="M3" s="60" t="s">
        <v>15</v>
      </c>
      <c r="N3" s="60" t="s">
        <v>11</v>
      </c>
      <c r="O3" s="60" t="s">
        <v>205</v>
      </c>
      <c r="P3" s="72" t="s">
        <v>191</v>
      </c>
      <c r="Q3" s="72" t="s">
        <v>349</v>
      </c>
    </row>
    <row r="4" spans="1:17" ht="16.350000000000001" customHeight="1" x14ac:dyDescent="0.25">
      <c r="A4" s="71">
        <v>3</v>
      </c>
      <c r="B4" s="71">
        <v>3</v>
      </c>
      <c r="C4" s="60">
        <v>3</v>
      </c>
      <c r="D4" s="60" t="s">
        <v>54</v>
      </c>
      <c r="E4" s="60" t="s">
        <v>250</v>
      </c>
      <c r="F4" s="60">
        <v>150</v>
      </c>
      <c r="G4" s="60">
        <v>125</v>
      </c>
      <c r="I4" s="60">
        <v>-1.35</v>
      </c>
      <c r="J4" s="60">
        <v>1</v>
      </c>
      <c r="Q4" s="72"/>
    </row>
    <row r="5" spans="1:17" ht="16.350000000000001" customHeight="1" x14ac:dyDescent="0.25">
      <c r="A5" s="71">
        <v>4</v>
      </c>
      <c r="B5" s="71">
        <v>1</v>
      </c>
      <c r="C5" s="60">
        <v>4</v>
      </c>
      <c r="D5" s="60" t="s">
        <v>173</v>
      </c>
      <c r="E5" s="60">
        <v>150</v>
      </c>
      <c r="F5" s="60">
        <v>125</v>
      </c>
      <c r="G5" s="60" t="s">
        <v>645</v>
      </c>
      <c r="H5" s="60">
        <v>32.5</v>
      </c>
      <c r="I5" s="60" t="s">
        <v>647</v>
      </c>
      <c r="J5" s="60">
        <v>0</v>
      </c>
      <c r="K5" s="60">
        <v>6.2831853071795862</v>
      </c>
      <c r="L5" s="60">
        <v>225</v>
      </c>
      <c r="M5" s="60">
        <v>1.2</v>
      </c>
      <c r="N5" s="60">
        <v>0.9</v>
      </c>
      <c r="P5" s="72"/>
      <c r="Q5" s="72"/>
    </row>
    <row r="6" spans="1:17" ht="16.350000000000001" customHeight="1" x14ac:dyDescent="0.25">
      <c r="A6" s="71">
        <v>4</v>
      </c>
      <c r="B6" s="71">
        <v>3</v>
      </c>
      <c r="C6" s="60">
        <v>5</v>
      </c>
      <c r="D6" s="60" t="s">
        <v>54</v>
      </c>
      <c r="E6" s="60" t="s">
        <v>619</v>
      </c>
      <c r="F6" s="60">
        <v>150</v>
      </c>
      <c r="G6" s="60">
        <v>125</v>
      </c>
      <c r="I6" s="60">
        <v>-1.35</v>
      </c>
      <c r="J6" s="60">
        <v>1</v>
      </c>
      <c r="Q6" s="72"/>
    </row>
    <row r="7" spans="1:17" ht="16.350000000000001" customHeight="1" x14ac:dyDescent="0.25">
      <c r="A7" s="71">
        <v>4</v>
      </c>
      <c r="B7" s="71">
        <v>1</v>
      </c>
      <c r="C7" s="60">
        <v>6</v>
      </c>
      <c r="D7" s="60" t="s">
        <v>173</v>
      </c>
      <c r="E7" s="60">
        <v>150</v>
      </c>
      <c r="F7" s="60">
        <v>125</v>
      </c>
      <c r="G7" s="60" t="s">
        <v>645</v>
      </c>
      <c r="H7" s="60">
        <v>32.5</v>
      </c>
      <c r="I7" s="60" t="s">
        <v>648</v>
      </c>
      <c r="J7" s="60">
        <v>0</v>
      </c>
      <c r="K7" s="60">
        <v>6.2831853071795862</v>
      </c>
      <c r="L7" s="60">
        <v>225</v>
      </c>
      <c r="M7" s="60">
        <v>1.2</v>
      </c>
      <c r="N7" s="60">
        <v>0.9</v>
      </c>
      <c r="P7" s="72"/>
      <c r="Q7" s="72"/>
    </row>
    <row r="8" spans="1:17" ht="16.350000000000001" customHeight="1" x14ac:dyDescent="0.25">
      <c r="A8" s="71">
        <v>4</v>
      </c>
      <c r="B8" s="71">
        <v>3</v>
      </c>
      <c r="C8" s="60">
        <v>7</v>
      </c>
      <c r="D8" s="60" t="s">
        <v>54</v>
      </c>
      <c r="E8" s="60" t="s">
        <v>620</v>
      </c>
      <c r="F8" s="60">
        <v>150</v>
      </c>
      <c r="G8" s="60">
        <v>125</v>
      </c>
      <c r="I8" s="60">
        <v>-1.35</v>
      </c>
      <c r="J8" s="60">
        <v>1</v>
      </c>
      <c r="Q8" s="72"/>
    </row>
    <row r="9" spans="1:17" ht="16.350000000000001" customHeight="1" x14ac:dyDescent="0.25">
      <c r="A9" s="71">
        <v>4</v>
      </c>
      <c r="B9" s="71">
        <v>1</v>
      </c>
      <c r="C9" s="60">
        <v>8</v>
      </c>
      <c r="D9" s="60" t="s">
        <v>173</v>
      </c>
      <c r="E9" s="60">
        <v>150</v>
      </c>
      <c r="F9" s="60">
        <v>125</v>
      </c>
      <c r="G9" s="60" t="s">
        <v>645</v>
      </c>
      <c r="H9" s="60">
        <v>32.5</v>
      </c>
      <c r="I9" s="60" t="s">
        <v>649</v>
      </c>
      <c r="J9" s="60">
        <v>0</v>
      </c>
      <c r="K9" s="60">
        <v>6.2831853071795862</v>
      </c>
      <c r="L9" s="60">
        <v>225</v>
      </c>
      <c r="M9" s="60">
        <v>1.2</v>
      </c>
      <c r="N9" s="60">
        <v>0.9</v>
      </c>
      <c r="P9" s="72"/>
      <c r="Q9" s="72"/>
    </row>
    <row r="10" spans="1:17" ht="16.350000000000001" customHeight="1" x14ac:dyDescent="0.25">
      <c r="A10" s="71">
        <v>4</v>
      </c>
      <c r="B10" s="71">
        <v>3</v>
      </c>
      <c r="C10" s="60">
        <v>9</v>
      </c>
      <c r="D10" s="60" t="s">
        <v>54</v>
      </c>
      <c r="E10" s="60" t="s">
        <v>641</v>
      </c>
      <c r="F10" s="60">
        <v>150</v>
      </c>
      <c r="G10" s="60">
        <v>125</v>
      </c>
      <c r="I10" s="60">
        <v>-1.35</v>
      </c>
      <c r="J10" s="60">
        <v>1</v>
      </c>
      <c r="Q10" s="72"/>
    </row>
    <row r="11" spans="1:17" ht="16.350000000000001" customHeight="1" x14ac:dyDescent="0.25">
      <c r="A11" s="71">
        <v>4</v>
      </c>
      <c r="B11" s="71">
        <v>1</v>
      </c>
      <c r="C11" s="60">
        <v>10</v>
      </c>
      <c r="D11" s="60" t="s">
        <v>173</v>
      </c>
      <c r="E11" s="60">
        <v>150</v>
      </c>
      <c r="F11" s="60">
        <v>125</v>
      </c>
      <c r="G11" s="60" t="s">
        <v>645</v>
      </c>
      <c r="H11" s="60">
        <v>32.5</v>
      </c>
      <c r="I11" s="60" t="s">
        <v>650</v>
      </c>
      <c r="J11" s="60">
        <v>0</v>
      </c>
      <c r="K11" s="60">
        <v>6.2831853071795862</v>
      </c>
      <c r="L11" s="60">
        <v>225</v>
      </c>
      <c r="M11" s="60">
        <v>1.2</v>
      </c>
      <c r="N11" s="60">
        <v>0.9</v>
      </c>
      <c r="P11" s="72"/>
      <c r="Q11" s="72"/>
    </row>
    <row r="12" spans="1:17" ht="16.350000000000001" customHeight="1" x14ac:dyDescent="0.25">
      <c r="A12" s="71">
        <v>4</v>
      </c>
      <c r="B12" s="71">
        <v>3</v>
      </c>
      <c r="C12" s="60">
        <v>11</v>
      </c>
      <c r="D12" s="60" t="s">
        <v>54</v>
      </c>
      <c r="E12" s="60" t="s">
        <v>642</v>
      </c>
      <c r="F12" s="60">
        <v>150</v>
      </c>
      <c r="G12" s="60">
        <v>125</v>
      </c>
      <c r="I12" s="60">
        <v>-1.35</v>
      </c>
      <c r="J12" s="60">
        <v>1</v>
      </c>
      <c r="Q12" s="72"/>
    </row>
    <row r="13" spans="1:17" ht="16.350000000000001" customHeight="1" x14ac:dyDescent="0.25">
      <c r="A13" s="71">
        <v>4</v>
      </c>
      <c r="B13" s="71">
        <v>1</v>
      </c>
      <c r="C13" s="60">
        <v>12</v>
      </c>
      <c r="D13" s="60" t="s">
        <v>173</v>
      </c>
      <c r="E13" s="60">
        <v>150</v>
      </c>
      <c r="F13" s="60">
        <v>125</v>
      </c>
      <c r="G13" s="60" t="s">
        <v>645</v>
      </c>
      <c r="H13" s="60">
        <v>32.5</v>
      </c>
      <c r="I13" s="60" t="s">
        <v>651</v>
      </c>
      <c r="J13" s="60">
        <v>0</v>
      </c>
      <c r="K13" s="60">
        <v>6.2831853071795862</v>
      </c>
      <c r="L13" s="60">
        <v>225</v>
      </c>
      <c r="M13" s="60">
        <v>1.2</v>
      </c>
      <c r="N13" s="60">
        <v>0.9</v>
      </c>
      <c r="P13" s="72"/>
      <c r="Q13" s="72"/>
    </row>
    <row r="14" spans="1:17" ht="16.350000000000001" customHeight="1" x14ac:dyDescent="0.25">
      <c r="A14" s="71">
        <v>4</v>
      </c>
      <c r="B14" s="71">
        <v>3</v>
      </c>
      <c r="C14" s="60">
        <v>13</v>
      </c>
      <c r="D14" s="60" t="s">
        <v>54</v>
      </c>
      <c r="E14" s="60" t="s">
        <v>643</v>
      </c>
      <c r="F14" s="60">
        <v>150</v>
      </c>
      <c r="G14" s="60">
        <v>125</v>
      </c>
      <c r="I14" s="60">
        <v>-1.35</v>
      </c>
      <c r="J14" s="60">
        <v>1</v>
      </c>
      <c r="Q14" s="72"/>
    </row>
    <row r="15" spans="1:17" ht="16.350000000000001" customHeight="1" x14ac:dyDescent="0.25">
      <c r="A15" s="71">
        <v>5</v>
      </c>
      <c r="B15" s="71">
        <v>14</v>
      </c>
      <c r="C15" s="60">
        <v>14</v>
      </c>
      <c r="D15" s="60" t="s">
        <v>173</v>
      </c>
      <c r="E15" s="60">
        <v>150</v>
      </c>
      <c r="F15" s="60">
        <v>125</v>
      </c>
      <c r="G15" s="60" t="s">
        <v>645</v>
      </c>
      <c r="H15" s="60">
        <v>32.5</v>
      </c>
      <c r="I15" s="60" t="s">
        <v>652</v>
      </c>
      <c r="J15" s="60">
        <v>0</v>
      </c>
      <c r="K15" s="60">
        <v>6.2831853071795862</v>
      </c>
      <c r="L15" s="60">
        <v>150</v>
      </c>
      <c r="M15" s="60">
        <v>1.2</v>
      </c>
      <c r="N15" s="60">
        <v>0.9</v>
      </c>
      <c r="P15" s="72"/>
      <c r="Q15" s="72"/>
    </row>
    <row r="16" spans="1:17" ht="16.350000000000001" customHeight="1" x14ac:dyDescent="0.25">
      <c r="A16" s="71">
        <v>6</v>
      </c>
      <c r="B16" s="71">
        <v>15</v>
      </c>
      <c r="C16" s="60">
        <v>15</v>
      </c>
      <c r="D16" s="60" t="s">
        <v>54</v>
      </c>
      <c r="E16" s="60" t="s">
        <v>653</v>
      </c>
      <c r="F16" s="60">
        <v>150</v>
      </c>
      <c r="G16" s="60">
        <v>125</v>
      </c>
      <c r="I16" s="60">
        <v>-1.35</v>
      </c>
      <c r="J16" s="60">
        <v>1</v>
      </c>
      <c r="O16" s="72"/>
      <c r="Q16" s="72"/>
    </row>
    <row r="17" spans="1:17" ht="16.350000000000001" customHeight="1" x14ac:dyDescent="0.25">
      <c r="A17" s="71">
        <v>7</v>
      </c>
      <c r="B17" s="71">
        <v>16</v>
      </c>
      <c r="C17" s="60">
        <v>16</v>
      </c>
      <c r="D17" s="60" t="s">
        <v>55</v>
      </c>
      <c r="E17" s="60" t="s">
        <v>654</v>
      </c>
      <c r="F17" s="60">
        <v>0</v>
      </c>
      <c r="G17" s="60">
        <v>0</v>
      </c>
      <c r="H17" s="60">
        <v>0.9</v>
      </c>
      <c r="I17" s="60">
        <v>15</v>
      </c>
      <c r="P17" s="72"/>
      <c r="Q17" s="72"/>
    </row>
    <row r="18" spans="1:17" ht="16.350000000000001" customHeight="1" x14ac:dyDescent="0.25">
      <c r="Q18" s="72"/>
    </row>
    <row r="19" spans="1:17" ht="16.350000000000001" customHeight="1" x14ac:dyDescent="0.25">
      <c r="P19" s="72"/>
      <c r="Q19" s="72"/>
    </row>
    <row r="20" spans="1:17" ht="16.350000000000001" customHeight="1" x14ac:dyDescent="0.25">
      <c r="Q20" s="72"/>
    </row>
    <row r="21" spans="1:17" ht="16.350000000000001" customHeight="1" x14ac:dyDescent="0.25">
      <c r="Q21" s="72"/>
    </row>
    <row r="22" spans="1:17" ht="16.350000000000001" customHeight="1" x14ac:dyDescent="0.25">
      <c r="Q22" s="72"/>
    </row>
    <row r="23" spans="1:17" ht="16.350000000000001" customHeight="1" x14ac:dyDescent="0.25">
      <c r="Q23" s="72"/>
    </row>
    <row r="24" spans="1:17" ht="16.350000000000001" customHeight="1" x14ac:dyDescent="0.25">
      <c r="Q24" s="72"/>
    </row>
    <row r="25" spans="1:17" ht="16.350000000000001" customHeight="1" x14ac:dyDescent="0.25">
      <c r="Q25" s="72"/>
    </row>
    <row r="26" spans="1:17" ht="16.350000000000001" customHeight="1" x14ac:dyDescent="0.25">
      <c r="Q26" s="72"/>
    </row>
    <row r="27" spans="1:17" ht="16.350000000000001" customHeight="1" x14ac:dyDescent="0.25">
      <c r="O27" s="72"/>
      <c r="Q27" s="72"/>
    </row>
    <row r="28" spans="1:17" ht="16.350000000000001" customHeight="1" x14ac:dyDescent="0.25">
      <c r="Q28" s="72"/>
    </row>
    <row r="29" spans="1:17" ht="16.350000000000001" customHeight="1" x14ac:dyDescent="0.25">
      <c r="Q29" s="72"/>
    </row>
    <row r="30" spans="1:17" ht="16.350000000000001" customHeight="1" x14ac:dyDescent="0.25">
      <c r="Q30" s="72"/>
    </row>
    <row r="31" spans="1:17" ht="16.350000000000001" customHeight="1" x14ac:dyDescent="0.25">
      <c r="Q31" s="72"/>
    </row>
    <row r="32" spans="1: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602</v>
      </c>
      <c r="C3" s="58" t="s">
        <v>128</v>
      </c>
      <c r="D3" s="2" t="s">
        <v>601</v>
      </c>
      <c r="G3" s="58" t="s">
        <v>129</v>
      </c>
      <c r="H3" s="2" t="s">
        <v>570</v>
      </c>
      <c r="I3" s="58" t="s">
        <v>128</v>
      </c>
      <c r="J3" s="2" t="s">
        <v>572</v>
      </c>
      <c r="U3" s="89"/>
      <c r="AO3" t="s">
        <v>130</v>
      </c>
      <c r="AP3" t="s">
        <v>603</v>
      </c>
      <c r="AQ3" t="s">
        <v>129</v>
      </c>
      <c r="AR3" t="s">
        <v>602</v>
      </c>
      <c r="AS3" t="s">
        <v>128</v>
      </c>
      <c r="AT3" t="s">
        <v>601</v>
      </c>
    </row>
    <row r="4" spans="1:46" x14ac:dyDescent="0.25">
      <c r="A4" s="40" t="s">
        <v>0</v>
      </c>
      <c r="B4" s="2"/>
      <c r="C4" s="2"/>
      <c r="D4" s="2"/>
      <c r="E4" s="2"/>
      <c r="F4" s="2"/>
      <c r="G4" s="2"/>
      <c r="H4" s="2"/>
      <c r="I4" s="2"/>
      <c r="J4" s="2"/>
      <c r="K4" s="2"/>
      <c r="L4" s="2"/>
      <c r="M4" s="2"/>
      <c r="N4" s="2"/>
      <c r="O4" s="2"/>
      <c r="P4" s="2"/>
      <c r="Q4" s="58" t="s">
        <v>249</v>
      </c>
      <c r="U4" s="89"/>
    </row>
    <row r="5" spans="1:46" x14ac:dyDescent="0.25">
      <c r="A5" s="2">
        <v>1</v>
      </c>
      <c r="B5" s="2" t="s">
        <v>569</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571</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426</v>
      </c>
      <c r="AC9" s="128" t="s">
        <v>441</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298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590</v>
      </c>
      <c r="U18" s="5"/>
      <c r="V18" s="122" t="s">
        <v>153</v>
      </c>
      <c r="W18" s="123" t="s">
        <v>354</v>
      </c>
      <c r="X18" s="137" t="s">
        <v>353</v>
      </c>
      <c r="Y18" s="24" t="s">
        <v>415</v>
      </c>
      <c r="Z18" s="126" t="s">
        <v>385</v>
      </c>
      <c r="AA18" s="127" t="s">
        <v>425</v>
      </c>
      <c r="AB18" s="127" t="s">
        <v>426</v>
      </c>
      <c r="AC18" s="134" t="s">
        <v>447</v>
      </c>
      <c r="AD18" s="135" t="s">
        <v>461</v>
      </c>
      <c r="AE18" s="136" t="s">
        <v>509</v>
      </c>
      <c r="AF18" s="138" t="s">
        <v>513</v>
      </c>
      <c r="AG18" s="132" t="s">
        <v>546</v>
      </c>
      <c r="AH18" s="139" t="s">
        <v>547</v>
      </c>
    </row>
    <row r="19" spans="1:34" x14ac:dyDescent="0.25">
      <c r="A19" s="2">
        <v>15</v>
      </c>
      <c r="B19" s="2"/>
      <c r="C19" s="2"/>
      <c r="D19" s="2"/>
      <c r="E19" s="2"/>
      <c r="F19" s="2"/>
      <c r="G19" s="2"/>
      <c r="H19" s="2"/>
      <c r="I19" s="2"/>
      <c r="J19" s="2"/>
      <c r="K19" s="2"/>
      <c r="L19" s="2"/>
      <c r="M19" s="2"/>
      <c r="N19" s="2"/>
      <c r="O19" s="2"/>
      <c r="P19" s="2"/>
      <c r="Q19" s="2"/>
      <c r="S19" s="5" t="s">
        <v>152</v>
      </c>
      <c r="T19" s="122" t="s">
        <v>590</v>
      </c>
      <c r="U19" s="5"/>
      <c r="V19" s="122" t="s">
        <v>125</v>
      </c>
      <c r="W19" s="123" t="s">
        <v>354</v>
      </c>
      <c r="X19" s="137" t="s">
        <v>353</v>
      </c>
      <c r="Y19" s="24" t="s">
        <v>415</v>
      </c>
      <c r="Z19" s="126" t="s">
        <v>385</v>
      </c>
      <c r="AA19" s="127" t="s">
        <v>425</v>
      </c>
      <c r="AB19" s="127" t="s">
        <v>426</v>
      </c>
      <c r="AC19" s="134" t="s">
        <v>447</v>
      </c>
      <c r="AD19" s="135" t="s">
        <v>461</v>
      </c>
      <c r="AE19" s="136" t="s">
        <v>509</v>
      </c>
      <c r="AF19" s="138" t="s">
        <v>513</v>
      </c>
      <c r="AG19" s="132" t="s">
        <v>546</v>
      </c>
      <c r="AH19" s="139" t="s">
        <v>547</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299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587</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252</v>
      </c>
      <c r="T33" s="96" t="s">
        <v>253</v>
      </c>
      <c r="U33" s="97" t="s">
        <v>291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599</v>
      </c>
      <c r="T34" s="75" t="s">
        <v>427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608</v>
      </c>
      <c r="C37" s="58" t="s">
        <v>128</v>
      </c>
      <c r="D37" s="2" t="s">
        <v>601</v>
      </c>
      <c r="G37" s="58" t="s">
        <v>129</v>
      </c>
      <c r="H37" s="2" t="s">
        <v>335</v>
      </c>
      <c r="I37" s="58" t="s">
        <v>128</v>
      </c>
      <c r="J37" s="2" t="s">
        <v>572</v>
      </c>
      <c r="U37" s="89"/>
      <c r="AO37" t="s">
        <v>130</v>
      </c>
      <c r="AP37" t="s">
        <v>609</v>
      </c>
      <c r="AQ37" t="s">
        <v>129</v>
      </c>
      <c r="AR37" t="s">
        <v>608</v>
      </c>
      <c r="AS37" t="s">
        <v>128</v>
      </c>
      <c r="AT37" t="s">
        <v>601</v>
      </c>
    </row>
    <row r="38" spans="1:46" x14ac:dyDescent="0.25">
      <c r="A38" s="40" t="s">
        <v>0</v>
      </c>
      <c r="B38" s="2"/>
      <c r="C38" s="2"/>
      <c r="D38" s="2"/>
      <c r="E38" s="2"/>
      <c r="F38" s="2"/>
      <c r="G38" s="2"/>
      <c r="H38" s="2"/>
      <c r="I38" s="2"/>
      <c r="J38" s="2"/>
      <c r="K38" s="2"/>
      <c r="L38" s="2"/>
      <c r="M38" s="2"/>
      <c r="N38" s="2"/>
      <c r="O38" s="2"/>
      <c r="P38" s="2"/>
      <c r="Q38" s="58" t="s">
        <v>249</v>
      </c>
      <c r="U38" s="89"/>
    </row>
    <row r="39" spans="1:46" x14ac:dyDescent="0.25">
      <c r="A39" s="2">
        <v>1</v>
      </c>
      <c r="B39" s="2" t="s">
        <v>1</v>
      </c>
      <c r="C39" s="2" t="s">
        <v>18</v>
      </c>
      <c r="D39" s="2">
        <v>50</v>
      </c>
      <c r="E39" s="2">
        <v>50</v>
      </c>
      <c r="F39" s="2">
        <v>0</v>
      </c>
      <c r="G39" s="2" t="s">
        <v>303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303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304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304</v>
      </c>
      <c r="I42" s="2" t="s">
        <v>100</v>
      </c>
      <c r="J42" s="2" t="s">
        <v>19</v>
      </c>
      <c r="K42" s="2">
        <v>0.4</v>
      </c>
      <c r="L42" s="2">
        <v>0.2</v>
      </c>
      <c r="M42" s="2"/>
      <c r="N42" s="2"/>
      <c r="O42" s="2"/>
      <c r="P42" s="2"/>
      <c r="Q42" s="2"/>
      <c r="S42" s="5" t="s">
        <v>88</v>
      </c>
      <c r="T42" s="5">
        <v>1</v>
      </c>
      <c r="U42" s="5" t="s">
        <v>89</v>
      </c>
    </row>
    <row r="43" spans="1:46" x14ac:dyDescent="0.25">
      <c r="A43" s="2">
        <v>5</v>
      </c>
      <c r="B43" s="2" t="s">
        <v>55</v>
      </c>
      <c r="C43" s="98" t="s">
        <v>230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298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299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252</v>
      </c>
      <c r="T67" s="96" t="s">
        <v>253</v>
      </c>
      <c r="U67" s="97" t="s">
        <v>291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610</v>
      </c>
      <c r="C71" s="58" t="s">
        <v>128</v>
      </c>
      <c r="D71" s="2" t="s">
        <v>601</v>
      </c>
      <c r="G71" s="58" t="s">
        <v>129</v>
      </c>
      <c r="H71" s="2" t="s">
        <v>604</v>
      </c>
      <c r="I71" s="58" t="s">
        <v>128</v>
      </c>
      <c r="J71" s="2" t="s">
        <v>572</v>
      </c>
      <c r="U71" s="89"/>
      <c r="AO71" t="s">
        <v>130</v>
      </c>
      <c r="AP71" t="s">
        <v>611</v>
      </c>
      <c r="AQ71" t="s">
        <v>129</v>
      </c>
      <c r="AR71" t="s">
        <v>610</v>
      </c>
      <c r="AS71" t="s">
        <v>128</v>
      </c>
      <c r="AT71" t="s">
        <v>601</v>
      </c>
    </row>
    <row r="72" spans="1:46" x14ac:dyDescent="0.25">
      <c r="A72" s="40" t="s">
        <v>0</v>
      </c>
      <c r="B72" s="2"/>
      <c r="C72" s="2"/>
      <c r="D72" s="2"/>
      <c r="E72" s="2"/>
      <c r="F72" s="2"/>
      <c r="G72" s="2"/>
      <c r="H72" s="2"/>
      <c r="I72" s="2"/>
      <c r="J72" s="2"/>
      <c r="K72" s="2"/>
      <c r="L72" s="2"/>
      <c r="M72" s="2"/>
      <c r="N72" s="2"/>
      <c r="O72" s="2"/>
      <c r="P72" s="2"/>
      <c r="Q72" s="58" t="s">
        <v>249</v>
      </c>
      <c r="U72" s="89"/>
    </row>
    <row r="73" spans="1:46" x14ac:dyDescent="0.25">
      <c r="A73" s="2">
        <v>1</v>
      </c>
      <c r="B73" s="2" t="s">
        <v>569</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571</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426</v>
      </c>
      <c r="AC77" s="128" t="s">
        <v>441</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298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590</v>
      </c>
      <c r="U86" s="5"/>
      <c r="V86" s="122" t="s">
        <v>153</v>
      </c>
      <c r="W86" s="123" t="s">
        <v>354</v>
      </c>
      <c r="X86" s="137" t="s">
        <v>353</v>
      </c>
      <c r="Y86" s="24" t="s">
        <v>415</v>
      </c>
      <c r="Z86" s="126" t="s">
        <v>385</v>
      </c>
      <c r="AA86" s="127" t="s">
        <v>425</v>
      </c>
      <c r="AB86" s="127" t="s">
        <v>426</v>
      </c>
      <c r="AC86" s="134" t="s">
        <v>447</v>
      </c>
      <c r="AD86" s="135" t="s">
        <v>461</v>
      </c>
      <c r="AE86" s="136" t="s">
        <v>509</v>
      </c>
      <c r="AF86" s="138" t="s">
        <v>513</v>
      </c>
      <c r="AG86" s="132" t="s">
        <v>546</v>
      </c>
      <c r="AH86" s="139" t="s">
        <v>547</v>
      </c>
    </row>
    <row r="87" spans="1:34" x14ac:dyDescent="0.25">
      <c r="A87" s="2">
        <v>15</v>
      </c>
      <c r="B87" s="2"/>
      <c r="C87" s="2"/>
      <c r="D87" s="2"/>
      <c r="E87" s="2"/>
      <c r="F87" s="2"/>
      <c r="G87" s="2"/>
      <c r="H87" s="2"/>
      <c r="I87" s="2"/>
      <c r="J87" s="2"/>
      <c r="K87" s="2"/>
      <c r="L87" s="2"/>
      <c r="M87" s="2"/>
      <c r="N87" s="2"/>
      <c r="O87" s="2"/>
      <c r="P87" s="2"/>
      <c r="Q87" s="2"/>
      <c r="S87" s="5" t="s">
        <v>152</v>
      </c>
      <c r="T87" s="122" t="s">
        <v>590</v>
      </c>
      <c r="U87" s="5"/>
      <c r="V87" s="122" t="s">
        <v>125</v>
      </c>
      <c r="W87" s="123" t="s">
        <v>354</v>
      </c>
      <c r="X87" s="137" t="s">
        <v>353</v>
      </c>
      <c r="Y87" s="24" t="s">
        <v>415</v>
      </c>
      <c r="Z87" s="126" t="s">
        <v>385</v>
      </c>
      <c r="AA87" s="127" t="s">
        <v>425</v>
      </c>
      <c r="AB87" s="127" t="s">
        <v>426</v>
      </c>
      <c r="AC87" s="134" t="s">
        <v>447</v>
      </c>
      <c r="AD87" s="135" t="s">
        <v>461</v>
      </c>
      <c r="AE87" s="136" t="s">
        <v>509</v>
      </c>
      <c r="AF87" s="138" t="s">
        <v>513</v>
      </c>
      <c r="AG87" s="132" t="s">
        <v>546</v>
      </c>
      <c r="AH87" s="139" t="s">
        <v>547</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299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587</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252</v>
      </c>
      <c r="T101" s="96" t="s">
        <v>253</v>
      </c>
      <c r="U101" s="97" t="s">
        <v>291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599</v>
      </c>
      <c r="T102" s="75" t="s">
        <v>427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612</v>
      </c>
      <c r="C105" s="58" t="s">
        <v>128</v>
      </c>
      <c r="D105" s="2" t="s">
        <v>601</v>
      </c>
      <c r="G105" s="58" t="s">
        <v>129</v>
      </c>
      <c r="H105" s="2" t="s">
        <v>604</v>
      </c>
      <c r="I105" s="58" t="s">
        <v>128</v>
      </c>
      <c r="J105" s="2" t="s">
        <v>572</v>
      </c>
      <c r="U105" s="89"/>
      <c r="AO105" t="s">
        <v>130</v>
      </c>
      <c r="AP105" t="s">
        <v>613</v>
      </c>
      <c r="AQ105" t="s">
        <v>129</v>
      </c>
      <c r="AR105" t="s">
        <v>612</v>
      </c>
      <c r="AS105" t="s">
        <v>128</v>
      </c>
      <c r="AT105" t="s">
        <v>601</v>
      </c>
    </row>
    <row r="106" spans="1:46" x14ac:dyDescent="0.25">
      <c r="A106" s="40" t="s">
        <v>0</v>
      </c>
      <c r="B106" s="2"/>
      <c r="C106" s="2"/>
      <c r="D106" s="2"/>
      <c r="E106" s="2"/>
      <c r="F106" s="2"/>
      <c r="G106" s="2"/>
      <c r="H106" s="2"/>
      <c r="I106" s="2"/>
      <c r="J106" s="2"/>
      <c r="K106" s="2"/>
      <c r="L106" s="2"/>
      <c r="M106" s="2"/>
      <c r="N106" s="2"/>
      <c r="O106" s="2"/>
      <c r="P106" s="2"/>
      <c r="Q106" s="58" t="s">
        <v>249</v>
      </c>
      <c r="U106" s="89"/>
    </row>
    <row r="107" spans="1:46" x14ac:dyDescent="0.25">
      <c r="A107" s="2">
        <v>1</v>
      </c>
      <c r="B107" s="2" t="s">
        <v>569</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571</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426</v>
      </c>
      <c r="AC111" s="128" t="s">
        <v>441</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298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590</v>
      </c>
      <c r="U120" s="5"/>
      <c r="V120" s="122" t="s">
        <v>153</v>
      </c>
      <c r="W120" s="123" t="s">
        <v>354</v>
      </c>
      <c r="X120" s="137" t="s">
        <v>353</v>
      </c>
      <c r="Y120" s="24" t="s">
        <v>415</v>
      </c>
      <c r="Z120" s="126" t="s">
        <v>385</v>
      </c>
      <c r="AA120" s="127" t="s">
        <v>425</v>
      </c>
      <c r="AB120" s="127" t="s">
        <v>426</v>
      </c>
      <c r="AC120" s="134" t="s">
        <v>447</v>
      </c>
      <c r="AD120" s="135" t="s">
        <v>461</v>
      </c>
      <c r="AE120" s="136" t="s">
        <v>509</v>
      </c>
      <c r="AF120" s="138" t="s">
        <v>513</v>
      </c>
      <c r="AG120" s="132" t="s">
        <v>546</v>
      </c>
      <c r="AH120" s="139" t="s">
        <v>547</v>
      </c>
    </row>
    <row r="121" spans="1:34" x14ac:dyDescent="0.25">
      <c r="A121" s="2">
        <v>15</v>
      </c>
      <c r="B121" s="2"/>
      <c r="C121" s="2"/>
      <c r="D121" s="2"/>
      <c r="E121" s="2"/>
      <c r="F121" s="2"/>
      <c r="G121" s="2"/>
      <c r="H121" s="2"/>
      <c r="I121" s="2"/>
      <c r="J121" s="2"/>
      <c r="K121" s="2"/>
      <c r="L121" s="2"/>
      <c r="M121" s="2"/>
      <c r="N121" s="2"/>
      <c r="O121" s="2"/>
      <c r="P121" s="2"/>
      <c r="Q121" s="2"/>
      <c r="S121" s="5" t="s">
        <v>152</v>
      </c>
      <c r="T121" s="122" t="s">
        <v>590</v>
      </c>
      <c r="U121" s="5"/>
      <c r="V121" s="122" t="s">
        <v>125</v>
      </c>
      <c r="W121" s="123" t="s">
        <v>354</v>
      </c>
      <c r="X121" s="137" t="s">
        <v>353</v>
      </c>
      <c r="Y121" s="24" t="s">
        <v>415</v>
      </c>
      <c r="Z121" s="126" t="s">
        <v>385</v>
      </c>
      <c r="AA121" s="127" t="s">
        <v>425</v>
      </c>
      <c r="AB121" s="127" t="s">
        <v>426</v>
      </c>
      <c r="AC121" s="134" t="s">
        <v>447</v>
      </c>
      <c r="AD121" s="135" t="s">
        <v>461</v>
      </c>
      <c r="AE121" s="136" t="s">
        <v>509</v>
      </c>
      <c r="AF121" s="138" t="s">
        <v>513</v>
      </c>
      <c r="AG121" s="132" t="s">
        <v>546</v>
      </c>
      <c r="AH121" s="139" t="s">
        <v>547</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299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587</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252</v>
      </c>
      <c r="T135" s="96" t="s">
        <v>253</v>
      </c>
      <c r="U135" s="97" t="s">
        <v>291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639</v>
      </c>
      <c r="C139" s="58" t="s">
        <v>128</v>
      </c>
      <c r="D139" s="2" t="s">
        <v>601</v>
      </c>
      <c r="G139" s="58" t="s">
        <v>129</v>
      </c>
      <c r="H139" s="2" t="s">
        <v>637</v>
      </c>
      <c r="I139" s="58" t="s">
        <v>128</v>
      </c>
      <c r="J139" s="2" t="s">
        <v>572</v>
      </c>
      <c r="U139" s="89"/>
      <c r="AO139" t="s">
        <v>130</v>
      </c>
      <c r="AP139" t="s">
        <v>640</v>
      </c>
      <c r="AQ139" t="s">
        <v>129</v>
      </c>
      <c r="AR139" t="s">
        <v>639</v>
      </c>
      <c r="AS139" t="s">
        <v>128</v>
      </c>
      <c r="AT139" t="s">
        <v>601</v>
      </c>
    </row>
    <row r="140" spans="1:46" x14ac:dyDescent="0.25">
      <c r="A140" s="40" t="s">
        <v>0</v>
      </c>
      <c r="B140" s="2"/>
      <c r="C140" s="2"/>
      <c r="D140" s="2"/>
      <c r="E140" s="2"/>
      <c r="F140" s="2"/>
      <c r="G140" s="2"/>
      <c r="H140" s="2"/>
      <c r="I140" s="2"/>
      <c r="J140" s="2"/>
      <c r="K140" s="2"/>
      <c r="L140" s="2"/>
      <c r="M140" s="2"/>
      <c r="N140" s="2"/>
      <c r="O140" s="2"/>
      <c r="P140" s="2"/>
      <c r="Q140" s="58" t="s">
        <v>249</v>
      </c>
      <c r="U140" s="89"/>
    </row>
    <row r="141" spans="1:46" x14ac:dyDescent="0.25">
      <c r="A141" s="2">
        <v>1</v>
      </c>
      <c r="B141" s="142" t="s">
        <v>614</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621</v>
      </c>
      <c r="C142" s="2" t="s">
        <v>203</v>
      </c>
      <c r="D142" s="2">
        <v>0</v>
      </c>
      <c r="E142" s="2"/>
      <c r="F142" s="2"/>
      <c r="G142" s="2"/>
      <c r="H142" s="2"/>
      <c r="I142" s="2"/>
      <c r="J142" s="2"/>
      <c r="K142" s="2"/>
      <c r="L142" s="2"/>
      <c r="M142" s="2"/>
      <c r="N142" s="2"/>
      <c r="O142" s="2"/>
      <c r="P142" s="2"/>
      <c r="Q142" s="2" t="s">
        <v>616</v>
      </c>
      <c r="S142" s="5" t="s">
        <v>98</v>
      </c>
      <c r="T142" s="5">
        <v>0.55000000000000004</v>
      </c>
      <c r="U142" s="5" t="s">
        <v>44</v>
      </c>
    </row>
    <row r="143" spans="1:46" x14ac:dyDescent="0.25">
      <c r="A143" s="2">
        <v>3</v>
      </c>
      <c r="B143" s="142" t="s">
        <v>614</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40</v>
      </c>
      <c r="E144" s="2">
        <f>StartY</f>
        <v>100</v>
      </c>
      <c r="F144" s="2">
        <v>0</v>
      </c>
      <c r="G144" s="2" t="str">
        <f>CONCATENATE("R", 3*ExtrusionSpacing_L1)</f>
        <v>R15</v>
      </c>
      <c r="H144" s="2" t="s">
        <v>100</v>
      </c>
      <c r="I144" s="2" t="s">
        <v>100</v>
      </c>
      <c r="J144" s="2" t="s">
        <v>19</v>
      </c>
      <c r="K144" s="2">
        <f>ExtrusionWidth</f>
        <v>3.75</v>
      </c>
      <c r="L144" s="2">
        <f>ExtrusionHeight</f>
        <v>2.8</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R125</v>
      </c>
      <c r="I145" s="2" t="s">
        <v>100</v>
      </c>
      <c r="J145" s="2" t="s">
        <v>19</v>
      </c>
      <c r="K145" s="2">
        <f>ExtrusionWidth</f>
        <v>3.75</v>
      </c>
      <c r="L145" s="2">
        <f>ExtrusionHeight</f>
        <v>2.8</v>
      </c>
      <c r="M145" s="2"/>
      <c r="N145" s="2"/>
      <c r="O145" s="2"/>
      <c r="P145" s="2"/>
      <c r="Q145" s="2"/>
      <c r="S145" s="5" t="s">
        <v>193</v>
      </c>
      <c r="T145" s="5" t="s">
        <v>204</v>
      </c>
      <c r="U145" s="5"/>
      <c r="V145" s="5" t="s">
        <v>204</v>
      </c>
      <c r="W145" s="5" t="s">
        <v>204</v>
      </c>
      <c r="X145" s="5" t="s">
        <v>204</v>
      </c>
      <c r="Y145" s="5" t="s">
        <v>204</v>
      </c>
      <c r="Z145" s="5" t="s">
        <v>204</v>
      </c>
      <c r="AA145" s="5" t="s">
        <v>204</v>
      </c>
      <c r="AB145" s="127" t="s">
        <v>426</v>
      </c>
      <c r="AC145" s="128" t="s">
        <v>441</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R5</v>
      </c>
      <c r="H146" s="2" t="s">
        <v>100</v>
      </c>
      <c r="I146" s="2" t="s">
        <v>100</v>
      </c>
      <c r="J146" s="2" t="s">
        <v>19</v>
      </c>
      <c r="K146" s="2">
        <f>ExtrusionWidth</f>
        <v>3.75</v>
      </c>
      <c r="L146" s="2">
        <f>ExtrusionHeight</f>
        <v>2.8</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R-125</v>
      </c>
      <c r="I147" s="2" t="s">
        <v>100</v>
      </c>
      <c r="J147" s="2" t="s">
        <v>19</v>
      </c>
      <c r="K147" s="2">
        <f>ExtrusionWidth</f>
        <v>3.75</v>
      </c>
      <c r="L147" s="2">
        <f>ExtrusionHeight</f>
        <v>2.8</v>
      </c>
      <c r="M147" s="2"/>
      <c r="N147" s="2"/>
      <c r="O147" s="2"/>
      <c r="P147" s="2"/>
      <c r="Q147" s="2"/>
      <c r="S147" s="57"/>
      <c r="T147" s="57"/>
      <c r="U147" s="90"/>
    </row>
    <row r="148" spans="1:34" x14ac:dyDescent="0.25">
      <c r="A148" s="2">
        <v>8</v>
      </c>
      <c r="B148" s="2" t="s">
        <v>55</v>
      </c>
      <c r="C148" s="98" t="s">
        <v>623</v>
      </c>
      <c r="D148" s="2">
        <f>4*ExtrusionSpacing_L1</f>
        <v>20</v>
      </c>
      <c r="E148" s="2">
        <v>0</v>
      </c>
      <c r="F148" s="2">
        <v>0</v>
      </c>
      <c r="G148" s="2">
        <v>20</v>
      </c>
      <c r="H148" s="2"/>
      <c r="I148" s="2"/>
      <c r="J148" s="2"/>
      <c r="K148" s="2"/>
      <c r="L148" s="2"/>
      <c r="M148" s="2"/>
      <c r="N148" s="2"/>
      <c r="O148" s="2"/>
      <c r="P148" s="2"/>
      <c r="Q148" s="2"/>
      <c r="S148" s="5" t="s">
        <v>298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631</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589</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614</v>
      </c>
      <c r="C152" s="2" t="s">
        <v>18</v>
      </c>
      <c r="D152" s="2" t="s">
        <v>100</v>
      </c>
      <c r="E152" s="2" t="s">
        <v>100</v>
      </c>
      <c r="F152" s="2" t="s">
        <v>100</v>
      </c>
      <c r="G152" s="2">
        <f>50+ExtrusionSpacing_L1</f>
        <v>55</v>
      </c>
      <c r="H152" s="2">
        <f>50+Length+ExtrusionSpacing_L1</f>
        <v>180</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45</v>
      </c>
      <c r="E153" s="2">
        <f>StartY+Length+ExtrusionSpacing_L1</f>
        <v>230</v>
      </c>
      <c r="F153" s="2">
        <v>1E-4</v>
      </c>
      <c r="G153" s="2" t="s">
        <v>100</v>
      </c>
      <c r="H153" s="2" t="str">
        <f>CONCATENATE("R-", Length)</f>
        <v>R-125</v>
      </c>
      <c r="I153" s="2" t="s">
        <v>100</v>
      </c>
      <c r="J153" s="2" t="s">
        <v>19</v>
      </c>
      <c r="K153" s="2">
        <f>ExtrusionWidth</f>
        <v>3.75</v>
      </c>
      <c r="L153" s="2">
        <f>ExtrusionHeight</f>
        <v>2.8</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R5</v>
      </c>
      <c r="H154" s="2" t="s">
        <v>100</v>
      </c>
      <c r="I154" s="2" t="s">
        <v>100</v>
      </c>
      <c r="J154" s="2" t="s">
        <v>19</v>
      </c>
      <c r="K154" s="2">
        <f>ExtrusionWidth</f>
        <v>3.75</v>
      </c>
      <c r="L154" s="2">
        <f>ExtrusionHeight</f>
        <v>2.8</v>
      </c>
      <c r="M154" s="2"/>
      <c r="N154" s="2"/>
      <c r="O154" s="2"/>
      <c r="P154" s="2"/>
      <c r="Q154" s="2"/>
      <c r="S154" s="5" t="s">
        <v>108</v>
      </c>
      <c r="T154" s="122" t="s">
        <v>590</v>
      </c>
      <c r="U154" s="5"/>
      <c r="V154" s="122" t="s">
        <v>153</v>
      </c>
      <c r="W154" s="123" t="s">
        <v>354</v>
      </c>
      <c r="X154" s="137" t="s">
        <v>353</v>
      </c>
      <c r="Y154" s="24" t="s">
        <v>415</v>
      </c>
      <c r="Z154" s="126" t="s">
        <v>385</v>
      </c>
      <c r="AA154" s="127" t="s">
        <v>425</v>
      </c>
      <c r="AB154" s="127" t="s">
        <v>426</v>
      </c>
      <c r="AC154" s="134" t="s">
        <v>447</v>
      </c>
      <c r="AD154" s="135" t="s">
        <v>461</v>
      </c>
      <c r="AE154" s="136" t="s">
        <v>509</v>
      </c>
      <c r="AF154" s="138" t="s">
        <v>513</v>
      </c>
      <c r="AG154" s="132" t="s">
        <v>546</v>
      </c>
      <c r="AH154" s="139" t="s">
        <v>547</v>
      </c>
    </row>
    <row r="155" spans="1:34" x14ac:dyDescent="0.25">
      <c r="A155" s="2">
        <v>15</v>
      </c>
      <c r="B155" s="143" t="s">
        <v>1</v>
      </c>
      <c r="C155" s="2" t="s">
        <v>18</v>
      </c>
      <c r="D155" s="2" t="s">
        <v>100</v>
      </c>
      <c r="E155" s="2" t="s">
        <v>100</v>
      </c>
      <c r="F155" s="2" t="s">
        <v>100</v>
      </c>
      <c r="G155" s="2" t="s">
        <v>100</v>
      </c>
      <c r="H155" s="2" t="str" cm="1">
        <f t="array" ref="H155">CONCATENATE("R", Length)</f>
        <v>R125</v>
      </c>
      <c r="I155" s="2" t="s">
        <v>100</v>
      </c>
      <c r="J155" s="2" t="s">
        <v>19</v>
      </c>
      <c r="K155" s="2">
        <f>ExtrusionWidth</f>
        <v>3.75</v>
      </c>
      <c r="L155" s="2">
        <f>ExtrusionHeight</f>
        <v>2.8</v>
      </c>
      <c r="M155" s="2"/>
      <c r="N155" s="2"/>
      <c r="O155" s="2"/>
      <c r="P155" s="2"/>
      <c r="Q155" s="2"/>
      <c r="S155" s="5" t="s">
        <v>152</v>
      </c>
      <c r="T155" s="122" t="s">
        <v>590</v>
      </c>
      <c r="U155" s="5"/>
      <c r="V155" s="122" t="s">
        <v>125</v>
      </c>
      <c r="W155" s="123" t="s">
        <v>354</v>
      </c>
      <c r="X155" s="137" t="s">
        <v>353</v>
      </c>
      <c r="Y155" s="24" t="s">
        <v>415</v>
      </c>
      <c r="Z155" s="126" t="s">
        <v>385</v>
      </c>
      <c r="AA155" s="127" t="s">
        <v>425</v>
      </c>
      <c r="AB155" s="127" t="s">
        <v>426</v>
      </c>
      <c r="AC155" s="134" t="s">
        <v>447</v>
      </c>
      <c r="AD155" s="135" t="s">
        <v>461</v>
      </c>
      <c r="AE155" s="136" t="s">
        <v>509</v>
      </c>
      <c r="AF155" s="138" t="s">
        <v>513</v>
      </c>
      <c r="AG155" s="132" t="s">
        <v>546</v>
      </c>
      <c r="AH155" s="139" t="s">
        <v>547</v>
      </c>
    </row>
    <row r="156" spans="1:34" x14ac:dyDescent="0.25">
      <c r="A156" s="2">
        <v>16</v>
      </c>
      <c r="B156" s="143" t="s">
        <v>1</v>
      </c>
      <c r="C156" s="2" t="s">
        <v>18</v>
      </c>
      <c r="D156" s="2" t="s">
        <v>100</v>
      </c>
      <c r="E156" s="2" t="s">
        <v>100</v>
      </c>
      <c r="F156" s="2" t="s">
        <v>100</v>
      </c>
      <c r="G156" s="2" t="str">
        <f>CONCATENATE("R", 3*ExtrusionSpacing_L1)</f>
        <v>R15</v>
      </c>
      <c r="H156" s="2" t="s">
        <v>100</v>
      </c>
      <c r="I156" s="2" t="s">
        <v>100</v>
      </c>
      <c r="J156" s="2" t="s">
        <v>19</v>
      </c>
      <c r="K156" s="2">
        <f>ExtrusionWidth</f>
        <v>3.75</v>
      </c>
      <c r="L156" s="2">
        <f>ExtrusionHeight</f>
        <v>2.8</v>
      </c>
      <c r="M156" s="2"/>
      <c r="N156" s="2"/>
      <c r="O156" s="2"/>
      <c r="P156" s="2"/>
      <c r="Q156" s="2"/>
      <c r="S156" s="5" t="s">
        <v>167</v>
      </c>
      <c r="T156" s="5">
        <v>20</v>
      </c>
      <c r="U156" s="5" t="s">
        <v>44</v>
      </c>
    </row>
    <row r="157" spans="1:34" x14ac:dyDescent="0.25">
      <c r="A157" s="2">
        <v>17</v>
      </c>
      <c r="B157" s="143" t="s">
        <v>55</v>
      </c>
      <c r="C157" s="98" t="s">
        <v>622</v>
      </c>
      <c r="D157" s="2">
        <f>4*ExtrusionSpacing_L1</f>
        <v>20</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2</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614</v>
      </c>
      <c r="C159" s="2" t="s">
        <v>18</v>
      </c>
      <c r="D159" s="2" t="s">
        <v>100</v>
      </c>
      <c r="E159" s="2" t="s">
        <v>100</v>
      </c>
      <c r="F159" s="2" t="s">
        <v>100</v>
      </c>
      <c r="G159" s="2">
        <f>50+ExtrusionSpacing_L1</f>
        <v>55</v>
      </c>
      <c r="H159" s="2">
        <f>50+Length+ExtrusionSpacing_L1</f>
        <v>180</v>
      </c>
      <c r="I159" s="2"/>
      <c r="J159" s="2" t="s">
        <v>23</v>
      </c>
      <c r="K159" s="2"/>
      <c r="L159" s="2"/>
      <c r="M159" s="2"/>
      <c r="N159" s="2"/>
      <c r="O159" s="2"/>
      <c r="P159" s="2"/>
      <c r="Q159" s="2"/>
      <c r="S159" s="78" t="s">
        <v>299</v>
      </c>
      <c r="T159" s="5">
        <v>0</v>
      </c>
      <c r="U159" s="5"/>
      <c r="V159" s="1"/>
    </row>
    <row r="160" spans="1:34" x14ac:dyDescent="0.25">
      <c r="A160" s="2">
        <v>20</v>
      </c>
      <c r="B160" s="2" t="s">
        <v>1</v>
      </c>
      <c r="C160" s="2" t="s">
        <v>18</v>
      </c>
      <c r="D160" s="2" cm="1">
        <f t="array" ref="D160">StartX</f>
        <v>40</v>
      </c>
      <c r="E160" s="2">
        <f>StartY</f>
        <v>100</v>
      </c>
      <c r="F160" s="2" t="s">
        <v>100</v>
      </c>
      <c r="G160" s="2" t="str">
        <f>CONCATENATE("R", 3*ExtrusionSpacing_L1)</f>
        <v>R15</v>
      </c>
      <c r="H160" s="2" t="s">
        <v>100</v>
      </c>
      <c r="I160" s="2" t="s">
        <v>100</v>
      </c>
      <c r="J160" s="2" t="s">
        <v>19</v>
      </c>
      <c r="K160" s="2">
        <f>ExtrusionWidth</f>
        <v>3.75</v>
      </c>
      <c r="L160" s="2">
        <f>ExtrusionHeight</f>
        <v>2.8</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R125</v>
      </c>
      <c r="I161" s="2" t="s">
        <v>100</v>
      </c>
      <c r="J161" s="2" t="s">
        <v>19</v>
      </c>
      <c r="K161" s="2">
        <f>ExtrusionWidth</f>
        <v>3.75</v>
      </c>
      <c r="L161" s="2">
        <f>ExtrusionHeight</f>
        <v>2.8</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R5</v>
      </c>
      <c r="H162" s="2" t="s">
        <v>100</v>
      </c>
      <c r="I162" s="2" t="s">
        <v>100</v>
      </c>
      <c r="J162" s="2" t="s">
        <v>19</v>
      </c>
      <c r="K162" s="2">
        <f>ExtrusionWidth</f>
        <v>3.75</v>
      </c>
      <c r="L162" s="2">
        <f>ExtrusionHeight</f>
        <v>2.8</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R-125</v>
      </c>
      <c r="I163" s="2" t="s">
        <v>100</v>
      </c>
      <c r="J163" s="2" t="s">
        <v>19</v>
      </c>
      <c r="K163" s="2">
        <f>ExtrusionWidth</f>
        <v>3.75</v>
      </c>
      <c r="L163" s="2">
        <f>ExtrusionHeight</f>
        <v>2.8</v>
      </c>
      <c r="M163" s="2"/>
      <c r="N163" s="2"/>
      <c r="O163" s="2"/>
      <c r="P163" s="2"/>
      <c r="Q163" s="2"/>
      <c r="S163" s="5" t="s">
        <v>161</v>
      </c>
      <c r="T163" s="5">
        <v>2500</v>
      </c>
      <c r="U163" s="5" t="s">
        <v>45</v>
      </c>
    </row>
    <row r="164" spans="1:40" x14ac:dyDescent="0.25">
      <c r="A164" s="2">
        <v>24</v>
      </c>
      <c r="B164" s="143" t="s">
        <v>55</v>
      </c>
      <c r="C164" s="98" t="s">
        <v>630</v>
      </c>
      <c r="D164" s="2">
        <f>4*ExtrusionSpacing_L1</f>
        <v>20</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631</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589</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614</v>
      </c>
      <c r="C168" s="2" t="s">
        <v>18</v>
      </c>
      <c r="D168" s="2" t="s">
        <v>100</v>
      </c>
      <c r="E168" s="2" t="s">
        <v>100</v>
      </c>
      <c r="F168" s="2" t="s">
        <v>100</v>
      </c>
      <c r="G168" s="2">
        <v>50</v>
      </c>
      <c r="H168" s="2">
        <v>50</v>
      </c>
      <c r="I168" s="2">
        <f>LayerHeight</f>
        <v>2</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45</v>
      </c>
      <c r="E169" s="2">
        <f>StartY+Length+ExtrusionSpacing_L1</f>
        <v>230</v>
      </c>
      <c r="F169" s="2">
        <v>0.9</v>
      </c>
      <c r="G169" s="2" t="s">
        <v>100</v>
      </c>
      <c r="H169" s="2" t="str">
        <f>CONCATENATE("R-", Length)</f>
        <v>R-125</v>
      </c>
      <c r="I169" s="2" t="s">
        <v>100</v>
      </c>
      <c r="J169" s="2" t="s">
        <v>19</v>
      </c>
      <c r="K169" s="2">
        <f>ExtrusionWidth</f>
        <v>3.75</v>
      </c>
      <c r="L169" s="2">
        <f>ExtrusionHeight</f>
        <v>2.8</v>
      </c>
      <c r="M169" s="2"/>
      <c r="N169" s="2"/>
      <c r="O169" s="143"/>
      <c r="P169" s="2"/>
      <c r="Q169" s="2"/>
      <c r="S169" s="96" t="s">
        <v>252</v>
      </c>
      <c r="T169" s="96" t="s">
        <v>253</v>
      </c>
      <c r="U169" s="97" t="s">
        <v>291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R5</v>
      </c>
      <c r="H170" s="2" t="s">
        <v>100</v>
      </c>
      <c r="I170" s="2" t="s">
        <v>100</v>
      </c>
      <c r="J170" s="2" t="s">
        <v>19</v>
      </c>
      <c r="K170" s="2">
        <f>ExtrusionWidth</f>
        <v>3.75</v>
      </c>
      <c r="L170" s="2">
        <f>ExtrusionHeight</f>
        <v>2.8</v>
      </c>
      <c r="M170" s="2"/>
      <c r="N170" s="2"/>
      <c r="O170" s="2"/>
      <c r="P170" s="2"/>
      <c r="Q170" s="2"/>
      <c r="R170" s="29"/>
      <c r="S170" s="75" t="s">
        <v>618</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R125</v>
      </c>
      <c r="I171" s="2" t="s">
        <v>100</v>
      </c>
      <c r="J171" s="2" t="s">
        <v>19</v>
      </c>
      <c r="K171" s="2">
        <f>ExtrusionWidth</f>
        <v>3.75</v>
      </c>
      <c r="L171" s="2">
        <f>ExtrusionHeight</f>
        <v>2.8</v>
      </c>
      <c r="M171" s="2"/>
      <c r="N171" s="2"/>
      <c r="O171" s="2"/>
      <c r="P171" s="2"/>
      <c r="Q171" s="2"/>
      <c r="R171" s="29"/>
      <c r="S171" s="75" t="s">
        <v>617</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R15</v>
      </c>
      <c r="H172" s="2" t="s">
        <v>100</v>
      </c>
      <c r="I172" s="2" t="s">
        <v>100</v>
      </c>
      <c r="J172" s="2" t="s">
        <v>19</v>
      </c>
      <c r="K172" s="2">
        <f>ExtrusionWidth</f>
        <v>3.75</v>
      </c>
      <c r="L172" s="2">
        <f>ExtrusionHeight</f>
        <v>2.8</v>
      </c>
      <c r="M172" s="2"/>
      <c r="N172" s="2"/>
      <c r="O172" s="2"/>
      <c r="P172" s="2"/>
      <c r="Q172" s="2"/>
      <c r="S172" s="75" t="s">
        <v>628</v>
      </c>
      <c r="T172" s="75">
        <v>1.2</v>
      </c>
      <c r="U172" s="92" t="s">
        <v>109</v>
      </c>
    </row>
    <row r="173" spans="1:40" x14ac:dyDescent="0.25">
      <c r="A173" s="2">
        <v>33</v>
      </c>
      <c r="B173" s="2" t="s">
        <v>55</v>
      </c>
      <c r="C173" s="98" t="s">
        <v>632</v>
      </c>
      <c r="D173" s="2">
        <f>4*ExtrusionSpacing_L1</f>
        <v>20</v>
      </c>
      <c r="E173" s="2">
        <v>0</v>
      </c>
      <c r="F173" s="2">
        <v>0</v>
      </c>
      <c r="G173" s="2">
        <v>20</v>
      </c>
      <c r="H173" s="2"/>
      <c r="I173" s="2"/>
      <c r="J173" s="2"/>
      <c r="K173" s="2"/>
      <c r="L173" s="2"/>
      <c r="M173" s="2"/>
      <c r="N173" s="2"/>
      <c r="O173" s="2"/>
      <c r="P173" s="2"/>
      <c r="Q173" s="2"/>
      <c r="S173" s="75" t="s">
        <v>629</v>
      </c>
      <c r="T173" s="75">
        <v>0.9</v>
      </c>
      <c r="U173" s="92" t="s">
        <v>109</v>
      </c>
    </row>
    <row r="174" spans="1:40" x14ac:dyDescent="0.25">
      <c r="A174" s="2">
        <v>34</v>
      </c>
      <c r="B174" s="143" t="s">
        <v>39</v>
      </c>
      <c r="C174" s="2">
        <v>1.25</v>
      </c>
      <c r="D174" s="2">
        <v>2100</v>
      </c>
      <c r="E174" s="2">
        <f>LayerHeight</f>
        <v>2</v>
      </c>
      <c r="F174" s="2">
        <v>10000</v>
      </c>
      <c r="G174" s="2"/>
      <c r="H174" s="2"/>
      <c r="I174" s="2"/>
      <c r="J174" s="2"/>
      <c r="K174" s="2"/>
      <c r="L174" s="2"/>
      <c r="M174" s="2"/>
      <c r="N174" s="2"/>
      <c r="O174" s="2"/>
      <c r="P174" s="2"/>
      <c r="Q174" s="2"/>
      <c r="S174" s="75" t="s">
        <v>599</v>
      </c>
      <c r="T174" s="75" t="s">
        <v>427</v>
      </c>
      <c r="U174" s="92" t="s">
        <v>109</v>
      </c>
    </row>
    <row r="175" spans="1:40" x14ac:dyDescent="0.25">
      <c r="A175" s="2">
        <v>35</v>
      </c>
      <c r="B175" s="143" t="s">
        <v>55</v>
      </c>
      <c r="C175" s="2" t="s">
        <v>633</v>
      </c>
      <c r="D175" s="2">
        <v>0</v>
      </c>
      <c r="E175" s="2">
        <v>0</v>
      </c>
      <c r="F175" s="2">
        <f>2*LayerHeight</f>
        <v>4</v>
      </c>
      <c r="G175" s="2">
        <v>15</v>
      </c>
      <c r="H175" s="2"/>
      <c r="I175" s="2"/>
      <c r="J175" s="2"/>
      <c r="K175" s="2"/>
      <c r="L175" s="2"/>
      <c r="M175" s="2"/>
      <c r="N175" s="2"/>
      <c r="O175" s="2"/>
      <c r="P175" s="2"/>
      <c r="Q175" s="2"/>
      <c r="R175" s="80"/>
      <c r="S175" s="75" t="s">
        <v>269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634</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231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232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2" sqref="B2:P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301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458</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205</v>
      </c>
      <c r="L4" s="32" t="s">
        <v>191</v>
      </c>
      <c r="M4" s="32" t="s">
        <v>192</v>
      </c>
      <c r="O4" s="61" t="s">
        <v>150</v>
      </c>
      <c r="P4" s="66" t="s">
        <v>210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205</v>
      </c>
      <c r="N5" s="32" t="s">
        <v>191</v>
      </c>
      <c r="O5" s="1" t="s">
        <v>349</v>
      </c>
      <c r="P5" s="66" t="s">
        <v>211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233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233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233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459</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225</v>
      </c>
      <c r="C16" s="30" t="s">
        <v>12</v>
      </c>
      <c r="D16" s="30" t="s">
        <v>21</v>
      </c>
      <c r="E16" s="30" t="s">
        <v>78</v>
      </c>
      <c r="F16" s="30" t="s">
        <v>79</v>
      </c>
      <c r="G16" s="30" t="s">
        <v>80</v>
      </c>
      <c r="H16" s="30" t="s">
        <v>73</v>
      </c>
      <c r="I16" s="1" t="s">
        <v>74</v>
      </c>
      <c r="J16" s="30" t="s">
        <v>58</v>
      </c>
      <c r="K16" s="30" t="s">
        <v>224</v>
      </c>
      <c r="M16" s="69" t="s">
        <v>223</v>
      </c>
      <c r="N16" s="68" t="s">
        <v>222</v>
      </c>
      <c r="O16" s="51" t="s">
        <v>577</v>
      </c>
      <c r="P16" s="51" t="s">
        <v>578</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300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219</v>
      </c>
      <c r="K29" s="51" t="s">
        <v>213</v>
      </c>
      <c r="L29" s="51" t="s">
        <v>116</v>
      </c>
      <c r="M29" s="51" t="s">
        <v>117</v>
      </c>
      <c r="N29" s="51"/>
      <c r="O29" s="55" t="s">
        <v>208</v>
      </c>
    </row>
    <row r="30" spans="1:30" s="29" customFormat="1" ht="14.45" customHeight="1" x14ac:dyDescent="0.25">
      <c r="A30" s="30"/>
      <c r="B30" s="51"/>
      <c r="C30" s="51"/>
      <c r="D30" s="51"/>
      <c r="E30" s="51"/>
      <c r="F30" s="51"/>
      <c r="G30" s="51" t="s">
        <v>26</v>
      </c>
      <c r="H30" s="51" t="s">
        <v>73</v>
      </c>
      <c r="I30" s="130" t="s">
        <v>74</v>
      </c>
      <c r="J30" s="51" t="s">
        <v>219</v>
      </c>
      <c r="K30" s="51" t="s">
        <v>213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220</v>
      </c>
      <c r="K31" s="51" t="s">
        <v>171</v>
      </c>
      <c r="L31" s="56" t="s">
        <v>218</v>
      </c>
      <c r="M31" s="51" t="s">
        <v>116</v>
      </c>
      <c r="N31" s="51" t="s">
        <v>117</v>
      </c>
      <c r="O31" s="51"/>
      <c r="P31" s="55" t="s">
        <v>209</v>
      </c>
      <c r="R31" s="66" t="s">
        <v>212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216</v>
      </c>
      <c r="I35" s="130" t="s">
        <v>217</v>
      </c>
      <c r="J35" s="56" t="s">
        <v>218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206</v>
      </c>
      <c r="C42" s="63" t="s">
        <v>12</v>
      </c>
      <c r="D42" s="150" t="s">
        <v>207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574</v>
      </c>
      <c r="Q45" s="121"/>
      <c r="R45" s="121"/>
      <c r="S45" s="121"/>
      <c r="T45" s="121"/>
    </row>
    <row r="46" spans="1:21" x14ac:dyDescent="0.25">
      <c r="B46" s="64"/>
      <c r="C46" s="64"/>
      <c r="D46" s="64" t="s">
        <v>25</v>
      </c>
      <c r="E46" s="63" t="s">
        <v>73</v>
      </c>
      <c r="F46" s="63" t="s">
        <v>74</v>
      </c>
      <c r="G46" s="63" t="s">
        <v>214</v>
      </c>
      <c r="H46" s="63" t="s">
        <v>213</v>
      </c>
      <c r="I46" s="64" t="s">
        <v>116</v>
      </c>
      <c r="J46" s="63" t="s">
        <v>117</v>
      </c>
      <c r="K46" s="64"/>
      <c r="L46" s="64"/>
      <c r="M46" s="64"/>
      <c r="N46" s="64"/>
      <c r="O46" s="54" t="s">
        <v>208</v>
      </c>
    </row>
    <row r="47" spans="1:21" ht="14.45" customHeight="1" x14ac:dyDescent="0.25">
      <c r="B47" s="64"/>
      <c r="C47" s="64"/>
      <c r="D47" s="64" t="s">
        <v>170</v>
      </c>
      <c r="E47" s="63" t="s">
        <v>73</v>
      </c>
      <c r="F47" s="63" t="s">
        <v>74</v>
      </c>
      <c r="G47" s="63" t="s">
        <v>215</v>
      </c>
      <c r="H47" s="63" t="s">
        <v>171</v>
      </c>
      <c r="I47" s="64" t="s">
        <v>218</v>
      </c>
      <c r="J47" s="63" t="s">
        <v>116</v>
      </c>
      <c r="K47" s="63" t="s">
        <v>117</v>
      </c>
      <c r="L47" s="64"/>
      <c r="M47" s="64"/>
      <c r="N47" s="64"/>
      <c r="O47" s="54" t="s">
        <v>209</v>
      </c>
      <c r="P47" s="66" t="s">
        <v>573</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0"/>
  <sheetViews>
    <sheetView zoomScale="75" zoomScaleNormal="85" workbookViewId="0">
      <selection activeCell="O1" sqref="O1:O10"/>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19</v>
      </c>
      <c r="B2">
        <v>275</v>
      </c>
      <c r="C2">
        <v>160</v>
      </c>
      <c r="D2">
        <v>1.3</v>
      </c>
      <c r="E2">
        <v>225</v>
      </c>
      <c r="F2">
        <v>140</v>
      </c>
      <c r="G2">
        <v>0</v>
      </c>
      <c r="H2">
        <v>3.75</v>
      </c>
      <c r="I2">
        <v>1.4</v>
      </c>
      <c r="J2">
        <v>0.22504789023771452</v>
      </c>
      <c r="K2">
        <v>600</v>
      </c>
      <c r="L2">
        <v>0</v>
      </c>
      <c r="N2">
        <v>1</v>
      </c>
      <c r="O2" s="60" t="s">
        <v>250</v>
      </c>
      <c r="P2" t="s">
        <v>657</v>
      </c>
      <c r="Q2" t="s">
        <v>684</v>
      </c>
    </row>
    <row r="3" spans="1:17" x14ac:dyDescent="0.25">
      <c r="A3" t="s">
        <v>19</v>
      </c>
      <c r="B3">
        <v>225</v>
      </c>
      <c r="C3">
        <v>140</v>
      </c>
      <c r="D3">
        <v>0</v>
      </c>
      <c r="E3">
        <v>225</v>
      </c>
      <c r="F3">
        <v>10</v>
      </c>
      <c r="G3">
        <v>0</v>
      </c>
      <c r="H3">
        <v>3.75</v>
      </c>
      <c r="I3">
        <v>1.4</v>
      </c>
      <c r="J3">
        <v>0.54311624330109343</v>
      </c>
      <c r="K3">
        <v>600</v>
      </c>
      <c r="L3">
        <v>0</v>
      </c>
      <c r="N3">
        <v>2</v>
      </c>
      <c r="O3" s="60" t="s">
        <v>658</v>
      </c>
      <c r="P3" t="s">
        <v>659</v>
      </c>
      <c r="Q3" t="s">
        <v>685</v>
      </c>
    </row>
    <row r="4" spans="1:17" x14ac:dyDescent="0.25">
      <c r="A4" t="s">
        <v>19</v>
      </c>
      <c r="B4">
        <v>225</v>
      </c>
      <c r="C4">
        <v>10</v>
      </c>
      <c r="D4">
        <v>0</v>
      </c>
      <c r="E4">
        <v>220</v>
      </c>
      <c r="F4">
        <v>10</v>
      </c>
      <c r="G4">
        <v>0</v>
      </c>
      <c r="H4">
        <v>3.75</v>
      </c>
      <c r="I4">
        <v>1.4</v>
      </c>
      <c r="J4">
        <v>2.0889086280811285E-2</v>
      </c>
      <c r="K4">
        <v>600</v>
      </c>
      <c r="L4">
        <v>0</v>
      </c>
      <c r="N4">
        <v>3</v>
      </c>
      <c r="O4" s="60" t="s">
        <v>660</v>
      </c>
      <c r="P4" t="s">
        <v>661</v>
      </c>
      <c r="Q4" t="s">
        <v>686</v>
      </c>
    </row>
    <row r="5" spans="1:17" x14ac:dyDescent="0.25">
      <c r="A5" t="s">
        <v>19</v>
      </c>
      <c r="B5">
        <v>220</v>
      </c>
      <c r="C5">
        <v>10</v>
      </c>
      <c r="D5">
        <v>0</v>
      </c>
      <c r="E5">
        <v>220</v>
      </c>
      <c r="F5">
        <v>140</v>
      </c>
      <c r="G5">
        <v>0</v>
      </c>
      <c r="H5">
        <v>3.75</v>
      </c>
      <c r="I5">
        <v>1.4</v>
      </c>
      <c r="J5">
        <v>0.54311624330109343</v>
      </c>
      <c r="K5">
        <v>600</v>
      </c>
      <c r="L5">
        <v>0</v>
      </c>
      <c r="N5">
        <v>4</v>
      </c>
      <c r="O5" s="60" t="s">
        <v>619</v>
      </c>
      <c r="P5" t="s">
        <v>676</v>
      </c>
      <c r="Q5" t="s">
        <v>687</v>
      </c>
    </row>
    <row r="6" spans="1:17" x14ac:dyDescent="0.25">
      <c r="A6" t="s">
        <v>39</v>
      </c>
      <c r="B6">
        <v>0</v>
      </c>
      <c r="C6">
        <v>80</v>
      </c>
      <c r="N6">
        <v>5</v>
      </c>
      <c r="O6" s="60" t="s">
        <v>667</v>
      </c>
      <c r="P6" t="s">
        <v>665</v>
      </c>
      <c r="Q6" t="s">
        <v>678</v>
      </c>
    </row>
    <row r="7" spans="1:17" x14ac:dyDescent="0.25">
      <c r="A7" t="s">
        <v>666</v>
      </c>
      <c r="B7">
        <v>2</v>
      </c>
      <c r="C7">
        <v>3000</v>
      </c>
      <c r="N7">
        <v>5</v>
      </c>
      <c r="O7" s="60" t="s">
        <v>667</v>
      </c>
      <c r="P7" t="s">
        <v>665</v>
      </c>
      <c r="Q7" t="s">
        <v>681</v>
      </c>
    </row>
    <row r="8" spans="1:17" x14ac:dyDescent="0.25">
      <c r="A8" t="s">
        <v>23</v>
      </c>
      <c r="B8">
        <v>220</v>
      </c>
      <c r="C8">
        <v>140</v>
      </c>
      <c r="D8">
        <v>0</v>
      </c>
      <c r="E8">
        <v>220</v>
      </c>
      <c r="F8">
        <v>140</v>
      </c>
      <c r="G8">
        <v>2</v>
      </c>
      <c r="H8">
        <v>0</v>
      </c>
      <c r="I8">
        <v>0</v>
      </c>
      <c r="K8">
        <v>3000</v>
      </c>
      <c r="N8">
        <v>0</v>
      </c>
      <c r="O8" s="60">
        <v>0</v>
      </c>
      <c r="P8" t="s">
        <v>615</v>
      </c>
      <c r="Q8" t="s">
        <v>682</v>
      </c>
    </row>
    <row r="9" spans="1:17" x14ac:dyDescent="0.25">
      <c r="A9" t="s">
        <v>19</v>
      </c>
      <c r="B9">
        <v>220</v>
      </c>
      <c r="C9">
        <v>140</v>
      </c>
      <c r="D9">
        <v>2</v>
      </c>
      <c r="E9">
        <v>195</v>
      </c>
      <c r="F9">
        <v>140</v>
      </c>
      <c r="G9">
        <v>0</v>
      </c>
      <c r="H9">
        <v>3.75</v>
      </c>
      <c r="I9">
        <v>1.4</v>
      </c>
      <c r="J9">
        <v>0.10477912372836015</v>
      </c>
      <c r="K9">
        <v>600</v>
      </c>
      <c r="L9">
        <v>0</v>
      </c>
      <c r="N9">
        <v>6</v>
      </c>
      <c r="O9" s="60" t="s">
        <v>620</v>
      </c>
      <c r="P9" t="s">
        <v>677</v>
      </c>
      <c r="Q9" t="s">
        <v>688</v>
      </c>
    </row>
    <row r="10" spans="1:17" x14ac:dyDescent="0.25">
      <c r="A10" t="s">
        <v>19</v>
      </c>
      <c r="B10">
        <v>195</v>
      </c>
      <c r="C10">
        <v>140</v>
      </c>
      <c r="D10">
        <v>0</v>
      </c>
      <c r="E10">
        <v>195</v>
      </c>
      <c r="F10">
        <v>10</v>
      </c>
      <c r="G10">
        <v>0</v>
      </c>
      <c r="H10">
        <v>3.75</v>
      </c>
      <c r="I10">
        <v>1.4</v>
      </c>
      <c r="J10">
        <v>0.54311624330109343</v>
      </c>
      <c r="K10">
        <v>600</v>
      </c>
      <c r="L10">
        <v>0</v>
      </c>
      <c r="N10">
        <v>8</v>
      </c>
      <c r="O10" s="60" t="s">
        <v>641</v>
      </c>
      <c r="P10" t="s">
        <v>680</v>
      </c>
      <c r="Q10" t="s">
        <v>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A10" workbookViewId="0">
      <selection activeCell="B39" sqref="B39"/>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590</v>
      </c>
      <c r="I1" t="s">
        <v>447</v>
      </c>
    </row>
    <row r="2" spans="1:9" x14ac:dyDescent="0.25">
      <c r="B2" t="s">
        <v>592</v>
      </c>
    </row>
    <row r="3" spans="1:9" x14ac:dyDescent="0.25">
      <c r="B3" t="s">
        <v>600</v>
      </c>
      <c r="I3" t="s">
        <v>442</v>
      </c>
    </row>
    <row r="4" spans="1:9" x14ac:dyDescent="0.25">
      <c r="B4" t="s">
        <v>453</v>
      </c>
    </row>
    <row r="6" spans="1:9" x14ac:dyDescent="0.25">
      <c r="B6" t="str">
        <f>CONCATENATE("M104 S",NozzleTemp)</f>
        <v>M104 S0</v>
      </c>
      <c r="I6" t="s">
        <v>443</v>
      </c>
    </row>
    <row r="7" spans="1:9" x14ac:dyDescent="0.25">
      <c r="B7" t="str">
        <f>CONCATENATE("M140 S",BedTemp)</f>
        <v>M140 S0</v>
      </c>
    </row>
    <row r="8" spans="1:9" x14ac:dyDescent="0.25">
      <c r="I8" t="s">
        <v>496</v>
      </c>
    </row>
    <row r="9" spans="1:9" ht="30" x14ac:dyDescent="0.25">
      <c r="B9" t="s">
        <v>443</v>
      </c>
      <c r="I9" s="133" t="s">
        <v>497</v>
      </c>
    </row>
    <row r="10" spans="1:9" x14ac:dyDescent="0.25">
      <c r="B10" t="s">
        <v>588</v>
      </c>
      <c r="I10" t="s">
        <v>498</v>
      </c>
    </row>
    <row r="11" spans="1:9" x14ac:dyDescent="0.25">
      <c r="I11" t="s">
        <v>499</v>
      </c>
    </row>
    <row r="12" spans="1:9" x14ac:dyDescent="0.25">
      <c r="B12" t="s">
        <v>669</v>
      </c>
      <c r="I12" t="s">
        <v>494</v>
      </c>
    </row>
    <row r="13" spans="1:9" ht="15" customHeight="1" x14ac:dyDescent="0.25">
      <c r="B13" t="s">
        <v>670</v>
      </c>
      <c r="I13" s="133" t="s">
        <v>500</v>
      </c>
    </row>
    <row r="14" spans="1:9" x14ac:dyDescent="0.25">
      <c r="B14" t="s">
        <v>671</v>
      </c>
      <c r="I14" t="s">
        <v>502</v>
      </c>
    </row>
    <row r="15" spans="1:9" x14ac:dyDescent="0.25">
      <c r="B15" t="s">
        <v>672</v>
      </c>
      <c r="I15" t="s">
        <v>503</v>
      </c>
    </row>
    <row r="16" spans="1:9" x14ac:dyDescent="0.25">
      <c r="B16" t="s">
        <v>673</v>
      </c>
      <c r="I16" t="s">
        <v>495</v>
      </c>
    </row>
    <row r="18" spans="2:9" x14ac:dyDescent="0.25">
      <c r="B18" t="str">
        <f>_xlfn.SINGLE(StartTool)</f>
        <v>T2</v>
      </c>
      <c r="I18" t="s">
        <v>427</v>
      </c>
    </row>
    <row r="20" spans="2:9" x14ac:dyDescent="0.25">
      <c r="B20" t="str">
        <f>CONCATENATE("M109 S",NozzleTemp)</f>
        <v>M109 S0</v>
      </c>
      <c r="I20" t="str">
        <f>CONCATENATE("M140 S",BedTemp)</f>
        <v>M140 S0</v>
      </c>
    </row>
    <row r="21" spans="2:9" x14ac:dyDescent="0.25">
      <c r="B21" t="str">
        <f>CONCATENATE("M190 S",BedTemp)</f>
        <v>M190 S0</v>
      </c>
      <c r="I21" t="str">
        <f>CONCATENATE("M104 S",NozzleTemp, " T0")</f>
        <v>M104 S0 T0</v>
      </c>
    </row>
    <row r="22" spans="2:9" x14ac:dyDescent="0.25">
      <c r="I22" t="str">
        <f>CONCATENATE("M104 S",NozzleTemp, " T2")</f>
        <v>M104 S0 T2</v>
      </c>
    </row>
    <row r="23" spans="2:9" x14ac:dyDescent="0.25">
      <c r="B23" t="s">
        <v>655</v>
      </c>
      <c r="I23" t="str">
        <f>CONCATENATE("M190 S",BedTemp)</f>
        <v>M190 S0</v>
      </c>
    </row>
    <row r="24" spans="2:9" x14ac:dyDescent="0.25">
      <c r="I24" t="str">
        <f>CONCATENATE("M109 S",NozzleTemp," T0")</f>
        <v>M109 S0 T0</v>
      </c>
    </row>
    <row r="25" spans="2:9" x14ac:dyDescent="0.25">
      <c r="B25" t="str">
        <f>CONCATENATE("M106 S",FanSpeed)</f>
        <v>M106 S0</v>
      </c>
      <c r="I25" t="str">
        <f>CONCATENATE("M109 S",NozzleTemp," T2")</f>
        <v>M109 S0 T2</v>
      </c>
    </row>
    <row r="27" spans="2:9" x14ac:dyDescent="0.25">
      <c r="B27" t="s">
        <v>605</v>
      </c>
      <c r="I27" t="s">
        <v>448</v>
      </c>
    </row>
    <row r="28" spans="2:9" x14ac:dyDescent="0.25">
      <c r="B28" t="s">
        <v>606</v>
      </c>
      <c r="I28" t="s">
        <v>430</v>
      </c>
    </row>
    <row r="29" spans="2:9" x14ac:dyDescent="0.25">
      <c r="B29" t="s">
        <v>607</v>
      </c>
      <c r="I29" t="str">
        <f>CONCATENATE("M106 S",FanSpeed, " ; set fan speed")</f>
        <v>M106 S0 ; set fan speed</v>
      </c>
    </row>
    <row r="31" spans="2:9" x14ac:dyDescent="0.25">
      <c r="I31" t="s">
        <v>501</v>
      </c>
    </row>
    <row r="33" spans="2:9" x14ac:dyDescent="0.25">
      <c r="I33" t="s">
        <v>444</v>
      </c>
    </row>
    <row r="34" spans="2:9" x14ac:dyDescent="0.25">
      <c r="I34" t="s">
        <v>445</v>
      </c>
    </row>
    <row r="36" spans="2:9" x14ac:dyDescent="0.25">
      <c r="I36" t="s">
        <v>446</v>
      </c>
    </row>
    <row r="37" spans="2:9" x14ac:dyDescent="0.25">
      <c r="B37" t="s">
        <v>656</v>
      </c>
    </row>
    <row r="38" spans="2:9" x14ac:dyDescent="0.25">
      <c r="B38" t="str">
        <f>CONCATENATE("G1 X",100," Y",160," Z", Zoffset," F",NozzleFeedrateTravelling)</f>
        <v>G1 X100 Y160 Z2 F3000</v>
      </c>
    </row>
    <row r="39" spans="2:9" x14ac:dyDescent="0.25">
      <c r="B39" t="str">
        <f>CONCATENATE("G1 X",275," E1.2", " F",NozzleFeedratePrinting)</f>
        <v>G1 X275 E1.2 F600</v>
      </c>
      <c r="I39" t="s">
        <v>121</v>
      </c>
    </row>
    <row r="41" spans="2:9" x14ac:dyDescent="0.25">
      <c r="B41" t="s">
        <v>591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590</v>
      </c>
      <c r="C1" t="s">
        <v>353</v>
      </c>
      <c r="D1" t="s">
        <v>354</v>
      </c>
      <c r="E1" t="s">
        <v>385</v>
      </c>
      <c r="F1" t="s">
        <v>415</v>
      </c>
      <c r="G1" t="s">
        <v>425</v>
      </c>
      <c r="H1" t="s">
        <v>426</v>
      </c>
      <c r="I1" t="s">
        <v>447</v>
      </c>
      <c r="J1" t="s">
        <v>461</v>
      </c>
      <c r="K1" t="s">
        <v>509</v>
      </c>
      <c r="L1" t="s">
        <v>513</v>
      </c>
      <c r="M1" t="s">
        <v>546</v>
      </c>
      <c r="N1" t="s">
        <v>547</v>
      </c>
    </row>
    <row r="2" spans="1:14" x14ac:dyDescent="0.25">
      <c r="N2" t="s">
        <v>109</v>
      </c>
    </row>
    <row r="3" spans="1:14" x14ac:dyDescent="0.25">
      <c r="B3" t="s">
        <v>593</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449</v>
      </c>
      <c r="E5" t="s">
        <v>387</v>
      </c>
      <c r="H5" t="s">
        <v>429</v>
      </c>
    </row>
    <row r="6" spans="1:14" x14ac:dyDescent="0.25">
      <c r="B6" t="s">
        <v>450</v>
      </c>
      <c r="D6" t="s">
        <v>355</v>
      </c>
      <c r="E6" t="s">
        <v>356</v>
      </c>
      <c r="F6" t="s">
        <v>416</v>
      </c>
      <c r="G6" t="s">
        <v>429</v>
      </c>
      <c r="H6" t="s">
        <v>438</v>
      </c>
      <c r="N6" t="s">
        <v>548</v>
      </c>
    </row>
    <row r="7" spans="1:14" x14ac:dyDescent="0.25">
      <c r="B7" t="s">
        <v>451</v>
      </c>
      <c r="D7" t="s">
        <v>356</v>
      </c>
      <c r="E7" t="s">
        <v>389</v>
      </c>
      <c r="G7" t="s">
        <v>83</v>
      </c>
      <c r="I7" t="s">
        <v>449</v>
      </c>
      <c r="J7" t="s">
        <v>493</v>
      </c>
      <c r="K7" t="s">
        <v>462</v>
      </c>
      <c r="L7" t="s">
        <v>514</v>
      </c>
      <c r="M7" t="s">
        <v>522</v>
      </c>
      <c r="N7" t="s">
        <v>549</v>
      </c>
    </row>
    <row r="8" spans="1:14" x14ac:dyDescent="0.25">
      <c r="B8" t="s">
        <v>399</v>
      </c>
      <c r="D8" t="s">
        <v>84</v>
      </c>
      <c r="E8" t="s">
        <v>390</v>
      </c>
      <c r="G8" t="s">
        <v>450</v>
      </c>
      <c r="I8" t="s">
        <v>450</v>
      </c>
      <c r="K8" t="s">
        <v>386</v>
      </c>
      <c r="L8" t="s">
        <v>515</v>
      </c>
      <c r="N8" t="s">
        <v>550</v>
      </c>
    </row>
    <row r="9" spans="1:14" x14ac:dyDescent="0.25">
      <c r="D9" t="s">
        <v>357</v>
      </c>
      <c r="E9" t="s">
        <v>84</v>
      </c>
      <c r="F9" t="s">
        <v>357</v>
      </c>
      <c r="G9" t="s">
        <v>508</v>
      </c>
      <c r="H9" t="s">
        <v>431</v>
      </c>
      <c r="I9" t="s">
        <v>451</v>
      </c>
      <c r="J9" t="s">
        <v>356</v>
      </c>
      <c r="K9" t="s">
        <v>510</v>
      </c>
      <c r="L9" t="s">
        <v>427</v>
      </c>
      <c r="M9" t="s">
        <v>523</v>
      </c>
      <c r="N9" t="s">
        <v>84</v>
      </c>
    </row>
    <row r="10" spans="1:14" x14ac:dyDescent="0.25">
      <c r="B10" t="s">
        <v>452</v>
      </c>
      <c r="D10" t="s">
        <v>358</v>
      </c>
      <c r="E10" t="s">
        <v>391</v>
      </c>
      <c r="F10" t="s">
        <v>417</v>
      </c>
      <c r="G10" t="s">
        <v>399</v>
      </c>
      <c r="H10" t="s">
        <v>432</v>
      </c>
      <c r="I10" t="s">
        <v>399</v>
      </c>
      <c r="J10" t="s">
        <v>84</v>
      </c>
      <c r="K10" t="s">
        <v>398</v>
      </c>
      <c r="L10" t="s">
        <v>516</v>
      </c>
      <c r="N10" t="s">
        <v>551</v>
      </c>
    </row>
    <row r="11" spans="1:14" x14ac:dyDescent="0.25">
      <c r="B11" t="s">
        <v>453</v>
      </c>
      <c r="D11" t="s">
        <v>359</v>
      </c>
      <c r="E11" t="s">
        <v>392</v>
      </c>
      <c r="F11" t="s">
        <v>362</v>
      </c>
      <c r="G11" t="s">
        <v>431</v>
      </c>
      <c r="H11" t="s">
        <v>83</v>
      </c>
      <c r="I11" t="s">
        <v>452</v>
      </c>
      <c r="J11" t="s">
        <v>462</v>
      </c>
      <c r="K11" t="s">
        <v>462</v>
      </c>
      <c r="L11" t="s">
        <v>428</v>
      </c>
      <c r="N11" t="s">
        <v>392</v>
      </c>
    </row>
    <row r="12" spans="1:14" x14ac:dyDescent="0.25">
      <c r="D12" t="s">
        <v>360</v>
      </c>
      <c r="E12" t="s">
        <v>393</v>
      </c>
      <c r="G12" t="s">
        <v>83</v>
      </c>
      <c r="H12" t="s">
        <v>433</v>
      </c>
      <c r="I12" t="s">
        <v>453</v>
      </c>
      <c r="J12" t="s">
        <v>463</v>
      </c>
      <c r="K12" t="s">
        <v>511</v>
      </c>
      <c r="L12" t="s">
        <v>517</v>
      </c>
      <c r="M12" t="s">
        <v>356</v>
      </c>
      <c r="N12" t="s">
        <v>393</v>
      </c>
    </row>
    <row r="13" spans="1:14" x14ac:dyDescent="0.25">
      <c r="D13" t="s">
        <v>361</v>
      </c>
      <c r="E13" t="s">
        <v>84</v>
      </c>
      <c r="F13" t="s">
        <v>418</v>
      </c>
      <c r="G13" t="s">
        <v>433</v>
      </c>
      <c r="H13" t="s">
        <v>431</v>
      </c>
      <c r="J13" t="s">
        <v>386</v>
      </c>
      <c r="K13" t="s">
        <v>512</v>
      </c>
      <c r="L13" t="s">
        <v>429</v>
      </c>
      <c r="M13" t="s">
        <v>388</v>
      </c>
      <c r="N13" t="s">
        <v>552</v>
      </c>
    </row>
    <row r="14" spans="1:14" x14ac:dyDescent="0.25">
      <c r="D14" t="s">
        <v>362</v>
      </c>
      <c r="E14" t="s">
        <v>394</v>
      </c>
      <c r="G14" t="s">
        <v>434</v>
      </c>
      <c r="H14" t="s">
        <v>432</v>
      </c>
      <c r="J14" t="s">
        <v>460</v>
      </c>
      <c r="K14" t="s">
        <v>91</v>
      </c>
      <c r="M14" t="s">
        <v>390</v>
      </c>
      <c r="N14" t="s">
        <v>553</v>
      </c>
    </row>
    <row r="15" spans="1:14" x14ac:dyDescent="0.25">
      <c r="B15" t="s">
        <v>594</v>
      </c>
      <c r="E15" t="s">
        <v>395</v>
      </c>
      <c r="F15" t="s">
        <v>419</v>
      </c>
      <c r="G15" t="s">
        <v>431</v>
      </c>
      <c r="H15" t="s">
        <v>434</v>
      </c>
      <c r="I15" t="s">
        <v>454</v>
      </c>
      <c r="J15" t="s">
        <v>395</v>
      </c>
      <c r="K15" t="s">
        <v>92</v>
      </c>
      <c r="L15" t="s">
        <v>427</v>
      </c>
      <c r="M15" t="s">
        <v>84</v>
      </c>
    </row>
    <row r="16" spans="1:14" x14ac:dyDescent="0.25">
      <c r="B16" t="s">
        <v>595</v>
      </c>
      <c r="D16" t="s">
        <v>376</v>
      </c>
      <c r="E16" t="s">
        <v>414</v>
      </c>
      <c r="F16" t="s">
        <v>420</v>
      </c>
      <c r="G16" t="s">
        <v>367</v>
      </c>
      <c r="H16" t="s">
        <v>435</v>
      </c>
      <c r="I16" t="s">
        <v>455</v>
      </c>
      <c r="J16" t="s">
        <v>464</v>
      </c>
      <c r="L16" t="s">
        <v>450</v>
      </c>
      <c r="M16" t="s">
        <v>524</v>
      </c>
      <c r="N16" t="s">
        <v>554</v>
      </c>
    </row>
    <row r="17" spans="2:14" x14ac:dyDescent="0.25">
      <c r="D17" t="s">
        <v>363</v>
      </c>
      <c r="E17" t="s">
        <v>396</v>
      </c>
      <c r="F17" t="s">
        <v>421</v>
      </c>
      <c r="G17" t="s">
        <v>356</v>
      </c>
      <c r="H17" t="s">
        <v>356</v>
      </c>
      <c r="I17" t="s">
        <v>456</v>
      </c>
      <c r="J17" t="s">
        <v>465</v>
      </c>
      <c r="L17" t="s">
        <v>518</v>
      </c>
      <c r="M17" t="s">
        <v>525</v>
      </c>
      <c r="N17" t="s">
        <v>555</v>
      </c>
    </row>
    <row r="18" spans="2:14" x14ac:dyDescent="0.25">
      <c r="B18" t="s">
        <v>454</v>
      </c>
      <c r="D18" t="s">
        <v>364</v>
      </c>
      <c r="E18" t="s">
        <v>397</v>
      </c>
      <c r="F18" t="s">
        <v>422</v>
      </c>
      <c r="G18" t="s">
        <v>84</v>
      </c>
      <c r="H18" t="s">
        <v>84</v>
      </c>
      <c r="J18" t="s">
        <v>91</v>
      </c>
      <c r="L18" t="s">
        <v>519</v>
      </c>
      <c r="M18" t="s">
        <v>526</v>
      </c>
      <c r="N18" t="s">
        <v>556</v>
      </c>
    </row>
    <row r="19" spans="2:14" x14ac:dyDescent="0.25">
      <c r="B19" t="s">
        <v>596</v>
      </c>
      <c r="C19" t="s">
        <v>597</v>
      </c>
      <c r="D19" t="s">
        <v>365</v>
      </c>
      <c r="E19" t="s">
        <v>398</v>
      </c>
      <c r="F19" t="s">
        <v>423</v>
      </c>
      <c r="G19" t="s">
        <v>450</v>
      </c>
      <c r="H19" t="s">
        <v>357</v>
      </c>
      <c r="J19" t="s">
        <v>367</v>
      </c>
      <c r="L19" t="s">
        <v>399</v>
      </c>
      <c r="M19" t="s">
        <v>527</v>
      </c>
      <c r="N19" t="s">
        <v>557</v>
      </c>
    </row>
    <row r="20" spans="2:14" x14ac:dyDescent="0.25">
      <c r="B20" t="s">
        <v>668</v>
      </c>
      <c r="E20" t="s">
        <v>399</v>
      </c>
      <c r="F20" t="s">
        <v>393</v>
      </c>
      <c r="G20" t="s">
        <v>437</v>
      </c>
      <c r="H20" t="s">
        <v>436</v>
      </c>
      <c r="J20" t="s">
        <v>92</v>
      </c>
      <c r="L20" t="s">
        <v>520</v>
      </c>
      <c r="M20" t="s">
        <v>91</v>
      </c>
      <c r="N20" t="s">
        <v>558</v>
      </c>
    </row>
    <row r="21" spans="2:14" x14ac:dyDescent="0.25">
      <c r="B21" t="s">
        <v>456</v>
      </c>
      <c r="C21" t="s">
        <v>366</v>
      </c>
      <c r="D21" t="s">
        <v>366</v>
      </c>
      <c r="E21" t="s">
        <v>400</v>
      </c>
      <c r="F21" t="s">
        <v>424</v>
      </c>
      <c r="G21" t="s">
        <v>119</v>
      </c>
      <c r="H21" t="s">
        <v>439</v>
      </c>
      <c r="L21" t="s">
        <v>521</v>
      </c>
      <c r="M21" t="s">
        <v>367</v>
      </c>
      <c r="N21" t="s">
        <v>556</v>
      </c>
    </row>
    <row r="22" spans="2:14" x14ac:dyDescent="0.25">
      <c r="E22" t="s">
        <v>91</v>
      </c>
      <c r="G22" t="s">
        <v>399</v>
      </c>
      <c r="H22" t="s">
        <v>362</v>
      </c>
      <c r="J22" t="s">
        <v>466</v>
      </c>
      <c r="M22" t="s">
        <v>435</v>
      </c>
      <c r="N22" t="s">
        <v>559</v>
      </c>
    </row>
    <row r="23" spans="2:14" x14ac:dyDescent="0.25">
      <c r="B23" t="s">
        <v>598</v>
      </c>
      <c r="C23" t="s">
        <v>91</v>
      </c>
      <c r="D23" t="s">
        <v>91</v>
      </c>
      <c r="E23" t="s">
        <v>367</v>
      </c>
      <c r="H23" t="s">
        <v>440</v>
      </c>
      <c r="J23" t="s">
        <v>467</v>
      </c>
      <c r="M23" t="s">
        <v>92</v>
      </c>
      <c r="N23" t="s">
        <v>556</v>
      </c>
    </row>
    <row r="24" spans="2:14" x14ac:dyDescent="0.25">
      <c r="C24" t="s">
        <v>367</v>
      </c>
      <c r="D24" t="s">
        <v>367</v>
      </c>
      <c r="E24" t="s">
        <v>92</v>
      </c>
      <c r="H24" t="s">
        <v>437</v>
      </c>
      <c r="J24" t="s">
        <v>468</v>
      </c>
      <c r="M24" t="s">
        <v>528</v>
      </c>
    </row>
    <row r="25" spans="2:14" x14ac:dyDescent="0.25">
      <c r="C25" t="s">
        <v>92</v>
      </c>
      <c r="D25" t="s">
        <v>92</v>
      </c>
      <c r="E25" t="s">
        <v>401</v>
      </c>
      <c r="J25" t="s">
        <v>469</v>
      </c>
      <c r="M25" t="s">
        <v>529</v>
      </c>
    </row>
    <row r="26" spans="2:14" x14ac:dyDescent="0.25">
      <c r="C26" t="s">
        <v>368</v>
      </c>
      <c r="D26" t="s">
        <v>377</v>
      </c>
      <c r="E26" t="s">
        <v>402</v>
      </c>
      <c r="J26" t="s">
        <v>470</v>
      </c>
      <c r="M26" t="s">
        <v>530</v>
      </c>
    </row>
    <row r="27" spans="2:14" x14ac:dyDescent="0.25">
      <c r="C27" t="s">
        <v>369</v>
      </c>
      <c r="D27" t="s">
        <v>378</v>
      </c>
      <c r="E27" t="s">
        <v>403</v>
      </c>
      <c r="H27" t="s">
        <v>91</v>
      </c>
      <c r="J27" t="s">
        <v>471</v>
      </c>
      <c r="M27" t="s">
        <v>531</v>
      </c>
    </row>
    <row r="28" spans="2:14" x14ac:dyDescent="0.25">
      <c r="C28" t="s">
        <v>370</v>
      </c>
      <c r="D28" t="s">
        <v>379</v>
      </c>
      <c r="E28" t="s">
        <v>404</v>
      </c>
      <c r="J28" t="s">
        <v>472</v>
      </c>
      <c r="M28" t="s">
        <v>532</v>
      </c>
    </row>
    <row r="29" spans="2:14" x14ac:dyDescent="0.25">
      <c r="C29" t="s">
        <v>371</v>
      </c>
      <c r="D29" t="s">
        <v>380</v>
      </c>
      <c r="E29" t="s">
        <v>405</v>
      </c>
      <c r="J29" t="s">
        <v>473</v>
      </c>
      <c r="M29" t="s">
        <v>533</v>
      </c>
    </row>
    <row r="30" spans="2:14" x14ac:dyDescent="0.25">
      <c r="C30" t="s">
        <v>372</v>
      </c>
      <c r="D30" t="s">
        <v>381</v>
      </c>
      <c r="E30" t="s">
        <v>406</v>
      </c>
      <c r="H30" t="s">
        <v>398</v>
      </c>
      <c r="J30" t="s">
        <v>474</v>
      </c>
      <c r="M30" t="s">
        <v>534</v>
      </c>
    </row>
    <row r="31" spans="2:14" x14ac:dyDescent="0.25">
      <c r="C31" t="s">
        <v>373</v>
      </c>
      <c r="D31" t="s">
        <v>382</v>
      </c>
      <c r="E31" t="s">
        <v>407</v>
      </c>
      <c r="H31" t="s">
        <v>448</v>
      </c>
      <c r="J31" t="s">
        <v>475</v>
      </c>
      <c r="M31" t="s">
        <v>535</v>
      </c>
    </row>
    <row r="32" spans="2:14" x14ac:dyDescent="0.25">
      <c r="C32" t="s">
        <v>374</v>
      </c>
      <c r="D32" t="s">
        <v>383</v>
      </c>
      <c r="E32" t="s">
        <v>408</v>
      </c>
      <c r="J32" t="s">
        <v>476</v>
      </c>
      <c r="M32" t="s">
        <v>536</v>
      </c>
    </row>
    <row r="33" spans="3:13" x14ac:dyDescent="0.25">
      <c r="C33" t="s">
        <v>375</v>
      </c>
      <c r="D33" t="s">
        <v>384</v>
      </c>
      <c r="E33" t="s">
        <v>409</v>
      </c>
      <c r="J33" t="s">
        <v>477</v>
      </c>
      <c r="M33" t="s">
        <v>537</v>
      </c>
    </row>
    <row r="34" spans="3:13" x14ac:dyDescent="0.25">
      <c r="E34" t="s">
        <v>410</v>
      </c>
      <c r="J34" t="s">
        <v>478</v>
      </c>
      <c r="M34" t="s">
        <v>538</v>
      </c>
    </row>
    <row r="35" spans="3:13" x14ac:dyDescent="0.25">
      <c r="E35" t="s">
        <v>411</v>
      </c>
      <c r="J35" t="s">
        <v>479</v>
      </c>
      <c r="M35" t="s">
        <v>539</v>
      </c>
    </row>
    <row r="36" spans="3:13" x14ac:dyDescent="0.25">
      <c r="E36" t="s">
        <v>412</v>
      </c>
      <c r="J36" t="s">
        <v>480</v>
      </c>
      <c r="M36" t="s">
        <v>540</v>
      </c>
    </row>
    <row r="37" spans="3:13" x14ac:dyDescent="0.25">
      <c r="E37" t="s">
        <v>413</v>
      </c>
      <c r="J37" t="s">
        <v>481</v>
      </c>
      <c r="M37" t="s">
        <v>541</v>
      </c>
    </row>
    <row r="38" spans="3:13" x14ac:dyDescent="0.25">
      <c r="J38" t="s">
        <v>482</v>
      </c>
      <c r="M38" t="s">
        <v>542</v>
      </c>
    </row>
    <row r="39" spans="3:13" x14ac:dyDescent="0.25">
      <c r="J39" t="s">
        <v>483</v>
      </c>
      <c r="M39" t="s">
        <v>543</v>
      </c>
    </row>
    <row r="40" spans="3:13" x14ac:dyDescent="0.25">
      <c r="J40" t="s">
        <v>484</v>
      </c>
      <c r="M40" t="s">
        <v>544</v>
      </c>
    </row>
    <row r="41" spans="3:13" x14ac:dyDescent="0.25">
      <c r="J41" t="s">
        <v>485</v>
      </c>
      <c r="M41" t="s">
        <v>545</v>
      </c>
    </row>
    <row r="42" spans="3:13" x14ac:dyDescent="0.25">
      <c r="J42" t="s">
        <v>486</v>
      </c>
    </row>
    <row r="43" spans="3:13" x14ac:dyDescent="0.25">
      <c r="J43" t="s">
        <v>487</v>
      </c>
    </row>
    <row r="44" spans="3:13" x14ac:dyDescent="0.25">
      <c r="J44" t="s">
        <v>488</v>
      </c>
    </row>
    <row r="45" spans="3:13" x14ac:dyDescent="0.25">
      <c r="J45" t="s">
        <v>489</v>
      </c>
    </row>
    <row r="46" spans="3:13" x14ac:dyDescent="0.25">
      <c r="J46" t="s">
        <v>490</v>
      </c>
    </row>
    <row r="47" spans="3:13" x14ac:dyDescent="0.25">
      <c r="J47" t="s">
        <v>491</v>
      </c>
    </row>
    <row r="48" spans="3:13" x14ac:dyDescent="0.25">
      <c r="J48" t="s">
        <v>492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81" sqref="B81:C88"/>
    </sheetView>
  </sheetViews>
  <sheetFormatPr defaultRowHeight="15" x14ac:dyDescent="0.25"/>
  <cols>
    <col min="1" max="16" width="14.7109375" bestFit="1" customWidth="1"/>
  </cols>
  <sheetData>
    <row r="1" spans="1:16" x14ac:dyDescent="0.25">
      <c r="A1" t="s">
        <v>110</v>
      </c>
      <c r="B1" t="s">
        <v>204</v>
      </c>
      <c r="C1" t="s">
        <v>426</v>
      </c>
      <c r="D1" t="s">
        <v>441</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6" spans="1:16" s="62" customFormat="1" x14ac:dyDescent="0.25">
      <c r="B16"/>
      <c r="C16"/>
    </row>
    <row r="17" spans="1:16" s="62" customFormat="1" x14ac:dyDescent="0.25">
      <c r="B17"/>
    </row>
    <row r="18" spans="1:16" s="62" customFormat="1" x14ac:dyDescent="0.25">
      <c r="B18"/>
    </row>
    <row r="19" spans="1:16" s="62" customFormat="1" x14ac:dyDescent="0.25">
      <c r="B19"/>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7" spans="1:16" s="62" customFormat="1" x14ac:dyDescent="0.25">
      <c r="B27"/>
      <c r="C27"/>
      <c r="D27"/>
    </row>
    <row r="28" spans="1:16" s="62" customFormat="1" x14ac:dyDescent="0.25">
      <c r="B28"/>
      <c r="D28"/>
    </row>
    <row r="29" spans="1:16" s="62" customFormat="1" x14ac:dyDescent="0.25">
      <c r="B29"/>
      <c r="D29"/>
    </row>
    <row r="30" spans="1:16" s="62" customFormat="1" x14ac:dyDescent="0.25">
      <c r="B30"/>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8" spans="1:16" s="62" customFormat="1" x14ac:dyDescent="0.25">
      <c r="B38"/>
      <c r="C38"/>
    </row>
    <row r="39" spans="1:16" s="62" customFormat="1" x14ac:dyDescent="0.25">
      <c r="B39"/>
    </row>
    <row r="40" spans="1:16" s="62" customFormat="1" x14ac:dyDescent="0.25">
      <c r="B40"/>
    </row>
    <row r="41" spans="1:16" s="62" customFormat="1" x14ac:dyDescent="0.25">
      <c r="B41"/>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9" spans="1:16" s="62" customFormat="1" x14ac:dyDescent="0.25">
      <c r="B49"/>
      <c r="D49"/>
    </row>
    <row r="50" spans="1:16" s="62" customFormat="1" x14ac:dyDescent="0.25">
      <c r="B50"/>
      <c r="D50"/>
    </row>
    <row r="51" spans="1:16" s="62" customFormat="1" x14ac:dyDescent="0.25">
      <c r="B51"/>
      <c r="D51"/>
    </row>
    <row r="52" spans="1:16" s="62" customFormat="1" x14ac:dyDescent="0.25">
      <c r="B52"/>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60" spans="1:16" s="62" customFormat="1" x14ac:dyDescent="0.25">
      <c r="B60"/>
    </row>
    <row r="61" spans="1:16" s="62" customFormat="1" x14ac:dyDescent="0.25">
      <c r="B61"/>
    </row>
    <row r="62" spans="1:16" s="62" customFormat="1" x14ac:dyDescent="0.25">
      <c r="B62"/>
    </row>
    <row r="63" spans="1:16" s="62" customFormat="1" x14ac:dyDescent="0.25">
      <c r="B63"/>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1" spans="1:16" s="62" customFormat="1" x14ac:dyDescent="0.25">
      <c r="B71"/>
      <c r="D71"/>
    </row>
    <row r="72" spans="1:16" s="62" customFormat="1" x14ac:dyDescent="0.25">
      <c r="B72"/>
      <c r="D72"/>
    </row>
    <row r="73" spans="1:16" s="62" customFormat="1" x14ac:dyDescent="0.25">
      <c r="B73"/>
      <c r="D73"/>
    </row>
    <row r="74" spans="1:16" s="62" customFormat="1" x14ac:dyDescent="0.25">
      <c r="B74"/>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2" spans="2:2" s="62" customFormat="1" x14ac:dyDescent="0.25">
      <c r="B82"/>
    </row>
    <row r="83" spans="2:2" s="62" customFormat="1" x14ac:dyDescent="0.25">
      <c r="B83"/>
    </row>
    <row r="84" spans="2:2" s="62" customFormat="1" x14ac:dyDescent="0.25">
      <c r="B84"/>
    </row>
    <row r="85" spans="2:2" s="62" customFormat="1" x14ac:dyDescent="0.25">
      <c r="B85"/>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71"/>
  <sheetViews>
    <sheetView zoomScale="71" zoomScaleNormal="71" workbookViewId="0">
      <selection sqref="A1:A71"/>
    </sheetView>
  </sheetViews>
  <sheetFormatPr defaultRowHeight="15" x14ac:dyDescent="0.25"/>
  <sheetData>
    <row r="1" spans="1:1" x14ac:dyDescent="0.25">
      <c r="A1" t="s">
        <v>592</v>
      </c>
    </row>
    <row r="2" spans="1:1" x14ac:dyDescent="0.25">
      <c r="A2" t="s">
        <v>600</v>
      </c>
    </row>
    <row r="3" spans="1:1" x14ac:dyDescent="0.25">
      <c r="A3" t="s">
        <v>453</v>
      </c>
    </row>
    <row r="5" spans="1:1" x14ac:dyDescent="0.25">
      <c r="A5" t="s">
        <v>367</v>
      </c>
    </row>
    <row r="6" spans="1:1" x14ac:dyDescent="0.25">
      <c r="A6" t="s">
        <v>356</v>
      </c>
    </row>
    <row r="8" spans="1:1" x14ac:dyDescent="0.25">
      <c r="A8" t="s">
        <v>443</v>
      </c>
    </row>
    <row r="9" spans="1:1" x14ac:dyDescent="0.25">
      <c r="A9" t="s">
        <v>588</v>
      </c>
    </row>
    <row r="11" spans="1:1" x14ac:dyDescent="0.25">
      <c r="A11" t="s">
        <v>669</v>
      </c>
    </row>
    <row r="12" spans="1:1" x14ac:dyDescent="0.25">
      <c r="A12" t="s">
        <v>670</v>
      </c>
    </row>
    <row r="13" spans="1:1" x14ac:dyDescent="0.25">
      <c r="A13" t="s">
        <v>671</v>
      </c>
    </row>
    <row r="14" spans="1:1" x14ac:dyDescent="0.25">
      <c r="A14" t="s">
        <v>672</v>
      </c>
    </row>
    <row r="15" spans="1:1" x14ac:dyDescent="0.25">
      <c r="A15" t="s">
        <v>673</v>
      </c>
    </row>
    <row r="17" spans="1:1" x14ac:dyDescent="0.25">
      <c r="A17" t="s">
        <v>457</v>
      </c>
    </row>
    <row r="19" spans="1:1" x14ac:dyDescent="0.25">
      <c r="A19" t="s">
        <v>662</v>
      </c>
    </row>
    <row r="20" spans="1:1" x14ac:dyDescent="0.25">
      <c r="A20" t="s">
        <v>663</v>
      </c>
    </row>
    <row r="22" spans="1:1" x14ac:dyDescent="0.25">
      <c r="A22" t="s">
        <v>655</v>
      </c>
    </row>
    <row r="24" spans="1:1" x14ac:dyDescent="0.25">
      <c r="A24" t="s">
        <v>429</v>
      </c>
    </row>
    <row r="26" spans="1:1" x14ac:dyDescent="0.25">
      <c r="A26" t="s">
        <v>605</v>
      </c>
    </row>
    <row r="27" spans="1:1" x14ac:dyDescent="0.25">
      <c r="A27" t="s">
        <v>606</v>
      </c>
    </row>
    <row r="28" spans="1:1" x14ac:dyDescent="0.25">
      <c r="A28" t="s">
        <v>607</v>
      </c>
    </row>
    <row r="36" spans="1:1" x14ac:dyDescent="0.25">
      <c r="A36" t="s">
        <v>656</v>
      </c>
    </row>
    <row r="37" spans="1:1" x14ac:dyDescent="0.25">
      <c r="A37" t="s">
        <v>683</v>
      </c>
    </row>
    <row r="38" spans="1:1" x14ac:dyDescent="0.25">
      <c r="A38" t="s">
        <v>679</v>
      </c>
    </row>
    <row r="40" spans="1:1" x14ac:dyDescent="0.25">
      <c r="A40" t="s">
        <v>591</v>
      </c>
    </row>
    <row r="41" spans="1:1" x14ac:dyDescent="0.25">
      <c r="A41" t="s">
        <v>684</v>
      </c>
    </row>
    <row r="42" spans="1:1" x14ac:dyDescent="0.25">
      <c r="A42" t="s">
        <v>685</v>
      </c>
    </row>
    <row r="43" spans="1:1" x14ac:dyDescent="0.25">
      <c r="A43" t="s">
        <v>686</v>
      </c>
    </row>
    <row r="44" spans="1:1" x14ac:dyDescent="0.25">
      <c r="A44" t="s">
        <v>687</v>
      </c>
    </row>
    <row r="45" spans="1:1" x14ac:dyDescent="0.25">
      <c r="A45" t="s">
        <v>678</v>
      </c>
    </row>
    <row r="46" spans="1:1" x14ac:dyDescent="0.25">
      <c r="A46" t="s">
        <v>681</v>
      </c>
    </row>
    <row r="47" spans="1:1" x14ac:dyDescent="0.25">
      <c r="A47" t="s">
        <v>682</v>
      </c>
    </row>
    <row r="48" spans="1:1" x14ac:dyDescent="0.25">
      <c r="A48" t="s">
        <v>688</v>
      </c>
    </row>
    <row r="49" spans="1:1" x14ac:dyDescent="0.25">
      <c r="A49" t="s">
        <v>685</v>
      </c>
    </row>
    <row r="51" spans="1:1" x14ac:dyDescent="0.25">
      <c r="A51" t="s">
        <v>593</v>
      </c>
    </row>
    <row r="53" spans="1:1" x14ac:dyDescent="0.25">
      <c r="A53" t="s">
        <v>449</v>
      </c>
    </row>
    <row r="54" spans="1:1" x14ac:dyDescent="0.25">
      <c r="A54" t="s">
        <v>450</v>
      </c>
    </row>
    <row r="55" spans="1:1" x14ac:dyDescent="0.25">
      <c r="A55" t="s">
        <v>451</v>
      </c>
    </row>
    <row r="56" spans="1:1" x14ac:dyDescent="0.25">
      <c r="A56" t="s">
        <v>399</v>
      </c>
    </row>
    <row r="58" spans="1:1" x14ac:dyDescent="0.25">
      <c r="A58" t="s">
        <v>452</v>
      </c>
    </row>
    <row r="59" spans="1:1" x14ac:dyDescent="0.25">
      <c r="A59" t="s">
        <v>453</v>
      </c>
    </row>
    <row r="63" spans="1:1" x14ac:dyDescent="0.25">
      <c r="A63" t="s">
        <v>594</v>
      </c>
    </row>
    <row r="64" spans="1:1" x14ac:dyDescent="0.25">
      <c r="A64" t="s">
        <v>595</v>
      </c>
    </row>
    <row r="66" spans="1:1" x14ac:dyDescent="0.25">
      <c r="A66" t="s">
        <v>454</v>
      </c>
    </row>
    <row r="67" spans="1:1" x14ac:dyDescent="0.25">
      <c r="A67" t="s">
        <v>596</v>
      </c>
    </row>
    <row r="68" spans="1:1" x14ac:dyDescent="0.25">
      <c r="A68" t="s">
        <v>668</v>
      </c>
    </row>
    <row r="69" spans="1:1" x14ac:dyDescent="0.25">
      <c r="A69" t="s">
        <v>456</v>
      </c>
    </row>
    <row r="71" spans="1:1" x14ac:dyDescent="0.25">
      <c r="A71" t="s">
        <v>598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568</v>
      </c>
    </row>
    <row r="2" spans="1:1" x14ac:dyDescent="0.25">
      <c r="A2" s="89" t="s">
        <v>567</v>
      </c>
    </row>
    <row r="6" spans="1:1" x14ac:dyDescent="0.25">
      <c r="A6" s="141" t="s">
        <v>581</v>
      </c>
    </row>
    <row r="7" spans="1:1" x14ac:dyDescent="0.25">
      <c r="A7" t="s">
        <v>584</v>
      </c>
    </row>
    <row r="8" spans="1:1" x14ac:dyDescent="0.25">
      <c r="A8" t="s">
        <v>585</v>
      </c>
    </row>
    <row r="15" spans="1:1" x14ac:dyDescent="0.25">
      <c r="A15" t="s">
        <v>582</v>
      </c>
    </row>
    <row r="16" spans="1:1" x14ac:dyDescent="0.25">
      <c r="A16" t="s">
        <v>575</v>
      </c>
    </row>
    <row r="17" spans="1:1" x14ac:dyDescent="0.25">
      <c r="A17" t="s">
        <v>579</v>
      </c>
    </row>
    <row r="18" spans="1:1" x14ac:dyDescent="0.25">
      <c r="A18" t="s">
        <v>576</v>
      </c>
    </row>
    <row r="20" spans="1:1" x14ac:dyDescent="0.25">
      <c r="A20" t="s">
        <v>580</v>
      </c>
    </row>
    <row r="24" spans="1:1" x14ac:dyDescent="0.25">
      <c r="A24" t="s">
        <v>583</v>
      </c>
    </row>
    <row r="25" spans="1:1" x14ac:dyDescent="0.25">
      <c r="A25" t="s">
        <v>566</v>
      </c>
    </row>
    <row r="26" spans="1:1" x14ac:dyDescent="0.25">
      <c r="A26" t="s">
        <v>507</v>
      </c>
    </row>
    <row r="27" spans="1:1" x14ac:dyDescent="0.25">
      <c r="A27" t="s">
        <v>565</v>
      </c>
    </row>
    <row r="28" spans="1:1" x14ac:dyDescent="0.25">
      <c r="A28" t="s">
        <v>564</v>
      </c>
    </row>
    <row r="30" spans="1:1" x14ac:dyDescent="0.25">
      <c r="A30" t="s">
        <v>580</v>
      </c>
    </row>
    <row r="34" spans="1:1" x14ac:dyDescent="0.25">
      <c r="A34" t="s">
        <v>560</v>
      </c>
    </row>
    <row r="35" spans="1:1" x14ac:dyDescent="0.25">
      <c r="A35" t="s">
        <v>561</v>
      </c>
    </row>
    <row r="37" spans="1:1" x14ac:dyDescent="0.25">
      <c r="A37" t="s">
        <v>580</v>
      </c>
    </row>
    <row r="41" spans="1:1" x14ac:dyDescent="0.25">
      <c r="A41" t="s">
        <v>562</v>
      </c>
    </row>
    <row r="42" spans="1:1" x14ac:dyDescent="0.25">
      <c r="A42" t="s">
        <v>563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AmpFactor</vt:lpstr>
      <vt:lpstr>BedTemp</vt:lpstr>
      <vt:lpstr>ExtrusionHeight</vt:lpstr>
      <vt:lpstr>ExtrusionSpacing</vt:lpstr>
      <vt:lpstr>ExtrusionSpacing_L1</vt:lpstr>
      <vt:lpstr>ExtrusionWidth</vt:lpstr>
      <vt:lpstr>FanSpeed</vt:lpstr>
      <vt:lpstr>Height</vt:lpstr>
      <vt:lpstr>LayerHeight</vt:lpstr>
      <vt:lpstr>Length</vt:lpstr>
      <vt:lpstr>MaxAmp</vt:lpstr>
      <vt:lpstr>NozzleFeedratePrinting</vt:lpstr>
      <vt:lpstr>NozzleFeedrateTravelling</vt:lpstr>
      <vt:lpstr>NozzleTemp</vt:lpstr>
      <vt:lpstr>NumPeriods</vt:lpstr>
      <vt:lpstr>Radius</vt:lpstr>
      <vt:lpstr>SineLayerHeight</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2022-03-22T15:20:38Z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