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98E6E1A9-FC00-4D0F-A820-C7988120D664}" xr6:coauthVersionLast="47" xr6:coauthVersionMax="47" xr10:uidLastSave="{00000000-0000-0000-0000-000000000000}"/>
  <bookViews>
    <workbookView xWindow="30720" yWindow="4875" windowWidth="6540" windowHeight="1093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ExtrusionHeight">'Main Sheet'!$T$40</definedName>
    <definedName name="ExtrusionSpacing">'Main Sheet'!$T$38</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1" l="1"/>
  <c r="F9" i="1"/>
  <c r="J8" i="1"/>
  <c r="I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31" i="4"/>
  <c r="I23" i="4"/>
  <c r="I27" i="4"/>
  <c r="I26"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<sst xmlns="http://schemas.openxmlformats.org/spreadsheetml/2006/main" count="3814" uniqueCount="553">
  <si>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</si>
  <si>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</si>
  <si>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</si>
  <si>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</si>
  <si>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</si>
  <si>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</si>
  <si>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</si>
  <si>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</si>
  <si>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</si>
  <si>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</si>
  <si>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</si>
  <si>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</si>
  <si>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</si>
  <si>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</si>
  <si>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</si>
  <si>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</si>
  <si>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</si>
  <si>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</si>
  <si>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</si>
  <si>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</si>
  <si>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</si>
  <si>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</si>
  <si>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</si>
  <si>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</si>
  <si>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</si>
  <si>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</si>
  <si>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</si>
  <si>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</si>
  <si>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</si>
  <si>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</si>
  <si>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</si>
  <si>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</si>
  <si>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</si>
  <si>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</si>
  <si>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</si>
  <si>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</si>
  <si>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</si>
  <si>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</si>
  <si>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</si>
  <si>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</si>
  <si>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</si>
  <si>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</si>
  <si>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</si>
  <si>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</si>
  <si>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</si>
  <si>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</si>
  <si>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</si>
  <si>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</si>
  <si>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</si>
  <si>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</si>
  <si>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</si>
  <si>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</si>
  <si>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</si>
  <si>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</si>
  <si>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</si>
  <si>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</si>
  <si>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</si>
  <si>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</si>
  <si>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</si>
  <si>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</si>
  <si>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</si>
  <si>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</si>
  <si>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</si>
  <si>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</si>
  <si>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</si>
  <si>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</si>
  <si>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</si>
  <si>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</si>
  <si>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</si>
  <si>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</si>
  <si>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</si>
  <si>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</si>
  <si>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</si>
  <si>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</si>
  <si>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</si>
  <si>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</si>
  <si>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</si>
  <si>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</si>
  <si>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</si>
  <si>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</si>
  <si>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</si>
  <si>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</si>
  <si>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</si>
  <si>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</si>
  <si>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NozzleFeedratePrinting</t>
  </si>
  <si>
    <t>NozzleFeedrateTravelling</t>
  </si>
  <si>
    <t>FirstLayerExtrusionMultiplier</t>
  </si>
  <si>
    <t>FirstLayerNozzleSpeedMultiplier</t>
  </si>
  <si>
    <t>no units</t>
  </si>
  <si>
    <t>mm OR mm3</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</si>
  <si>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</si>
  <si>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</si>
  <si>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</si>
  <si>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</si>
  <si>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</si>
  <si>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</si>
  <si>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</si>
  <si>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</si>
  <si>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</si>
  <si>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</si>
  <si>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</si>
  <si>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</si>
  <si>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</si>
  <si>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</si>
  <si>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</si>
  <si>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</si>
  <si>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</si>
  <si>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</si>
  <si>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</si>
  <si>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</si>
  <si>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</si>
  <si>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</si>
  <si>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</si>
  <si>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</si>
  <si>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</si>
  <si>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</si>
  <si>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</si>
  <si>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</si>
  <si>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</si>
  <si>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</si>
  <si>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</si>
  <si>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</si>
  <si>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</si>
  <si>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</si>
  <si>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</si>
  <si>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</si>
  <si>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</si>
  <si>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</si>
  <si>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</si>
  <si>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</si>
  <si>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</si>
  <si>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</si>
  <si>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</si>
  <si>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</si>
  <si>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</si>
  <si>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</si>
  <si>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</si>
  <si>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</si>
  <si>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</si>
  <si>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</si>
  <si>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</si>
  <si>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</si>
  <si>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</si>
  <si>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</si>
  <si>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</si>
  <si>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</si>
  <si>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</si>
  <si>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</si>
  <si>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</si>
  <si>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</si>
  <si>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</si>
  <si>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</si>
  <si>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</si>
  <si>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</si>
  <si>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</si>
  <si>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</si>
  <si>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</si>
  <si>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</si>
  <si>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</si>
  <si>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</si>
  <si>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</si>
  <si>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</si>
  <si>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</si>
  <si>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</si>
  <si>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</si>
  <si>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</si>
  <si>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</si>
  <si>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</si>
  <si>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</si>
  <si>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</si>
  <si>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</si>
  <si>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</si>
  <si>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</si>
  <si>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</si>
  <si>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</si>
  <si>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</si>
  <si>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</si>
  <si>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</si>
  <si>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</si>
  <si>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</si>
  <si>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</si>
  <si>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</si>
  <si>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</si>
  <si>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</si>
  <si>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</si>
  <si>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</si>
  <si>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</si>
  <si>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</si>
  <si>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</si>
  <si>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</si>
  <si>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</si>
  <si>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</si>
  <si>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</si>
  <si>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</si>
  <si>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</si>
  <si>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</si>
  <si>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</si>
  <si>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</si>
  <si>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</si>
  <si>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</si>
  <si>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</si>
  <si>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</si>
  <si>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</si>
  <si>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</si>
  <si>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</si>
  <si>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</si>
  <si>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</si>
  <si>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</si>
  <si>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</si>
  <si>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</si>
  <si>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</si>
  <si>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</si>
  <si>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</si>
  <si>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</si>
  <si>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</si>
  <si>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</si>
  <si>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</si>
  <si>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</si>
  <si>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</si>
  <si>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</si>
  <si>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</si>
  <si>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</si>
  <si>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</si>
  <si>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</si>
  <si>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</si>
  <si>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</si>
  <si>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</si>
  <si>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</si>
  <si>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</si>
  <si>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</si>
  <si>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</si>
  <si>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</si>
  <si>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</si>
  <si>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</si>
  <si>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</si>
  <si>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</si>
  <si>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</si>
  <si>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</si>
  <si>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</si>
  <si>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</si>
  <si>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</si>
  <si>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</si>
  <si>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</si>
  <si>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</si>
  <si>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</si>
  <si>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</si>
  <si>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</si>
  <si>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</si>
  <si>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</si>
  <si>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</si>
  <si>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</si>
  <si>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</si>
  <si>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</si>
  <si>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</si>
  <si>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</si>
  <si>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</si>
  <si>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</si>
  <si>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</si>
  <si>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</si>
  <si>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</si>
  <si>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</si>
  <si>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</si>
  <si>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</si>
  <si>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</si>
  <si>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</si>
  <si>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</si>
  <si>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</si>
  <si>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</si>
  <si>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</si>
  <si>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</si>
  <si>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</si>
  <si>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</si>
  <si>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</si>
  <si>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</si>
  <si>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</si>
  <si>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</si>
  <si>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</si>
  <si>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</si>
  <si>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</si>
  <si>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</si>
  <si>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</si>
  <si>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</si>
  <si>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</si>
  <si>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</si>
  <si>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</si>
  <si>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</si>
  <si>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</si>
  <si>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</si>
  <si>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</si>
  <si>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</si>
  <si>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</si>
  <si>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</si>
  <si>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</si>
  <si>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</si>
  <si>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</si>
  <si>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</si>
  <si>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</si>
  <si>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</si>
  <si>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</si>
  <si>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</si>
  <si>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</si>
  <si>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</si>
  <si>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</si>
  <si>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</si>
  <si>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</si>
  <si>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</si>
  <si>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</si>
  <si>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</si>
  <si>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</si>
  <si>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</si>
  <si>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</si>
  <si>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</si>
  <si>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</si>
  <si>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</si>
  <si>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</si>
  <si>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</si>
  <si>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</si>
  <si>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</si>
  <si>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</si>
  <si>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</si>
  <si>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</si>
  <si>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</si>
  <si>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</si>
  <si>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</si>
  <si>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</si>
  <si>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</si>
  <si>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</si>
  <si>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</si>
  <si>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</si>
  <si>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</si>
  <si>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</si>
  <si>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</si>
  <si>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</si>
  <si>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</si>
  <si>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</si>
  <si>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</si>
  <si>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</si>
  <si>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</si>
  <si>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</si>
  <si>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</si>
  <si>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</si>
  <si>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</si>
  <si>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</si>
  <si>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</si>
  <si>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</si>
  <si>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</si>
  <si>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</si>
  <si>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</si>
  <si>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</si>
  <si>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</si>
  <si>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</si>
  <si>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</si>
  <si>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</si>
  <si>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</si>
  <si>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</si>
  <si>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</si>
  <si>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</si>
  <si>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</si>
  <si>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</si>
  <si>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</si>
  <si>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</si>
  <si>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</si>
  <si>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</si>
  <si>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</si>
  <si>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</si>
  <si>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</si>
  <si>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</si>
  <si>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</si>
  <si>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</si>
  <si>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</si>
  <si>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</si>
  <si>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</si>
  <si>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</si>
  <si>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</si>
  <si>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</si>
  <si>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</si>
  <si>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</si>
  <si>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</si>
  <si>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</si>
  <si>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</si>
  <si>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</si>
  <si>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</si>
  <si>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</si>
  <si>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</si>
  <si>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</si>
  <si>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</si>
  <si>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</si>
  <si>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</si>
  <si>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</si>
  <si>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</si>
  <si>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M140 S0</t>
  </si>
  <si>
    <t>M104 S0</t>
  </si>
  <si>
    <t>AnycubicMegaS</t>
  </si>
  <si>
    <t>G90</t>
  </si>
  <si>
    <t>PrusaMini</t>
  </si>
  <si>
    <t>Raise3D_1nozzle</t>
  </si>
  <si>
    <t>Raise3D_2nozzle</t>
  </si>
  <si>
    <t>T0</t>
  </si>
  <si>
    <t>T1</t>
  </si>
  <si>
    <t>M106 S0</t>
  </si>
  <si>
    <t>M83 ;Relative extrusion</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</si>
  <si>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</si>
  <si>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</si>
  <si>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</si>
  <si>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</si>
  <si>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</si>
  <si>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</si>
  <si>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</si>
  <si>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</si>
  <si>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</si>
  <si>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</si>
  <si>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</si>
  <si>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</si>
  <si>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</si>
  <si>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</si>
  <si>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</si>
  <si>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</si>
  <si>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M0</t>
  </si>
  <si>
    <t>T2</t>
  </si>
  <si>
    <t>G0 F6000 X10 Y10.0 Z10</t>
  </si>
  <si>
    <t>RadiusOfPoint2</t>
  </si>
  <si>
    <t>(Xc Yc is the point the reflective line goes through - centre of circle for polar line)</t>
  </si>
  <si>
    <t>Snapmaker 2_A350</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</si>
  <si>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</si>
  <si>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</si>
  <si>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</si>
  <si>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</si>
  <si>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</si>
  <si>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</si>
  <si>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</si>
  <si>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</si>
  <si>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</si>
  <si>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</si>
  <si>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</si>
  <si>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</si>
  <si>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</si>
  <si>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</si>
  <si>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</si>
  <si>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</si>
  <si>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REPRAP X400</t>
  </si>
  <si>
    <t>Voxel8</t>
  </si>
  <si>
    <t>Ultimaker3</t>
  </si>
  <si>
    <t>Artillery Genius</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</si>
  <si>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</si>
  <si>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</si>
  <si>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</si>
  <si>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</si>
  <si>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</si>
  <si>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</si>
  <si>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</si>
  <si>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</si>
  <si>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</si>
  <si>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</si>
  <si>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</si>
  <si>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</si>
  <si>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</si>
  <si>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</si>
  <si>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</si>
  <si>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</si>
  <si>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</si>
  <si>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</si>
  <si>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</si>
  <si>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</si>
  <si>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</si>
  <si>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</si>
  <si>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</si>
  <si>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</si>
  <si>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</si>
  <si>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</si>
  <si>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</si>
  <si>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</si>
  <si>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</si>
  <si>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</si>
  <si>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</si>
  <si>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</si>
  <si>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</si>
  <si>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</si>
  <si>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</si>
  <si>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</si>
  <si>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</si>
  <si>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</si>
  <si>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</si>
  <si>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</si>
  <si>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</si>
  <si>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</si>
  <si>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</si>
  <si>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</si>
  <si>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</si>
  <si>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</si>
  <si>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</si>
  <si>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</si>
  <si>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</si>
  <si>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</si>
  <si>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</si>
  <si>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</si>
  <si>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</si>
  <si>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</si>
  <si>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</si>
  <si>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</si>
  <si>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</si>
  <si>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</si>
  <si>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</si>
  <si>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</si>
  <si>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</si>
  <si>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</si>
  <si>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</si>
  <si>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</si>
  <si>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</si>
  <si>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</si>
  <si>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</si>
  <si>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</si>
  <si>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</si>
  <si>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</si>
  <si>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</si>
  <si>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</si>
  <si>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</si>
  <si>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</si>
  <si>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</si>
  <si>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</si>
  <si>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</si>
  <si>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</si>
  <si>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M109 S0</t>
  </si>
  <si>
    <t>M190 S0</t>
  </si>
  <si>
    <t>;M98 P"prime.g"</t>
  </si>
  <si>
    <t>M201 X1500 Y1500 Z200 ; turn down acceleration for concrete printing</t>
  </si>
  <si>
    <t>M201 X6000 Y6000 Z400 ; turn acceleratio back up</t>
  </si>
  <si>
    <t>G0 F2000 X100.0 Y100.0 Z0.85</t>
  </si>
  <si>
    <t>RectangleFeat1</t>
  </si>
  <si>
    <t>G1 F1200 Y150.0 E0.060638</t>
  </si>
  <si>
    <t>G1 X150.0 E0.060638</t>
  </si>
  <si>
    <t>G1 Y100.0 E0.060638</t>
  </si>
  <si>
    <t>G1 X100.0 E0.060638</t>
  </si>
  <si>
    <t>G0 F2000 Z1.85</t>
  </si>
  <si>
    <t>2.1-1</t>
  </si>
  <si>
    <t>CartesianRepFeat1 of RectangleFeat1</t>
  </si>
  <si>
    <t>G0 F2000 Z2.85</t>
  </si>
  <si>
    <t>2.2-1</t>
  </si>
  <si>
    <t>G0 F2000 Z3.85</t>
  </si>
  <si>
    <t>2.3-1</t>
  </si>
  <si>
    <t>G0 F2000 Z4.85</t>
  </si>
  <si>
    <t>2.4-1</t>
  </si>
  <si>
    <t>G0 F2000 Z5.85</t>
  </si>
  <si>
    <t>2.5-1</t>
  </si>
  <si>
    <t>G0 F2000 Z6.85</t>
  </si>
  <si>
    <t>2.6-1</t>
  </si>
  <si>
    <t>G0 F2000 Z7.85</t>
  </si>
  <si>
    <t>2.7-1</t>
  </si>
  <si>
    <t>G0 F2000 Z8.85</t>
  </si>
  <si>
    <t>2.8-1</t>
  </si>
  <si>
    <t>G0 F2000 Z9.85</t>
  </si>
  <si>
    <t>2.9-1</t>
  </si>
  <si>
    <t>G0 F2000 Z10.85</t>
  </si>
  <si>
    <t>2.10-1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</si>
</sst>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zoomScale="85" zoomScaleNormal="85" workbookViewId="0">
      <pane ySplit="1" topLeftCell="A2" activePane="bottomLeft" state="frozen"/>
      <selection activeCell="G268" sqref="G268"/>
      <selection pane="bottomLeft" activeCell="I16" sqref="I16"/>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404</v>
      </c>
      <c r="M3" s="83"/>
      <c r="O3" s="83"/>
    </row>
    <row r="4" spans="1:40" x14ac:dyDescent="0.25">
      <c r="M4" s="84"/>
    </row>
    <row r="5" spans="1:40" x14ac:dyDescent="0.25">
      <c r="T5" s="94" t="s">
        <v>126</v>
      </c>
      <c r="U5" s="93">
        <f>COUNTA(RecycleBin!#REF!)</f>
        <v>1</v>
      </c>
      <c r="V5" s="85"/>
    </row>
    <row r="6" spans="1:40" s="81" customFormat="1" x14ac:dyDescent="0.25">
      <c r="A6" s="58" t="s">
        <v>124</v>
      </c>
      <c r="B6" s="2" t="s">
        <v>506</v>
      </c>
      <c r="C6" s="58" t="s">
        <v>123</v>
      </c>
      <c r="D6" s="2" t="s">
        <v>455</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284</v>
      </c>
      <c r="R7"/>
      <c r="S7"/>
      <c r="T7"/>
      <c r="U7" s="89"/>
      <c r="V7"/>
      <c r="W7"/>
      <c r="X7"/>
      <c r="Y7"/>
      <c r="Z7"/>
      <c r="AA7"/>
      <c r="AB7"/>
      <c r="AC7"/>
      <c r="AD7"/>
      <c r="AE7"/>
      <c r="AF7"/>
      <c r="AG7"/>
      <c r="AH7"/>
      <c r="AI7"/>
      <c r="AJ7"/>
      <c r="AK7"/>
      <c r="AL7"/>
      <c r="AM7"/>
      <c r="AN7"/>
    </row>
    <row r="8" spans="1:40" s="81" customFormat="1" x14ac:dyDescent="0.25">
      <c r="A8" s="2">
        <v>1</v>
      </c>
      <c r="B8" s="2" t="s">
        <v>9</v>
      </c>
      <c r="C8" s="2">
        <v>100</v>
      </c>
      <c r="D8" s="2">
        <v>100</v>
      </c>
      <c r="E8" s="2">
        <v>150</v>
      </c>
      <c r="F8" s="2">
        <v>150</v>
      </c>
      <c r="G8" s="2">
        <v>0</v>
      </c>
      <c r="H8" s="2" t="s">
        <v>20</v>
      </c>
      <c r="I8" s="2">
        <f>ExtrusionWidth</f>
        <v>1.524</v>
      </c>
      <c r="J8" s="2">
        <f>ExtrusionHeight</f>
        <v>1</v>
      </c>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55</v>
      </c>
      <c r="C9" s="2">
        <v>1</v>
      </c>
      <c r="D9" s="2">
        <v>0</v>
      </c>
      <c r="E9" s="2">
        <v>0</v>
      </c>
      <c r="F9" s="2">
        <f>LayerHeight</f>
        <v>1</v>
      </c>
      <c r="G9" s="2">
        <v>10</v>
      </c>
      <c r="H9" s="2"/>
      <c r="I9" s="2"/>
      <c r="J9" s="2"/>
      <c r="K9" s="2"/>
      <c r="L9" s="2"/>
      <c r="M9" s="2"/>
      <c r="N9" s="2"/>
      <c r="O9" s="2"/>
      <c r="P9" s="2"/>
      <c r="Q9" s="2"/>
      <c r="R9"/>
      <c r="S9" s="5" t="s">
        <v>95</v>
      </c>
      <c r="T9" s="5">
        <v>0.85</v>
      </c>
      <c r="U9" s="5" t="s">
        <v>44</v>
      </c>
      <c r="V9"/>
      <c r="W9"/>
      <c r="X9"/>
      <c r="Y9"/>
      <c r="Z9"/>
      <c r="AA9"/>
      <c r="AB9"/>
      <c r="AC9"/>
      <c r="AD9"/>
      <c r="AE9"/>
      <c r="AF9"/>
      <c r="AG9"/>
      <c r="AH9"/>
      <c r="AI9"/>
      <c r="AJ9"/>
      <c r="AK9"/>
      <c r="AL9"/>
      <c r="AM9"/>
      <c r="AN9"/>
    </row>
    <row r="10" spans="1:40" s="81" customFormat="1" x14ac:dyDescent="0.25">
      <c r="A10" s="2">
        <v>3</v>
      </c>
      <c r="B10" s="143" t="s">
        <v>39</v>
      </c>
      <c r="C10" s="2">
        <v>0.25</v>
      </c>
      <c r="D10" s="2">
        <v>60</v>
      </c>
      <c r="E10" s="2">
        <f>LayerHeight</f>
        <v>1</v>
      </c>
      <c r="F10" s="2">
        <v>10000</v>
      </c>
      <c r="G10" s="2"/>
      <c r="H10" s="2"/>
      <c r="I10" s="2"/>
      <c r="J10" s="2"/>
      <c r="K10" s="2"/>
      <c r="L10" s="2"/>
      <c r="M10" s="2"/>
      <c r="N10" s="2"/>
      <c r="O10" s="2"/>
      <c r="P10" s="2"/>
      <c r="Q10" s="2"/>
      <c r="R10"/>
      <c r="S10" s="5" t="s">
        <v>86</v>
      </c>
      <c r="T10" s="5">
        <v>1</v>
      </c>
      <c r="U10" s="5" t="s">
        <v>88</v>
      </c>
      <c r="V10"/>
      <c r="W10"/>
      <c r="X10"/>
      <c r="Y10"/>
      <c r="Z10"/>
      <c r="AA10"/>
      <c r="AB10"/>
      <c r="AC10"/>
      <c r="AD10"/>
      <c r="AE10"/>
      <c r="AF10"/>
      <c r="AG10"/>
      <c r="AH10"/>
      <c r="AI10"/>
      <c r="AJ10"/>
      <c r="AK10"/>
      <c r="AL10"/>
      <c r="AM10"/>
      <c r="AN10"/>
    </row>
    <row r="11" spans="1:40" s="81" customFormat="1" x14ac:dyDescent="0.25">
      <c r="A11" s="2">
        <v>4</v>
      </c>
      <c r="B11" s="2"/>
      <c r="C11" s="2"/>
      <c r="D11" s="2"/>
      <c r="E11" s="2"/>
      <c r="F11" s="2"/>
      <c r="G11" s="2"/>
      <c r="H11" s="2"/>
      <c r="I11" s="2"/>
      <c r="J11" s="2"/>
      <c r="K11" s="2"/>
      <c r="L11" s="2"/>
      <c r="M11" s="2"/>
      <c r="N11" s="2"/>
      <c r="O11" s="2"/>
      <c r="P11" s="2"/>
      <c r="Q11" s="2"/>
      <c r="R11"/>
      <c r="S11" s="5" t="s">
        <v>87</v>
      </c>
      <c r="T11" s="5">
        <v>1</v>
      </c>
      <c r="U11" s="5" t="s">
        <v>88</v>
      </c>
      <c r="V11"/>
      <c r="W11"/>
      <c r="X11"/>
      <c r="Y11"/>
      <c r="Z11"/>
      <c r="AA11"/>
      <c r="AB11"/>
      <c r="AC11"/>
      <c r="AD11"/>
      <c r="AE11"/>
      <c r="AF11"/>
      <c r="AG11"/>
      <c r="AH11"/>
      <c r="AI11"/>
      <c r="AJ11"/>
      <c r="AK11"/>
      <c r="AL11"/>
      <c r="AM11"/>
      <c r="AN11"/>
    </row>
    <row r="12" spans="1:40" s="81" customFormat="1" x14ac:dyDescent="0.25">
      <c r="A12" s="2">
        <v>5</v>
      </c>
      <c r="B12" s="143"/>
      <c r="C12" s="98"/>
      <c r="D12" s="2"/>
      <c r="E12" s="2"/>
      <c r="F12" s="2"/>
      <c r="G12" s="2"/>
      <c r="H12" s="2"/>
      <c r="I12" s="2"/>
      <c r="J12" s="2"/>
      <c r="K12" s="2"/>
      <c r="L12" s="2"/>
      <c r="M12" s="2"/>
      <c r="N12" s="2"/>
      <c r="O12" s="2"/>
      <c r="P12" s="2"/>
      <c r="Q12" s="2"/>
      <c r="R12"/>
      <c r="S12" s="5" t="s">
        <v>188</v>
      </c>
      <c r="T12" s="5" t="s">
        <v>199</v>
      </c>
      <c r="U12" s="5"/>
      <c r="V12" s="5" t="s">
        <v>199</v>
      </c>
      <c r="W12" s="5" t="s">
        <v>199</v>
      </c>
      <c r="X12" s="5" t="s">
        <v>199</v>
      </c>
      <c r="Y12" s="5" t="s">
        <v>199</v>
      </c>
      <c r="Z12" s="5" t="s">
        <v>199</v>
      </c>
      <c r="AA12" s="5" t="s">
        <v>199</v>
      </c>
      <c r="AB12" s="127" t="s">
        <v>396</v>
      </c>
      <c r="AC12" s="128" t="s">
        <v>403</v>
      </c>
      <c r="AD12" s="5" t="s">
        <v>199</v>
      </c>
      <c r="AE12" s="5" t="s">
        <v>199</v>
      </c>
      <c r="AF12" s="5" t="s">
        <v>199</v>
      </c>
      <c r="AG12" s="5" t="s">
        <v>199</v>
      </c>
      <c r="AH12" s="5" t="s">
        <v>199</v>
      </c>
      <c r="AI12"/>
      <c r="AJ12"/>
      <c r="AK12"/>
      <c r="AL12"/>
      <c r="AM12"/>
      <c r="AN12"/>
    </row>
    <row r="13" spans="1:40" s="81" customFormat="1" x14ac:dyDescent="0.25">
      <c r="A13" s="2">
        <v>6</v>
      </c>
      <c r="B13" s="143"/>
      <c r="C13" s="2"/>
      <c r="D13" s="2"/>
      <c r="E13" s="2"/>
      <c r="F13" s="2"/>
      <c r="G13" s="2"/>
      <c r="H13" s="2"/>
      <c r="I13" s="2"/>
      <c r="J13" s="2"/>
      <c r="K13" s="2"/>
      <c r="L13" s="2"/>
      <c r="M13" s="2"/>
      <c r="N13" s="2"/>
      <c r="O13" s="2"/>
      <c r="P13" s="2"/>
      <c r="Q13" s="2"/>
      <c r="R13"/>
      <c r="S13" s="5" t="s">
        <v>189</v>
      </c>
      <c r="T13" s="5">
        <v>0</v>
      </c>
      <c r="U13" s="5"/>
      <c r="V13"/>
      <c r="W13"/>
      <c r="X13"/>
      <c r="Y13"/>
      <c r="Z13"/>
      <c r="AA13"/>
      <c r="AB13"/>
      <c r="AC13"/>
      <c r="AD13"/>
      <c r="AE13"/>
      <c r="AF13"/>
      <c r="AG13"/>
      <c r="AH13"/>
      <c r="AI13"/>
      <c r="AJ13"/>
      <c r="AK13"/>
      <c r="AL13"/>
      <c r="AM13"/>
      <c r="AN13"/>
    </row>
    <row r="14" spans="1:40" s="81" customFormat="1" x14ac:dyDescent="0.25">
      <c r="A14" s="2">
        <v>7</v>
      </c>
      <c r="B14" s="142"/>
      <c r="C14" s="98"/>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143"/>
      <c r="G15" s="2"/>
      <c r="H15" s="2"/>
      <c r="I15" s="2"/>
      <c r="J15" s="2"/>
      <c r="K15" s="2"/>
      <c r="L15" s="2"/>
      <c r="M15" s="2"/>
      <c r="N15" s="2"/>
      <c r="O15" s="2"/>
      <c r="P15" s="2"/>
      <c r="Q15" s="2"/>
      <c r="R15"/>
      <c r="S15" s="5" t="s">
        <v>333</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84</v>
      </c>
      <c r="T16" s="5">
        <v>1200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85</v>
      </c>
      <c r="T17" s="5">
        <v>2000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t="s">
        <v>44</v>
      </c>
      <c r="U20" s="5" t="s">
        <v>89</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105</v>
      </c>
      <c r="T21" s="122" t="s">
        <v>473</v>
      </c>
      <c r="U21" s="5"/>
      <c r="V21" s="122" t="s">
        <v>148</v>
      </c>
      <c r="W21" s="123" t="s">
        <v>389</v>
      </c>
      <c r="X21" s="137" t="s">
        <v>388</v>
      </c>
      <c r="Y21" s="24" t="s">
        <v>394</v>
      </c>
      <c r="Z21" s="126" t="s">
        <v>392</v>
      </c>
      <c r="AA21" s="127" t="s">
        <v>395</v>
      </c>
      <c r="AB21" s="127" t="s">
        <v>396</v>
      </c>
      <c r="AC21" s="134" t="s">
        <v>409</v>
      </c>
      <c r="AD21" s="135" t="s">
        <v>422</v>
      </c>
      <c r="AE21" s="136" t="s">
        <v>439</v>
      </c>
      <c r="AF21" s="138" t="s">
        <v>440</v>
      </c>
      <c r="AG21" s="132" t="s">
        <v>441</v>
      </c>
      <c r="AH21" s="139" t="s">
        <v>442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147</v>
      </c>
      <c r="T22" s="122" t="s">
        <v>473</v>
      </c>
      <c r="U22" s="5"/>
      <c r="V22" s="122" t="s">
        <v>120</v>
      </c>
      <c r="W22" s="123" t="s">
        <v>389</v>
      </c>
      <c r="X22" s="137" t="s">
        <v>388</v>
      </c>
      <c r="Y22" s="24" t="s">
        <v>394</v>
      </c>
      <c r="Z22" s="126" t="s">
        <v>392</v>
      </c>
      <c r="AA22" s="127" t="s">
        <v>395</v>
      </c>
      <c r="AB22" s="127" t="s">
        <v>396</v>
      </c>
      <c r="AC22" s="134" t="s">
        <v>409</v>
      </c>
      <c r="AD22" s="135" t="s">
        <v>422</v>
      </c>
      <c r="AE22" s="136" t="s">
        <v>439</v>
      </c>
      <c r="AF22" s="138" t="s">
        <v>440</v>
      </c>
      <c r="AG22" s="132" t="s">
        <v>441</v>
      </c>
      <c r="AH22" s="139" t="s">
        <v>442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162</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163</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164</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334</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149</v>
      </c>
      <c r="T27" s="5" t="s">
        <v>161</v>
      </c>
      <c r="U27" s="5" t="s">
        <v>153</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154</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155</v>
      </c>
      <c r="T29" s="5">
        <v>1.25</v>
      </c>
      <c r="U29" s="5" t="s">
        <v>89</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156</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157</v>
      </c>
      <c r="T31" s="5">
        <v>0</v>
      </c>
      <c r="U31" s="5" t="s">
        <v>89</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158</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159</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160</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287</v>
      </c>
      <c r="T36" s="96" t="s">
        <v>288</v>
      </c>
      <c r="U36" s="97" t="s">
        <v>326</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500</v>
      </c>
      <c r="T37" s="75">
        <v>1.75</v>
      </c>
      <c r="U37" s="92" t="s">
        <v>106</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499</v>
      </c>
      <c r="T38" s="75">
        <v>1.75</v>
      </c>
      <c r="U38" s="92" t="s">
        <v>106</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508</v>
      </c>
      <c r="T39" s="75">
        <v>1.524</v>
      </c>
      <c r="U39" s="92" t="s">
        <v>106</v>
      </c>
    </row>
    <row r="40" spans="1:40" x14ac:dyDescent="0.25">
      <c r="A40" s="2">
        <v>33</v>
      </c>
      <c r="B40" s="2"/>
      <c r="C40" s="98"/>
      <c r="D40" s="2"/>
      <c r="E40" s="2"/>
      <c r="F40" s="2"/>
      <c r="G40" s="2"/>
      <c r="H40" s="2"/>
      <c r="I40" s="2"/>
      <c r="J40" s="2"/>
      <c r="K40" s="2"/>
      <c r="L40" s="2"/>
      <c r="M40" s="2"/>
      <c r="N40" s="2"/>
      <c r="O40" s="2"/>
      <c r="P40" s="2"/>
      <c r="Q40" s="2"/>
      <c r="S40" s="75" t="s">
        <v>509</v>
      </c>
      <c r="T40" s="75">
        <v>1</v>
      </c>
      <c r="U40" s="92" t="s">
        <v>106</v>
      </c>
    </row>
    <row r="41" spans="1:40" x14ac:dyDescent="0.25">
      <c r="A41" s="2">
        <v>34</v>
      </c>
      <c r="B41" s="143"/>
      <c r="C41" s="2"/>
      <c r="D41" s="2"/>
      <c r="E41" s="2"/>
      <c r="F41" s="2"/>
      <c r="G41" s="2"/>
      <c r="H41" s="2"/>
      <c r="I41" s="2"/>
      <c r="J41" s="2"/>
      <c r="K41" s="2"/>
      <c r="L41" s="2"/>
      <c r="M41" s="2"/>
      <c r="N41" s="2"/>
      <c r="O41" s="2"/>
      <c r="P41" s="2"/>
      <c r="Q41" s="2"/>
      <c r="S41" s="75" t="s">
        <v>481</v>
      </c>
      <c r="T41" s="75" t="s">
        <v>418</v>
      </c>
      <c r="U41" s="92" t="s">
        <v>106</v>
      </c>
    </row>
    <row r="42" spans="1:40" x14ac:dyDescent="0.25">
      <c r="A42" s="2">
        <v>35</v>
      </c>
      <c r="B42" s="143"/>
      <c r="C42" s="2"/>
      <c r="D42" s="2"/>
      <c r="E42" s="2"/>
      <c r="F42" s="2"/>
      <c r="G42" s="2"/>
      <c r="H42" s="2"/>
      <c r="I42" s="2"/>
      <c r="J42" s="2"/>
      <c r="K42" s="2"/>
      <c r="L42" s="2"/>
      <c r="M42" s="2"/>
      <c r="N42" s="2"/>
      <c r="O42" s="2"/>
      <c r="P42" s="2"/>
      <c r="Q42" s="2"/>
      <c r="S42" s="75" t="s">
        <v>304</v>
      </c>
      <c r="T42" s="75">
        <v>1</v>
      </c>
      <c r="U42" s="92" t="s">
        <v>106</v>
      </c>
    </row>
    <row r="43" spans="1:40" x14ac:dyDescent="0.25">
      <c r="A43" s="2">
        <v>36</v>
      </c>
      <c r="B43" s="143"/>
      <c r="C43" s="2"/>
      <c r="D43" s="2"/>
      <c r="E43" s="2"/>
      <c r="F43" s="2"/>
      <c r="G43" s="2"/>
      <c r="H43" s="2"/>
      <c r="I43" s="2"/>
      <c r="J43" s="2"/>
      <c r="K43" s="2"/>
      <c r="L43" s="2"/>
      <c r="M43" s="2"/>
      <c r="N43" s="2"/>
      <c r="O43" s="2"/>
      <c r="P43" s="2"/>
      <c r="Q43" s="2"/>
      <c r="S43" s="75" t="s">
        <v>514</v>
      </c>
      <c r="T43" s="75">
        <v>120</v>
      </c>
      <c r="U43" s="92" t="s">
        <v>106</v>
      </c>
    </row>
    <row r="44" spans="1:40" x14ac:dyDescent="0.25">
      <c r="A44" s="2">
        <v>37</v>
      </c>
      <c r="B44" s="143"/>
      <c r="C44" s="2"/>
      <c r="D44" s="2"/>
      <c r="E44" s="2"/>
      <c r="F44" s="2"/>
      <c r="G44" s="2"/>
      <c r="H44" s="2"/>
      <c r="I44" s="2"/>
      <c r="J44" s="2"/>
      <c r="K44" s="2"/>
      <c r="L44" s="2"/>
      <c r="M44" s="2"/>
      <c r="N44" s="2"/>
      <c r="O44" s="2"/>
      <c r="P44" s="2"/>
      <c r="Q44" s="2"/>
      <c r="S44" s="75" t="s">
        <v>174</v>
      </c>
      <c r="T44" s="75">
        <v>50</v>
      </c>
      <c r="U44" s="92" t="s">
        <v>106</v>
      </c>
    </row>
    <row r="45" spans="1:40" x14ac:dyDescent="0.25">
      <c r="A45" s="2">
        <v>38</v>
      </c>
      <c r="B45" s="143"/>
      <c r="C45" s="2"/>
      <c r="D45" s="2"/>
      <c r="E45" s="2"/>
      <c r="F45" s="2"/>
      <c r="G45" s="2"/>
      <c r="H45" s="2"/>
      <c r="I45" s="2"/>
      <c r="J45" s="2"/>
      <c r="K45" s="2"/>
      <c r="L45" s="2"/>
      <c r="M45" s="2"/>
      <c r="N45" s="2"/>
      <c r="O45" s="2"/>
      <c r="P45" s="2"/>
      <c r="Q45" s="2"/>
      <c r="S45" s="75" t="s">
        <v>175</v>
      </c>
      <c r="T45" s="75">
        <v>15.3</v>
      </c>
      <c r="U45" s="92" t="s">
        <v>106</v>
      </c>
    </row>
    <row r="46" spans="1:40" x14ac:dyDescent="0.25">
      <c r="A46" s="2">
        <v>39</v>
      </c>
      <c r="B46" s="143"/>
      <c r="C46" s="2"/>
      <c r="D46" s="2"/>
      <c r="E46" s="2"/>
      <c r="F46" s="2"/>
      <c r="G46" s="2"/>
      <c r="H46" s="2"/>
      <c r="I46" s="2"/>
      <c r="J46" s="2"/>
      <c r="K46" s="2"/>
      <c r="L46" s="2"/>
      <c r="M46" s="2"/>
      <c r="N46" s="2"/>
      <c r="O46" s="2"/>
      <c r="P46" s="2"/>
      <c r="Q46" s="2"/>
      <c r="S46" s="75" t="s">
        <v>266</v>
      </c>
      <c r="T46" s="75">
        <v>15</v>
      </c>
      <c r="U46" s="92" t="s">
        <v>106</v>
      </c>
    </row>
    <row r="47" spans="1:40" x14ac:dyDescent="0.25">
      <c r="A47" s="2">
        <v>40</v>
      </c>
      <c r="B47" s="143"/>
      <c r="C47" s="2"/>
      <c r="D47" s="2"/>
      <c r="E47" s="2"/>
      <c r="F47" s="2"/>
      <c r="G47" s="2"/>
      <c r="H47" s="2"/>
      <c r="I47" s="2"/>
      <c r="J47" s="2"/>
      <c r="K47" s="2"/>
      <c r="L47" s="2"/>
      <c r="M47" s="2"/>
      <c r="N47" s="2"/>
      <c r="O47" s="2"/>
      <c r="P47" s="2"/>
      <c r="Q47" s="2"/>
      <c r="S47" s="75" t="s">
        <v>267</v>
      </c>
      <c r="T47" s="75">
        <v>75</v>
      </c>
      <c r="U47" s="92" t="s">
        <v>106</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124</v>
      </c>
      <c r="B3" s="2" t="s">
        <v>486</v>
      </c>
      <c r="C3" s="58" t="s">
        <v>123</v>
      </c>
      <c r="D3" s="2" t="s">
        <v>455</v>
      </c>
      <c r="U3" s="89"/>
      <c r="AO3" t="s">
        <v>125</v>
      </c>
      <c r="AP3" t="s">
        <v>469</v>
      </c>
      <c r="AQ3" t="s">
        <v>124</v>
      </c>
      <c r="AR3" t="s">
        <v>453</v>
      </c>
      <c r="AS3" t="s">
        <v>123</v>
      </c>
      <c r="AT3" t="s">
        <v>455</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452</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0.55000000000000004</v>
      </c>
      <c r="U6" s="5" t="s">
        <v>44</v>
      </c>
    </row>
    <row r="7" spans="1:46" x14ac:dyDescent="0.25">
      <c r="A7" s="2">
        <v>3</v>
      </c>
      <c r="B7" s="2" t="s">
        <v>454</v>
      </c>
      <c r="C7" s="2"/>
      <c r="D7" s="2"/>
      <c r="E7" s="2"/>
      <c r="F7" s="2"/>
      <c r="G7" s="2"/>
      <c r="H7" s="2"/>
      <c r="I7" s="2"/>
      <c r="J7" s="2"/>
      <c r="K7" s="2"/>
      <c r="L7" s="2"/>
      <c r="M7" s="2"/>
      <c r="N7" s="2"/>
      <c r="O7" s="2"/>
      <c r="P7" s="2"/>
      <c r="Q7" s="2"/>
      <c r="S7" s="5" t="s">
        <v>86</v>
      </c>
      <c r="T7" s="5">
        <v>0.83</v>
      </c>
      <c r="U7" s="5" t="s">
        <v>88</v>
      </c>
    </row>
    <row r="8" spans="1:46" x14ac:dyDescent="0.25">
      <c r="A8" s="2">
        <v>4</v>
      </c>
      <c r="B8" s="2"/>
      <c r="C8" s="2"/>
      <c r="D8" s="2"/>
      <c r="E8" s="2"/>
      <c r="F8" s="2"/>
      <c r="G8" s="2"/>
      <c r="H8" s="2"/>
      <c r="I8" s="2"/>
      <c r="J8" s="2"/>
      <c r="K8" s="2"/>
      <c r="L8" s="2"/>
      <c r="M8" s="2"/>
      <c r="N8" s="2"/>
      <c r="O8" s="2"/>
      <c r="P8" s="2"/>
      <c r="Q8" s="2"/>
      <c r="S8" s="5" t="s">
        <v>87</v>
      </c>
      <c r="T8" s="5">
        <v>0.5</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1500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473</v>
      </c>
      <c r="U18" s="5"/>
      <c r="V18" s="122" t="s">
        <v>148</v>
      </c>
      <c r="W18" s="123" t="s">
        <v>389</v>
      </c>
      <c r="X18" s="137" t="s">
        <v>388</v>
      </c>
      <c r="Y18" s="24" t="s">
        <v>394</v>
      </c>
      <c r="Z18" s="126" t="s">
        <v>392</v>
      </c>
      <c r="AA18" s="127" t="s">
        <v>395</v>
      </c>
      <c r="AB18" s="127" t="s">
        <v>396</v>
      </c>
      <c r="AC18" s="134" t="s">
        <v>409</v>
      </c>
      <c r="AD18" s="135" t="s">
        <v>422</v>
      </c>
      <c r="AE18" s="136" t="s">
        <v>439</v>
      </c>
      <c r="AF18" s="138" t="s">
        <v>440</v>
      </c>
      <c r="AG18" s="132" t="s">
        <v>441</v>
      </c>
      <c r="AH18" s="139" t="s">
        <v>442</v>
      </c>
    </row>
    <row r="19" spans="1:34" x14ac:dyDescent="0.25">
      <c r="A19" s="2">
        <v>15</v>
      </c>
      <c r="B19" s="2"/>
      <c r="C19" s="2"/>
      <c r="D19" s="2"/>
      <c r="E19" s="2"/>
      <c r="F19" s="2"/>
      <c r="G19" s="2"/>
      <c r="H19" s="2"/>
      <c r="I19" s="2"/>
      <c r="J19" s="2"/>
      <c r="K19" s="2"/>
      <c r="L19" s="2"/>
      <c r="M19" s="2"/>
      <c r="N19" s="2"/>
      <c r="O19" s="2"/>
      <c r="P19" s="2"/>
      <c r="Q19" s="2"/>
      <c r="S19" s="5" t="s">
        <v>147</v>
      </c>
      <c r="T19" s="122" t="s">
        <v>473</v>
      </c>
      <c r="U19" s="5"/>
      <c r="V19" s="122" t="s">
        <v>120</v>
      </c>
      <c r="W19" s="123" t="s">
        <v>389</v>
      </c>
      <c r="X19" s="137" t="s">
        <v>388</v>
      </c>
      <c r="Y19" s="24" t="s">
        <v>394</v>
      </c>
      <c r="Z19" s="126" t="s">
        <v>392</v>
      </c>
      <c r="AA19" s="127" t="s">
        <v>395</v>
      </c>
      <c r="AB19" s="127" t="s">
        <v>396</v>
      </c>
      <c r="AC19" s="134" t="s">
        <v>409</v>
      </c>
      <c r="AD19" s="135" t="s">
        <v>422</v>
      </c>
      <c r="AE19" s="136" t="s">
        <v>439</v>
      </c>
      <c r="AF19" s="138" t="s">
        <v>440</v>
      </c>
      <c r="AG19" s="132" t="s">
        <v>441</v>
      </c>
      <c r="AH19" s="139" t="s">
        <v>442</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515</v>
      </c>
      <c r="C37" s="58" t="s">
        <v>123</v>
      </c>
      <c r="D37" s="2" t="s">
        <v>455</v>
      </c>
      <c r="U37" s="89"/>
      <c r="AO37" t="s">
        <v>125</v>
      </c>
      <c r="AP37" t="s">
        <v>516</v>
      </c>
      <c r="AQ37" t="s">
        <v>124</v>
      </c>
      <c r="AR37" t="s">
        <v>515</v>
      </c>
      <c r="AS37" t="s">
        <v>123</v>
      </c>
      <c r="AT37" t="s">
        <v>455</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42" t="s">
        <v>496</v>
      </c>
      <c r="C39" s="2" t="s">
        <v>18</v>
      </c>
      <c r="D39" s="2" t="s">
        <v>3</v>
      </c>
      <c r="E39" s="2" t="s">
        <v>4</v>
      </c>
      <c r="F39" s="2" t="s">
        <v>33</v>
      </c>
      <c r="G39" s="2" t="s">
        <v>5</v>
      </c>
      <c r="H39" s="2" t="s">
        <v>6</v>
      </c>
      <c r="I39" s="2" t="s">
        <v>34</v>
      </c>
      <c r="J39" s="2" t="s">
        <v>77</v>
      </c>
      <c r="K39" s="2" t="s">
        <v>15</v>
      </c>
      <c r="L39" s="2" t="s">
        <v>11</v>
      </c>
      <c r="M39" s="2" t="s">
        <v>176</v>
      </c>
      <c r="N39" s="2"/>
      <c r="O39" s="2"/>
      <c r="P39" s="2"/>
      <c r="Q39" s="2"/>
      <c r="S39" s="95" t="s">
        <v>40</v>
      </c>
      <c r="T39" s="3"/>
      <c r="U39" s="5"/>
    </row>
    <row r="40" spans="1:46" x14ac:dyDescent="0.25">
      <c r="A40" s="2">
        <v>2</v>
      </c>
      <c r="B40" s="142" t="s">
        <v>501</v>
      </c>
      <c r="C40" s="2" t="s">
        <v>198</v>
      </c>
      <c r="D40" s="2">
        <v>0</v>
      </c>
      <c r="E40" s="2"/>
      <c r="F40" s="2"/>
      <c r="G40" s="2"/>
      <c r="H40" s="2"/>
      <c r="I40" s="2"/>
      <c r="J40" s="2"/>
      <c r="K40" s="2"/>
      <c r="L40" s="2"/>
      <c r="M40" s="2"/>
      <c r="N40" s="2"/>
      <c r="O40" s="2"/>
      <c r="P40" s="2"/>
      <c r="Q40" s="2" t="s">
        <v>498</v>
      </c>
      <c r="S40" s="5" t="s">
        <v>95</v>
      </c>
      <c r="T40" s="5">
        <v>0.55000000000000004</v>
      </c>
      <c r="U40" s="5" t="s">
        <v>44</v>
      </c>
    </row>
    <row r="41" spans="1:46" x14ac:dyDescent="0.25">
      <c r="A41" s="2">
        <v>3</v>
      </c>
      <c r="B41" s="142" t="s">
        <v>496</v>
      </c>
      <c r="C41" s="2" t="s">
        <v>18</v>
      </c>
      <c r="D41" s="2" t="s">
        <v>97</v>
      </c>
      <c r="E41" s="2" t="s">
        <v>97</v>
      </c>
      <c r="F41" s="2" t="s">
        <v>97</v>
      </c>
      <c r="G41" s="2">
        <v>50</v>
      </c>
      <c r="H41" s="2">
        <v>50</v>
      </c>
      <c r="I41" s="2">
        <v>0.55000000000000004</v>
      </c>
      <c r="J41" s="2" t="s">
        <v>23</v>
      </c>
      <c r="K41" s="2"/>
      <c r="L41" s="2"/>
      <c r="M41" s="2"/>
      <c r="N41" s="2"/>
      <c r="O41" s="2"/>
      <c r="P41" s="2"/>
      <c r="Q41" s="2"/>
      <c r="S41" s="5" t="s">
        <v>86</v>
      </c>
      <c r="T41" s="5">
        <v>0.83</v>
      </c>
      <c r="U41" s="5" t="s">
        <v>88</v>
      </c>
    </row>
    <row r="42" spans="1:46" x14ac:dyDescent="0.25">
      <c r="A42" s="2">
        <v>4</v>
      </c>
      <c r="B42" s="2" t="s">
        <v>1</v>
      </c>
      <c r="C42" s="2" t="s">
        <v>18</v>
      </c>
      <c r="D42" s="2" cm="1">
        <f t="array" ref="D42">StartX</f>
        <v>15</v>
      </c>
      <c r="E42" s="2">
        <f>StartY</f>
        <v>75</v>
      </c>
      <c r="F42" s="2">
        <v>0</v>
      </c>
      <c r="G42" s="2" t="str">
        <f>CONCATENATE("R", 3*ExtrusionSpacing_L1)</f>
        <v>R5.25</v>
      </c>
      <c r="H42" s="2" t="s">
        <v>97</v>
      </c>
      <c r="I42" s="2" t="s">
        <v>97</v>
      </c>
      <c r="J42" s="2" t="s">
        <v>19</v>
      </c>
      <c r="K42" s="2">
        <f>ExtrusionWidth</f>
        <v>1.524</v>
      </c>
      <c r="L42" s="2">
        <f>ExtrusionHeight</f>
        <v>1</v>
      </c>
      <c r="M42" s="2"/>
      <c r="N42" s="2"/>
      <c r="O42" s="2"/>
      <c r="P42" s="2"/>
      <c r="Q42" s="2"/>
      <c r="S42" s="5" t="s">
        <v>87</v>
      </c>
      <c r="T42" s="5">
        <v>0.85</v>
      </c>
      <c r="U42" s="5" t="s">
        <v>88</v>
      </c>
    </row>
    <row r="43" spans="1:46" x14ac:dyDescent="0.25">
      <c r="A43" s="2">
        <v>5</v>
      </c>
      <c r="B43" s="2" t="s">
        <v>1</v>
      </c>
      <c r="C43" s="2" t="s">
        <v>18</v>
      </c>
      <c r="D43" s="2" t="s">
        <v>97</v>
      </c>
      <c r="E43" s="2" t="s">
        <v>97</v>
      </c>
      <c r="F43" s="2" t="s">
        <v>97</v>
      </c>
      <c r="G43" s="2" t="s">
        <v>97</v>
      </c>
      <c r="H43" s="2" t="str" cm="1">
        <f t="array" ref="H43">CONCATENATE("R", Length)</f>
        <v>R120</v>
      </c>
      <c r="I43" s="2" t="s">
        <v>97</v>
      </c>
      <c r="J43" s="2" t="s">
        <v>19</v>
      </c>
      <c r="K43" s="2">
        <f>ExtrusionWidth</f>
        <v>1.524</v>
      </c>
      <c r="L43" s="2">
        <f>ExtrusionHeight</f>
        <v>1</v>
      </c>
      <c r="M43" s="2"/>
      <c r="N43" s="2"/>
      <c r="O43" s="2"/>
      <c r="P43" s="2"/>
      <c r="Q43" s="2"/>
      <c r="S43" s="5" t="s">
        <v>188</v>
      </c>
      <c r="T43" s="5" t="s">
        <v>199</v>
      </c>
      <c r="U43" s="5"/>
      <c r="V43" s="5" t="s">
        <v>199</v>
      </c>
      <c r="W43" s="5" t="s">
        <v>199</v>
      </c>
      <c r="X43" s="5" t="s">
        <v>199</v>
      </c>
      <c r="Y43" s="5" t="s">
        <v>199</v>
      </c>
      <c r="Z43" s="5" t="s">
        <v>199</v>
      </c>
      <c r="AA43" s="5" t="s">
        <v>199</v>
      </c>
      <c r="AB43" s="127" t="s">
        <v>396</v>
      </c>
      <c r="AC43" s="128" t="s">
        <v>403</v>
      </c>
      <c r="AD43" s="5" t="s">
        <v>199</v>
      </c>
      <c r="AE43" s="5" t="s">
        <v>199</v>
      </c>
      <c r="AF43" s="5" t="s">
        <v>199</v>
      </c>
      <c r="AG43" s="5" t="s">
        <v>199</v>
      </c>
      <c r="AH43" s="5" t="s">
        <v>199</v>
      </c>
    </row>
    <row r="44" spans="1:46" x14ac:dyDescent="0.25">
      <c r="A44" s="2">
        <v>6</v>
      </c>
      <c r="B44" s="2" t="s">
        <v>1</v>
      </c>
      <c r="C44" s="2" t="s">
        <v>18</v>
      </c>
      <c r="D44" s="2" t="s">
        <v>97</v>
      </c>
      <c r="E44" s="2" t="s">
        <v>97</v>
      </c>
      <c r="F44" s="2" t="s">
        <v>97</v>
      </c>
      <c r="G44" s="2" t="str">
        <f>CONCATENATE("R", ExtrusionSpacing_L1)</f>
        <v>R1.75</v>
      </c>
      <c r="H44" s="2" t="s">
        <v>97</v>
      </c>
      <c r="I44" s="2" t="s">
        <v>97</v>
      </c>
      <c r="J44" s="2" t="s">
        <v>19</v>
      </c>
      <c r="K44" s="2">
        <f>ExtrusionWidth</f>
        <v>1.524</v>
      </c>
      <c r="L44" s="2">
        <f>ExtrusionHeight</f>
        <v>1</v>
      </c>
      <c r="M44" s="2"/>
      <c r="N44" s="2"/>
      <c r="O44" s="2"/>
      <c r="P44" s="2"/>
      <c r="Q44" s="2"/>
      <c r="S44" s="5" t="s">
        <v>189</v>
      </c>
      <c r="T44" s="5">
        <v>0</v>
      </c>
      <c r="U44" s="5"/>
    </row>
    <row r="45" spans="1:46" x14ac:dyDescent="0.25">
      <c r="A45" s="2">
        <v>7</v>
      </c>
      <c r="B45" s="2" t="s">
        <v>1</v>
      </c>
      <c r="C45" s="2" t="s">
        <v>18</v>
      </c>
      <c r="D45" s="2" t="s">
        <v>97</v>
      </c>
      <c r="E45" s="2" t="s">
        <v>97</v>
      </c>
      <c r="F45" s="2" t="s">
        <v>97</v>
      </c>
      <c r="G45" s="2" t="s">
        <v>97</v>
      </c>
      <c r="H45" s="2" t="str">
        <f>CONCATENATE("R-", Length)</f>
        <v>R-120</v>
      </c>
      <c r="I45" s="2" t="s">
        <v>97</v>
      </c>
      <c r="J45" s="2" t="s">
        <v>19</v>
      </c>
      <c r="K45" s="2">
        <f>ExtrusionWidth</f>
        <v>1.524</v>
      </c>
      <c r="L45" s="2">
        <f>ExtrusionHeight</f>
        <v>1</v>
      </c>
      <c r="M45" s="2"/>
      <c r="N45" s="2"/>
      <c r="O45" s="2"/>
      <c r="P45" s="2"/>
      <c r="Q45" s="2"/>
      <c r="S45" s="57"/>
      <c r="T45" s="57"/>
      <c r="U45" s="90"/>
    </row>
    <row r="46" spans="1:46" x14ac:dyDescent="0.25">
      <c r="A46" s="2">
        <v>8</v>
      </c>
      <c r="B46" s="2" t="s">
        <v>55</v>
      </c>
      <c r="C46" s="98" t="s">
        <v>503</v>
      </c>
      <c r="D46" s="2">
        <f>4*ExtrusionSpacing_L1</f>
        <v>7</v>
      </c>
      <c r="E46" s="2">
        <v>0</v>
      </c>
      <c r="F46" s="2">
        <v>0</v>
      </c>
      <c r="G46" s="2">
        <v>20</v>
      </c>
      <c r="H46" s="2"/>
      <c r="I46" s="2"/>
      <c r="J46" s="2"/>
      <c r="K46" s="2"/>
      <c r="L46" s="2"/>
      <c r="M46" s="2"/>
      <c r="N46" s="2"/>
      <c r="O46" s="2"/>
      <c r="P46" s="2"/>
      <c r="Q46" s="2"/>
      <c r="S46" s="5" t="s">
        <v>333</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511</v>
      </c>
      <c r="D47" s="2"/>
      <c r="E47" s="2"/>
      <c r="F47" s="2"/>
      <c r="G47" s="2"/>
      <c r="H47" s="2"/>
      <c r="I47" s="2"/>
      <c r="J47" s="2"/>
      <c r="K47" s="2"/>
      <c r="L47" s="2"/>
      <c r="M47" s="2"/>
      <c r="N47" s="2"/>
      <c r="O47" s="2"/>
      <c r="P47" s="2"/>
      <c r="Q47" s="2"/>
      <c r="S47" s="5" t="s">
        <v>84</v>
      </c>
      <c r="T47" s="5">
        <v>1500</v>
      </c>
      <c r="U47" s="5" t="s">
        <v>45</v>
      </c>
    </row>
    <row r="48" spans="1:46" x14ac:dyDescent="0.25">
      <c r="A48" s="2">
        <v>10</v>
      </c>
      <c r="B48" s="143" t="s">
        <v>49</v>
      </c>
      <c r="C48" s="2" t="s">
        <v>198</v>
      </c>
      <c r="D48" s="2">
        <v>1</v>
      </c>
      <c r="E48" s="2"/>
      <c r="F48" s="2"/>
      <c r="G48" s="2"/>
      <c r="H48" s="2"/>
      <c r="I48" s="2"/>
      <c r="J48" s="2"/>
      <c r="K48" s="2"/>
      <c r="L48" s="2"/>
      <c r="M48" s="2"/>
      <c r="N48" s="2"/>
      <c r="O48" s="2"/>
      <c r="P48" s="2"/>
      <c r="Q48" s="2"/>
      <c r="S48" s="5" t="s">
        <v>85</v>
      </c>
      <c r="T48" s="5">
        <v>48000</v>
      </c>
      <c r="U48" s="5" t="s">
        <v>45</v>
      </c>
    </row>
    <row r="49" spans="1:34" x14ac:dyDescent="0.25">
      <c r="A49" s="2">
        <v>11</v>
      </c>
      <c r="B49" s="143" t="s">
        <v>49</v>
      </c>
      <c r="C49" s="2" t="s">
        <v>472</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496</v>
      </c>
      <c r="C50" s="2" t="s">
        <v>18</v>
      </c>
      <c r="D50" s="2" t="s">
        <v>97</v>
      </c>
      <c r="E50" s="2" t="s">
        <v>97</v>
      </c>
      <c r="F50" s="2" t="s">
        <v>97</v>
      </c>
      <c r="G50" s="2">
        <f>50+ExtrusionSpacing_L1</f>
        <v>51.75</v>
      </c>
      <c r="H50" s="2">
        <f>50+Length+ExtrusionSpacing_L1</f>
        <v>171.75</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16.75</v>
      </c>
      <c r="E51" s="2">
        <f>StartY+Length+ExtrusionSpacing_L1</f>
        <v>196.75</v>
      </c>
      <c r="F51" s="2">
        <v>1E-4</v>
      </c>
      <c r="G51" s="2" t="s">
        <v>97</v>
      </c>
      <c r="H51" s="2" t="str">
        <f>CONCATENATE("R-", Length)</f>
        <v>R-120</v>
      </c>
      <c r="I51" s="2" t="s">
        <v>97</v>
      </c>
      <c r="J51" s="2" t="s">
        <v>19</v>
      </c>
      <c r="K51" s="2">
        <f>ExtrusionWidth</f>
        <v>1.524</v>
      </c>
      <c r="L51" s="2">
        <f>ExtrusionHeight</f>
        <v>1</v>
      </c>
      <c r="M51" s="2"/>
      <c r="N51" s="2"/>
      <c r="O51" s="2"/>
      <c r="P51" s="2"/>
      <c r="Q51" s="2"/>
      <c r="S51" s="5" t="s">
        <v>46</v>
      </c>
      <c r="T51" s="122">
        <v>33</v>
      </c>
      <c r="U51" s="5" t="s">
        <v>89</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97</v>
      </c>
      <c r="E52" s="2" t="s">
        <v>97</v>
      </c>
      <c r="F52" s="2" t="s">
        <v>97</v>
      </c>
      <c r="G52" s="2" t="str">
        <f>CONCATENATE("R", ExtrusionSpacing_L1)</f>
        <v>R1.75</v>
      </c>
      <c r="H52" s="2" t="s">
        <v>97</v>
      </c>
      <c r="I52" s="2" t="s">
        <v>97</v>
      </c>
      <c r="J52" s="2" t="s">
        <v>19</v>
      </c>
      <c r="K52" s="2">
        <f>ExtrusionWidth</f>
        <v>1.524</v>
      </c>
      <c r="L52" s="2">
        <f>ExtrusionHeight</f>
        <v>1</v>
      </c>
      <c r="M52" s="2"/>
      <c r="N52" s="2"/>
      <c r="O52" s="2"/>
      <c r="P52" s="2"/>
      <c r="Q52" s="2"/>
      <c r="S52" s="5" t="s">
        <v>105</v>
      </c>
      <c r="T52" s="122" t="s">
        <v>473</v>
      </c>
      <c r="U52" s="5"/>
      <c r="V52" s="122" t="s">
        <v>148</v>
      </c>
      <c r="W52" s="123" t="s">
        <v>389</v>
      </c>
      <c r="X52" s="137" t="s">
        <v>388</v>
      </c>
      <c r="Y52" s="24" t="s">
        <v>394</v>
      </c>
      <c r="Z52" s="126" t="s">
        <v>392</v>
      </c>
      <c r="AA52" s="127" t="s">
        <v>395</v>
      </c>
      <c r="AB52" s="127" t="s">
        <v>396</v>
      </c>
      <c r="AC52" s="134" t="s">
        <v>409</v>
      </c>
      <c r="AD52" s="135" t="s">
        <v>422</v>
      </c>
      <c r="AE52" s="136" t="s">
        <v>439</v>
      </c>
      <c r="AF52" s="138" t="s">
        <v>440</v>
      </c>
      <c r="AG52" s="132" t="s">
        <v>441</v>
      </c>
      <c r="AH52" s="139" t="s">
        <v>442</v>
      </c>
    </row>
    <row r="53" spans="1:34" x14ac:dyDescent="0.25">
      <c r="A53" s="2">
        <v>15</v>
      </c>
      <c r="B53" s="143" t="s">
        <v>1</v>
      </c>
      <c r="C53" s="2" t="s">
        <v>18</v>
      </c>
      <c r="D53" s="2" t="s">
        <v>97</v>
      </c>
      <c r="E53" s="2" t="s">
        <v>97</v>
      </c>
      <c r="F53" s="2" t="s">
        <v>97</v>
      </c>
      <c r="G53" s="2" t="s">
        <v>97</v>
      </c>
      <c r="H53" s="2" t="str" cm="1">
        <f t="array" ref="H53">CONCATENATE("R", Length)</f>
        <v>R120</v>
      </c>
      <c r="I53" s="2" t="s">
        <v>97</v>
      </c>
      <c r="J53" s="2" t="s">
        <v>19</v>
      </c>
      <c r="K53" s="2">
        <f>ExtrusionWidth</f>
        <v>1.524</v>
      </c>
      <c r="L53" s="2">
        <f>ExtrusionHeight</f>
        <v>1</v>
      </c>
      <c r="M53" s="2"/>
      <c r="N53" s="2"/>
      <c r="O53" s="2"/>
      <c r="P53" s="2"/>
      <c r="Q53" s="2"/>
      <c r="S53" s="5" t="s">
        <v>147</v>
      </c>
      <c r="T53" s="122" t="s">
        <v>473</v>
      </c>
      <c r="U53" s="5"/>
      <c r="V53" s="122" t="s">
        <v>120</v>
      </c>
      <c r="W53" s="123" t="s">
        <v>389</v>
      </c>
      <c r="X53" s="137" t="s">
        <v>388</v>
      </c>
      <c r="Y53" s="24" t="s">
        <v>394</v>
      </c>
      <c r="Z53" s="126" t="s">
        <v>392</v>
      </c>
      <c r="AA53" s="127" t="s">
        <v>395</v>
      </c>
      <c r="AB53" s="127" t="s">
        <v>396</v>
      </c>
      <c r="AC53" s="134" t="s">
        <v>409</v>
      </c>
      <c r="AD53" s="135" t="s">
        <v>422</v>
      </c>
      <c r="AE53" s="136" t="s">
        <v>439</v>
      </c>
      <c r="AF53" s="138" t="s">
        <v>440</v>
      </c>
      <c r="AG53" s="132" t="s">
        <v>441</v>
      </c>
      <c r="AH53" s="139" t="s">
        <v>442</v>
      </c>
    </row>
    <row r="54" spans="1:34" x14ac:dyDescent="0.25">
      <c r="A54" s="2">
        <v>16</v>
      </c>
      <c r="B54" s="143" t="s">
        <v>1</v>
      </c>
      <c r="C54" s="2" t="s">
        <v>18</v>
      </c>
      <c r="D54" s="2" t="s">
        <v>97</v>
      </c>
      <c r="E54" s="2" t="s">
        <v>97</v>
      </c>
      <c r="F54" s="2" t="s">
        <v>97</v>
      </c>
      <c r="G54" s="2" t="str">
        <f>CONCATENATE("R", 3*ExtrusionSpacing_L1)</f>
        <v>R5.25</v>
      </c>
      <c r="H54" s="2" t="s">
        <v>97</v>
      </c>
      <c r="I54" s="2" t="s">
        <v>97</v>
      </c>
      <c r="J54" s="2" t="s">
        <v>19</v>
      </c>
      <c r="K54" s="2">
        <f>ExtrusionWidth</f>
        <v>1.524</v>
      </c>
      <c r="L54" s="2">
        <f>ExtrusionHeight</f>
        <v>1</v>
      </c>
      <c r="M54" s="2"/>
      <c r="N54" s="2"/>
      <c r="O54" s="2"/>
      <c r="P54" s="2"/>
      <c r="Q54" s="2"/>
      <c r="S54" s="5" t="s">
        <v>162</v>
      </c>
      <c r="T54" s="5">
        <v>20</v>
      </c>
      <c r="U54" s="5" t="s">
        <v>44</v>
      </c>
    </row>
    <row r="55" spans="1:34" x14ac:dyDescent="0.25">
      <c r="A55" s="2">
        <v>17</v>
      </c>
      <c r="B55" s="143" t="s">
        <v>55</v>
      </c>
      <c r="C55" s="98" t="s">
        <v>502</v>
      </c>
      <c r="D55" s="2">
        <f>4*ExtrusionSpacing_L1</f>
        <v>7</v>
      </c>
      <c r="E55" s="2">
        <v>0</v>
      </c>
      <c r="F55" s="2">
        <v>0</v>
      </c>
      <c r="G55" s="2">
        <v>20</v>
      </c>
      <c r="H55" s="2"/>
      <c r="I55" s="2"/>
      <c r="J55" s="2"/>
      <c r="K55" s="2"/>
      <c r="L55" s="2"/>
      <c r="M55" s="2"/>
      <c r="N55" s="2"/>
      <c r="O55" s="2"/>
      <c r="P55" s="2"/>
      <c r="Q55" s="2"/>
      <c r="S55" s="5" t="s">
        <v>163</v>
      </c>
      <c r="T55" s="5">
        <v>10</v>
      </c>
      <c r="U55" s="5" t="s">
        <v>44</v>
      </c>
    </row>
    <row r="56" spans="1:34" x14ac:dyDescent="0.25">
      <c r="A56" s="2">
        <v>18</v>
      </c>
      <c r="B56" s="143" t="s">
        <v>39</v>
      </c>
      <c r="C56" s="2">
        <v>1.25</v>
      </c>
      <c r="D56" s="2">
        <v>2100</v>
      </c>
      <c r="E56" s="2">
        <f>LayerHeight</f>
        <v>1</v>
      </c>
      <c r="F56" s="2">
        <v>10000</v>
      </c>
      <c r="G56" s="2"/>
      <c r="H56" s="2"/>
      <c r="I56" s="2"/>
      <c r="J56" s="2"/>
      <c r="K56" s="2"/>
      <c r="L56" s="2"/>
      <c r="M56" s="2"/>
      <c r="N56" s="2"/>
      <c r="O56" s="2"/>
      <c r="P56" s="2"/>
      <c r="Q56" s="2"/>
      <c r="S56" s="5" t="s">
        <v>164</v>
      </c>
      <c r="T56" s="5">
        <v>0.3</v>
      </c>
      <c r="U56" s="5" t="s">
        <v>44</v>
      </c>
    </row>
    <row r="57" spans="1:34" x14ac:dyDescent="0.25">
      <c r="A57" s="2">
        <v>19</v>
      </c>
      <c r="B57" s="142" t="s">
        <v>496</v>
      </c>
      <c r="C57" s="2" t="s">
        <v>18</v>
      </c>
      <c r="D57" s="2" t="s">
        <v>97</v>
      </c>
      <c r="E57" s="2" t="s">
        <v>97</v>
      </c>
      <c r="F57" s="2" t="s">
        <v>97</v>
      </c>
      <c r="G57" s="2">
        <f>50+ExtrusionSpacing_L1</f>
        <v>51.75</v>
      </c>
      <c r="H57" s="2">
        <f>50+Length+ExtrusionSpacing_L1</f>
        <v>171.75</v>
      </c>
      <c r="I57" s="2"/>
      <c r="J57" s="2" t="s">
        <v>23</v>
      </c>
      <c r="K57" s="2"/>
      <c r="L57" s="2"/>
      <c r="M57" s="2"/>
      <c r="N57" s="2"/>
      <c r="O57" s="2"/>
      <c r="P57" s="2"/>
      <c r="Q57" s="2"/>
      <c r="S57" s="78" t="s">
        <v>334</v>
      </c>
      <c r="T57" s="5">
        <v>0</v>
      </c>
      <c r="U57" s="5"/>
      <c r="V57" s="1"/>
    </row>
    <row r="58" spans="1:34" x14ac:dyDescent="0.25">
      <c r="A58" s="2">
        <v>20</v>
      </c>
      <c r="B58" s="143" t="s">
        <v>1</v>
      </c>
      <c r="C58" s="2" t="s">
        <v>18</v>
      </c>
      <c r="D58" s="2">
        <f>StartX+ExtrusionSpacing_L1</f>
        <v>16.75</v>
      </c>
      <c r="E58" s="2">
        <f>StartY+Length+ExtrusionSpacing_L1</f>
        <v>196.75</v>
      </c>
      <c r="F58" s="2" t="s">
        <v>97</v>
      </c>
      <c r="G58" s="2" t="s">
        <v>97</v>
      </c>
      <c r="H58" s="2" t="str">
        <f>CONCATENATE("R-", Length)</f>
        <v>R-120</v>
      </c>
      <c r="I58" s="2" t="s">
        <v>97</v>
      </c>
      <c r="J58" s="2" t="s">
        <v>19</v>
      </c>
      <c r="K58" s="2">
        <f>ExtrusionWidth</f>
        <v>1.524</v>
      </c>
      <c r="L58" s="2">
        <f>ExtrusionHeight</f>
        <v>1</v>
      </c>
      <c r="M58" s="2"/>
      <c r="N58" s="2"/>
      <c r="O58" s="2"/>
      <c r="P58" s="2"/>
      <c r="Q58" s="2"/>
      <c r="S58" s="5" t="s">
        <v>149</v>
      </c>
      <c r="T58" s="5" t="s">
        <v>161</v>
      </c>
      <c r="U58" s="5" t="s">
        <v>153</v>
      </c>
    </row>
    <row r="59" spans="1:34" x14ac:dyDescent="0.25">
      <c r="A59" s="2">
        <v>21</v>
      </c>
      <c r="B59" s="143" t="s">
        <v>1</v>
      </c>
      <c r="C59" s="2" t="s">
        <v>18</v>
      </c>
      <c r="D59" s="2" t="s">
        <v>97</v>
      </c>
      <c r="E59" s="2" t="s">
        <v>97</v>
      </c>
      <c r="F59" s="2" t="s">
        <v>97</v>
      </c>
      <c r="G59" s="2" t="str">
        <f>CONCATENATE("R", ExtrusionSpacing_L1)</f>
        <v>R1.75</v>
      </c>
      <c r="H59" s="2" t="s">
        <v>97</v>
      </c>
      <c r="I59" s="2" t="s">
        <v>97</v>
      </c>
      <c r="J59" s="2" t="s">
        <v>19</v>
      </c>
      <c r="K59" s="2">
        <f>ExtrusionWidth</f>
        <v>1.524</v>
      </c>
      <c r="L59" s="2">
        <f>ExtrusionHeight</f>
        <v>1</v>
      </c>
      <c r="M59" s="2"/>
      <c r="N59" s="2"/>
      <c r="O59" s="2"/>
      <c r="P59" s="2"/>
      <c r="Q59" s="2"/>
      <c r="S59" s="5" t="s">
        <v>154</v>
      </c>
      <c r="T59" s="5">
        <v>2</v>
      </c>
      <c r="U59" s="5" t="s">
        <v>44</v>
      </c>
      <c r="V59" s="1"/>
    </row>
    <row r="60" spans="1:34" x14ac:dyDescent="0.25">
      <c r="A60" s="2">
        <v>22</v>
      </c>
      <c r="B60" s="143" t="s">
        <v>1</v>
      </c>
      <c r="C60" s="2" t="s">
        <v>18</v>
      </c>
      <c r="D60" s="2" t="s">
        <v>97</v>
      </c>
      <c r="E60" s="2" t="s">
        <v>97</v>
      </c>
      <c r="F60" s="2" t="s">
        <v>97</v>
      </c>
      <c r="G60" s="2" t="s">
        <v>97</v>
      </c>
      <c r="H60" s="2" t="str" cm="1">
        <f t="array" ref="H60">CONCATENATE("R", Length)</f>
        <v>R120</v>
      </c>
      <c r="I60" s="2" t="s">
        <v>97</v>
      </c>
      <c r="J60" s="2" t="s">
        <v>19</v>
      </c>
      <c r="K60" s="2">
        <f>ExtrusionWidth</f>
        <v>1.524</v>
      </c>
      <c r="L60" s="2">
        <f>ExtrusionHeight</f>
        <v>1</v>
      </c>
      <c r="M60" s="2"/>
      <c r="N60" s="2"/>
      <c r="O60" s="2"/>
      <c r="P60" s="2"/>
      <c r="Q60" s="2"/>
      <c r="S60" s="5" t="s">
        <v>155</v>
      </c>
      <c r="T60" s="5">
        <v>1.25</v>
      </c>
      <c r="U60" s="5" t="s">
        <v>89</v>
      </c>
    </row>
    <row r="61" spans="1:34" x14ac:dyDescent="0.25">
      <c r="A61" s="2">
        <v>23</v>
      </c>
      <c r="B61" s="143" t="s">
        <v>1</v>
      </c>
      <c r="C61" s="2" t="s">
        <v>18</v>
      </c>
      <c r="D61" s="2" t="s">
        <v>97</v>
      </c>
      <c r="E61" s="2" t="s">
        <v>97</v>
      </c>
      <c r="F61" s="2" t="s">
        <v>97</v>
      </c>
      <c r="G61" s="2" t="str">
        <f>CONCATENATE("R", 3*ExtrusionSpacing_L1)</f>
        <v>R5.25</v>
      </c>
      <c r="H61" s="2" t="s">
        <v>97</v>
      </c>
      <c r="I61" s="2" t="s">
        <v>97</v>
      </c>
      <c r="J61" s="2" t="s">
        <v>19</v>
      </c>
      <c r="K61" s="2">
        <f>ExtrusionWidth</f>
        <v>1.524</v>
      </c>
      <c r="L61" s="2">
        <f>ExtrusionHeight</f>
        <v>1</v>
      </c>
      <c r="M61" s="2"/>
      <c r="N61" s="2"/>
      <c r="O61" s="2"/>
      <c r="P61" s="2"/>
      <c r="Q61" s="2"/>
      <c r="S61" s="5" t="s">
        <v>156</v>
      </c>
      <c r="T61" s="5">
        <v>2500</v>
      </c>
      <c r="U61" s="5" t="s">
        <v>45</v>
      </c>
    </row>
    <row r="62" spans="1:34" x14ac:dyDescent="0.25">
      <c r="A62" s="2">
        <v>24</v>
      </c>
      <c r="B62" s="143" t="s">
        <v>55</v>
      </c>
      <c r="C62" s="98" t="s">
        <v>510</v>
      </c>
      <c r="D62" s="2">
        <f>4*ExtrusionSpacing_L1</f>
        <v>7</v>
      </c>
      <c r="E62" s="2">
        <v>0</v>
      </c>
      <c r="F62" s="2">
        <v>0</v>
      </c>
      <c r="G62" s="2">
        <v>20</v>
      </c>
      <c r="H62" s="2"/>
      <c r="I62" s="2"/>
      <c r="J62" s="2"/>
      <c r="K62" s="2"/>
      <c r="L62" s="2"/>
      <c r="M62" s="2"/>
      <c r="N62" s="2"/>
      <c r="O62" s="2"/>
      <c r="P62" s="2"/>
      <c r="Q62" s="2"/>
      <c r="S62" s="5" t="s">
        <v>157</v>
      </c>
      <c r="T62" s="5">
        <v>0</v>
      </c>
      <c r="U62" s="5" t="s">
        <v>89</v>
      </c>
    </row>
    <row r="63" spans="1:34" x14ac:dyDescent="0.25">
      <c r="A63" s="2">
        <v>25</v>
      </c>
      <c r="B63" s="143" t="s">
        <v>49</v>
      </c>
      <c r="C63" s="2" t="s">
        <v>511</v>
      </c>
      <c r="D63" s="2"/>
      <c r="E63" s="2"/>
      <c r="F63" s="2"/>
      <c r="G63" s="2"/>
      <c r="H63" s="2"/>
      <c r="I63" s="2"/>
      <c r="J63" s="2"/>
      <c r="K63" s="2"/>
      <c r="L63" s="2"/>
      <c r="M63" s="2"/>
      <c r="N63" s="2"/>
      <c r="O63" s="2"/>
      <c r="P63" s="2"/>
      <c r="Q63" s="2"/>
      <c r="S63" s="3" t="s">
        <v>158</v>
      </c>
      <c r="T63" s="3">
        <f>T61</f>
        <v>2500</v>
      </c>
      <c r="U63" s="5" t="s">
        <v>45</v>
      </c>
    </row>
    <row r="64" spans="1:34" x14ac:dyDescent="0.25">
      <c r="A64" s="2">
        <v>26</v>
      </c>
      <c r="B64" s="143" t="s">
        <v>49</v>
      </c>
      <c r="C64" s="2" t="s">
        <v>198</v>
      </c>
      <c r="D64" s="2">
        <v>0</v>
      </c>
      <c r="E64" s="2"/>
      <c r="F64" s="2"/>
      <c r="G64" s="2"/>
      <c r="H64" s="143"/>
      <c r="I64" s="2"/>
      <c r="J64" s="2"/>
      <c r="K64" s="2"/>
      <c r="L64" s="2"/>
      <c r="M64" s="2"/>
      <c r="N64" s="2"/>
      <c r="O64" s="2"/>
      <c r="P64" s="2"/>
      <c r="Q64" s="2"/>
      <c r="S64" s="3" t="s">
        <v>159</v>
      </c>
      <c r="T64" s="3">
        <v>0.65</v>
      </c>
      <c r="U64" s="5" t="s">
        <v>44</v>
      </c>
    </row>
    <row r="65" spans="1:46" x14ac:dyDescent="0.25">
      <c r="A65" s="2">
        <v>27</v>
      </c>
      <c r="B65" s="143" t="s">
        <v>49</v>
      </c>
      <c r="C65" s="2" t="s">
        <v>472</v>
      </c>
      <c r="D65" s="2"/>
      <c r="E65" s="2"/>
      <c r="F65" s="2"/>
      <c r="G65" s="2"/>
      <c r="H65" s="2"/>
      <c r="I65" s="2"/>
      <c r="J65" s="2"/>
      <c r="K65" s="2"/>
      <c r="L65" s="2"/>
      <c r="M65" s="2"/>
      <c r="N65" s="2"/>
      <c r="O65" s="2"/>
      <c r="P65" s="2"/>
      <c r="Q65" s="2"/>
      <c r="S65" s="3" t="s">
        <v>160</v>
      </c>
      <c r="T65" s="3">
        <v>10000</v>
      </c>
      <c r="U65" s="5" t="s">
        <v>45</v>
      </c>
    </row>
    <row r="66" spans="1:46" x14ac:dyDescent="0.25">
      <c r="A66" s="2">
        <v>28</v>
      </c>
      <c r="B66" s="142" t="s">
        <v>496</v>
      </c>
      <c r="C66" s="2" t="s">
        <v>18</v>
      </c>
      <c r="D66" s="2" t="s">
        <v>97</v>
      </c>
      <c r="E66" s="2" t="s">
        <v>97</v>
      </c>
      <c r="F66" s="2" t="s">
        <v>97</v>
      </c>
      <c r="G66" s="2">
        <v>50</v>
      </c>
      <c r="H66" s="2">
        <v>50</v>
      </c>
      <c r="I66" s="2">
        <f>LayerHeight</f>
        <v>1</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15</v>
      </c>
      <c r="E67" s="2">
        <f>StartY</f>
        <v>75</v>
      </c>
      <c r="F67" s="2">
        <f>LayerHeight</f>
        <v>1</v>
      </c>
      <c r="G67" s="2" t="str">
        <f>CONCATENATE("R", 3*ExtrusionSpacing_L1)</f>
        <v>R5.25</v>
      </c>
      <c r="H67" s="2" t="s">
        <v>97</v>
      </c>
      <c r="I67" s="2" t="s">
        <v>97</v>
      </c>
      <c r="J67" s="2" t="s">
        <v>19</v>
      </c>
      <c r="K67" s="2">
        <f>ExtrusionWidth</f>
        <v>1.524</v>
      </c>
      <c r="L67" s="2">
        <f>ExtrusionHeight</f>
        <v>1</v>
      </c>
      <c r="M67" s="2"/>
      <c r="N67" s="2"/>
      <c r="O67" s="143"/>
      <c r="P67" s="2"/>
      <c r="Q67" s="2"/>
      <c r="S67" s="96" t="s">
        <v>287</v>
      </c>
      <c r="T67" s="96" t="s">
        <v>288</v>
      </c>
      <c r="U67" s="97" t="s">
        <v>326</v>
      </c>
      <c r="V67" s="29"/>
      <c r="W67" s="29"/>
      <c r="X67" s="29"/>
      <c r="Y67" s="29"/>
      <c r="Z67" s="29"/>
      <c r="AA67" s="29"/>
      <c r="AB67" s="29"/>
      <c r="AC67" s="29"/>
      <c r="AD67" s="29"/>
      <c r="AE67" s="29"/>
      <c r="AF67" s="29"/>
    </row>
    <row r="68" spans="1:46" x14ac:dyDescent="0.25">
      <c r="A68" s="2">
        <v>30</v>
      </c>
      <c r="B68" s="2" t="s">
        <v>1</v>
      </c>
      <c r="C68" s="2" t="s">
        <v>18</v>
      </c>
      <c r="D68" s="2" t="s">
        <v>97</v>
      </c>
      <c r="E68" s="2" t="s">
        <v>97</v>
      </c>
      <c r="F68" s="2" t="s">
        <v>97</v>
      </c>
      <c r="G68" s="2" t="s">
        <v>97</v>
      </c>
      <c r="H68" s="2" t="str" cm="1">
        <f t="array" ref="H68">CONCATENATE("R", Length)</f>
        <v>R120</v>
      </c>
      <c r="I68" s="2" t="s">
        <v>97</v>
      </c>
      <c r="J68" s="2" t="s">
        <v>19</v>
      </c>
      <c r="K68" s="2">
        <f>ExtrusionWidth</f>
        <v>1.524</v>
      </c>
      <c r="L68" s="2">
        <f>ExtrusionHeight</f>
        <v>1</v>
      </c>
      <c r="M68" s="2"/>
      <c r="N68" s="2"/>
      <c r="O68" s="2"/>
      <c r="P68" s="2"/>
      <c r="Q68" s="2"/>
      <c r="R68" s="29"/>
      <c r="S68" s="75" t="s">
        <v>500</v>
      </c>
      <c r="T68" s="75">
        <v>1.35</v>
      </c>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97</v>
      </c>
      <c r="E69" s="2" t="s">
        <v>97</v>
      </c>
      <c r="F69" s="2" t="s">
        <v>97</v>
      </c>
      <c r="G69" s="2" t="str">
        <f>CONCATENATE("R", ExtrusionSpacing_L1)</f>
        <v>R1.75</v>
      </c>
      <c r="H69" s="2" t="s">
        <v>97</v>
      </c>
      <c r="I69" s="2" t="s">
        <v>97</v>
      </c>
      <c r="J69" s="2" t="s">
        <v>19</v>
      </c>
      <c r="K69" s="2">
        <f>ExtrusionWidth</f>
        <v>1.524</v>
      </c>
      <c r="L69" s="2">
        <f>ExtrusionHeight</f>
        <v>1</v>
      </c>
      <c r="M69" s="2"/>
      <c r="N69" s="2"/>
      <c r="O69" s="2"/>
      <c r="P69" s="2"/>
      <c r="Q69" s="2"/>
      <c r="R69" s="29"/>
      <c r="S69" s="75" t="s">
        <v>499</v>
      </c>
      <c r="T69" s="75">
        <v>1.1000000000000001</v>
      </c>
      <c r="U69" s="92" t="s">
        <v>106</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97</v>
      </c>
      <c r="E70" s="2" t="s">
        <v>97</v>
      </c>
      <c r="F70" s="2" t="s">
        <v>97</v>
      </c>
      <c r="G70" s="2" t="s">
        <v>97</v>
      </c>
      <c r="H70" s="2" t="str">
        <f>CONCATENATE("R-", Length)</f>
        <v>R-120</v>
      </c>
      <c r="I70" s="2" t="s">
        <v>97</v>
      </c>
      <c r="J70" s="2" t="s">
        <v>19</v>
      </c>
      <c r="K70" s="2">
        <f>ExtrusionWidth</f>
        <v>1.524</v>
      </c>
      <c r="L70" s="2">
        <f>ExtrusionHeight</f>
        <v>1</v>
      </c>
      <c r="M70" s="2"/>
      <c r="N70" s="2"/>
      <c r="O70" s="2"/>
      <c r="P70" s="2"/>
      <c r="Q70" s="2"/>
      <c r="S70" s="75" t="s">
        <v>508</v>
      </c>
      <c r="T70" s="75">
        <v>1.2</v>
      </c>
      <c r="U70" s="92" t="s">
        <v>106</v>
      </c>
    </row>
    <row r="71" spans="1:46" x14ac:dyDescent="0.25">
      <c r="A71" s="2">
        <v>33</v>
      </c>
      <c r="B71" s="2" t="s">
        <v>55</v>
      </c>
      <c r="C71" s="98" t="s">
        <v>512</v>
      </c>
      <c r="D71" s="2">
        <f>4*ExtrusionSpacing_L1</f>
        <v>7</v>
      </c>
      <c r="E71" s="2">
        <v>0</v>
      </c>
      <c r="F71" s="2">
        <v>0</v>
      </c>
      <c r="G71" s="2">
        <v>20</v>
      </c>
      <c r="H71" s="2"/>
      <c r="I71" s="2"/>
      <c r="J71" s="2"/>
      <c r="K71" s="2"/>
      <c r="L71" s="2"/>
      <c r="M71" s="2"/>
      <c r="N71" s="2"/>
      <c r="O71" s="2"/>
      <c r="P71" s="2"/>
      <c r="Q71" s="2"/>
      <c r="S71" s="75" t="s">
        <v>509</v>
      </c>
      <c r="T71" s="75">
        <v>0.9</v>
      </c>
      <c r="U71" s="92" t="s">
        <v>106</v>
      </c>
      <c r="AO71" t="s">
        <v>125</v>
      </c>
      <c r="AP71" t="s">
        <v>505</v>
      </c>
      <c r="AQ71" t="s">
        <v>124</v>
      </c>
      <c r="AR71" t="s">
        <v>504</v>
      </c>
      <c r="AS71" t="s">
        <v>123</v>
      </c>
      <c r="AT71" t="s">
        <v>455</v>
      </c>
    </row>
    <row r="72" spans="1:46" x14ac:dyDescent="0.25">
      <c r="A72" s="2">
        <v>34</v>
      </c>
      <c r="B72" s="143" t="s">
        <v>39</v>
      </c>
      <c r="C72" s="2">
        <v>1.25</v>
      </c>
      <c r="D72" s="2">
        <v>2100</v>
      </c>
      <c r="E72" s="2">
        <f>LayerHeight</f>
        <v>1</v>
      </c>
      <c r="F72" s="2">
        <v>10000</v>
      </c>
      <c r="G72" s="2"/>
      <c r="H72" s="2"/>
      <c r="I72" s="2"/>
      <c r="J72" s="2"/>
      <c r="K72" s="2"/>
      <c r="L72" s="2"/>
      <c r="M72" s="2"/>
      <c r="N72" s="2"/>
      <c r="O72" s="2"/>
      <c r="P72" s="2"/>
      <c r="Q72" s="2"/>
      <c r="S72" s="75" t="s">
        <v>481</v>
      </c>
      <c r="T72" s="75" t="s">
        <v>397</v>
      </c>
      <c r="U72" s="92" t="s">
        <v>106</v>
      </c>
    </row>
    <row r="73" spans="1:46" x14ac:dyDescent="0.25">
      <c r="A73" s="2">
        <v>35</v>
      </c>
      <c r="B73" s="143" t="s">
        <v>55</v>
      </c>
      <c r="C73" s="2" t="s">
        <v>513</v>
      </c>
      <c r="D73" s="2">
        <v>0</v>
      </c>
      <c r="E73" s="2">
        <v>0</v>
      </c>
      <c r="F73" s="2">
        <f>2*LayerHeight</f>
        <v>2</v>
      </c>
      <c r="G73" s="2">
        <v>20</v>
      </c>
      <c r="H73" s="2"/>
      <c r="I73" s="2"/>
      <c r="J73" s="2"/>
      <c r="K73" s="2"/>
      <c r="L73" s="2"/>
      <c r="M73" s="2"/>
      <c r="N73" s="2"/>
      <c r="O73" s="2"/>
      <c r="P73" s="2"/>
      <c r="Q73" s="2"/>
      <c r="R73" s="80"/>
      <c r="S73" s="75" t="s">
        <v>304</v>
      </c>
      <c r="T73" s="75">
        <v>0.9</v>
      </c>
      <c r="U73" s="92" t="s">
        <v>106</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514</v>
      </c>
      <c r="T74" s="75">
        <v>50</v>
      </c>
      <c r="U74" s="92" t="s">
        <v>106</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266</v>
      </c>
      <c r="T75" s="75">
        <v>50</v>
      </c>
      <c r="U75" s="92" t="s">
        <v>106</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267</v>
      </c>
      <c r="T76" s="75">
        <v>75</v>
      </c>
      <c r="U76" s="92" t="s">
        <v>106</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124</v>
      </c>
      <c r="B80" s="2" t="s">
        <v>517</v>
      </c>
      <c r="C80" s="58" t="s">
        <v>123</v>
      </c>
      <c r="D80" s="2" t="s">
        <v>455</v>
      </c>
      <c r="U80" s="89"/>
      <c r="AO80" t="s">
        <v>125</v>
      </c>
      <c r="AP80" t="s">
        <v>518</v>
      </c>
      <c r="AQ80" t="s">
        <v>124</v>
      </c>
      <c r="AR80" t="s">
        <v>517</v>
      </c>
      <c r="AS80" t="s">
        <v>123</v>
      </c>
      <c r="AT80" t="s">
        <v>455</v>
      </c>
    </row>
    <row r="81" spans="1:34" x14ac:dyDescent="0.25">
      <c r="A81" s="40" t="s">
        <v>0</v>
      </c>
      <c r="B81" s="2"/>
      <c r="C81" s="2"/>
      <c r="D81" s="2"/>
      <c r="E81" s="2"/>
      <c r="F81" s="2"/>
      <c r="G81" s="2"/>
      <c r="H81" s="2"/>
      <c r="I81" s="2"/>
      <c r="J81" s="2"/>
      <c r="K81" s="2"/>
      <c r="L81" s="2"/>
      <c r="M81" s="2"/>
      <c r="N81" s="2"/>
      <c r="O81" s="2"/>
      <c r="P81" s="2"/>
      <c r="Q81" s="58" t="s">
        <v>284</v>
      </c>
      <c r="U81" s="89"/>
    </row>
    <row r="82" spans="1:34" x14ac:dyDescent="0.25">
      <c r="A82" s="2">
        <v>1</v>
      </c>
      <c r="B82" s="142" t="s">
        <v>496</v>
      </c>
      <c r="C82" s="2" t="s">
        <v>18</v>
      </c>
      <c r="D82" s="2" t="s">
        <v>3</v>
      </c>
      <c r="E82" s="2" t="s">
        <v>4</v>
      </c>
      <c r="F82" s="2" t="s">
        <v>33</v>
      </c>
      <c r="G82" s="2" t="s">
        <v>5</v>
      </c>
      <c r="H82" s="2" t="s">
        <v>6</v>
      </c>
      <c r="I82" s="2" t="s">
        <v>34</v>
      </c>
      <c r="J82" s="2" t="s">
        <v>77</v>
      </c>
      <c r="K82" s="2" t="s">
        <v>15</v>
      </c>
      <c r="L82" s="2" t="s">
        <v>11</v>
      </c>
      <c r="M82" s="2" t="s">
        <v>176</v>
      </c>
      <c r="N82" s="2"/>
      <c r="O82" s="2"/>
      <c r="P82" s="2"/>
      <c r="Q82" s="2"/>
      <c r="S82" s="95" t="s">
        <v>40</v>
      </c>
      <c r="T82" s="3"/>
      <c r="U82" s="5"/>
    </row>
    <row r="83" spans="1:34" x14ac:dyDescent="0.25">
      <c r="A83" s="2">
        <v>2</v>
      </c>
      <c r="B83" s="142" t="s">
        <v>501</v>
      </c>
      <c r="C83" s="2" t="s">
        <v>198</v>
      </c>
      <c r="D83" s="2">
        <v>0</v>
      </c>
      <c r="E83" s="2"/>
      <c r="F83" s="2"/>
      <c r="G83" s="2"/>
      <c r="H83" s="2"/>
      <c r="I83" s="2"/>
      <c r="J83" s="2"/>
      <c r="K83" s="2"/>
      <c r="L83" s="2"/>
      <c r="M83" s="2"/>
      <c r="N83" s="2"/>
      <c r="O83" s="2"/>
      <c r="P83" s="2"/>
      <c r="Q83" s="2" t="s">
        <v>498</v>
      </c>
      <c r="S83" s="5" t="s">
        <v>95</v>
      </c>
      <c r="T83" s="5">
        <v>0.55000000000000004</v>
      </c>
      <c r="U83" s="5" t="s">
        <v>44</v>
      </c>
    </row>
    <row r="84" spans="1:34" x14ac:dyDescent="0.25">
      <c r="A84" s="2">
        <v>3</v>
      </c>
      <c r="B84" s="142" t="s">
        <v>496</v>
      </c>
      <c r="C84" s="2" t="s">
        <v>18</v>
      </c>
      <c r="D84" s="2" t="s">
        <v>97</v>
      </c>
      <c r="E84" s="2" t="s">
        <v>97</v>
      </c>
      <c r="F84" s="2" t="s">
        <v>97</v>
      </c>
      <c r="G84" s="2">
        <v>50</v>
      </c>
      <c r="H84" s="2">
        <v>50</v>
      </c>
      <c r="I84" s="2">
        <v>0.55000000000000004</v>
      </c>
      <c r="J84" s="2" t="s">
        <v>23</v>
      </c>
      <c r="K84" s="2"/>
      <c r="L84" s="2"/>
      <c r="M84" s="2"/>
      <c r="N84" s="2"/>
      <c r="O84" s="2"/>
      <c r="P84" s="2"/>
      <c r="Q84" s="2"/>
      <c r="S84" s="5" t="s">
        <v>86</v>
      </c>
      <c r="T84" s="5">
        <v>0.83</v>
      </c>
      <c r="U84" s="5" t="s">
        <v>88</v>
      </c>
    </row>
    <row r="85" spans="1:34" x14ac:dyDescent="0.25">
      <c r="A85" s="2">
        <v>4</v>
      </c>
      <c r="B85" s="2" t="s">
        <v>1</v>
      </c>
      <c r="C85" s="2" t="s">
        <v>18</v>
      </c>
      <c r="D85" s="2" cm="1">
        <f t="array" ref="D85">StartX</f>
        <v>15</v>
      </c>
      <c r="E85" s="2">
        <f>StartY</f>
        <v>75</v>
      </c>
      <c r="F85" s="2">
        <v>0</v>
      </c>
      <c r="G85" s="2" t="str">
        <f>CONCATENATE("R", 3*ExtrusionSpacing_L1)</f>
        <v>R5.25</v>
      </c>
      <c r="H85" s="2" t="s">
        <v>97</v>
      </c>
      <c r="I85" s="2" t="s">
        <v>97</v>
      </c>
      <c r="J85" s="2" t="s">
        <v>19</v>
      </c>
      <c r="K85" s="2">
        <f>ExtrusionWidth</f>
        <v>1.524</v>
      </c>
      <c r="L85" s="2">
        <f>ExtrusionHeight</f>
        <v>1</v>
      </c>
      <c r="M85" s="2"/>
      <c r="N85" s="2"/>
      <c r="O85" s="2"/>
      <c r="P85" s="2"/>
      <c r="Q85" s="2"/>
      <c r="S85" s="5" t="s">
        <v>87</v>
      </c>
      <c r="T85" s="5">
        <v>0.85</v>
      </c>
      <c r="U85" s="5" t="s">
        <v>88</v>
      </c>
    </row>
    <row r="86" spans="1:34" x14ac:dyDescent="0.25">
      <c r="A86" s="2">
        <v>5</v>
      </c>
      <c r="B86" s="2" t="s">
        <v>1</v>
      </c>
      <c r="C86" s="2" t="s">
        <v>18</v>
      </c>
      <c r="D86" s="2" t="s">
        <v>97</v>
      </c>
      <c r="E86" s="2" t="s">
        <v>97</v>
      </c>
      <c r="F86" s="2" t="s">
        <v>97</v>
      </c>
      <c r="G86" s="2" t="s">
        <v>97</v>
      </c>
      <c r="H86" s="2" t="str" cm="1">
        <f t="array" ref="H86">CONCATENATE("R", Length)</f>
        <v>R120</v>
      </c>
      <c r="I86" s="2" t="s">
        <v>97</v>
      </c>
      <c r="J86" s="2" t="s">
        <v>19</v>
      </c>
      <c r="K86" s="2">
        <f>ExtrusionWidth</f>
        <v>1.524</v>
      </c>
      <c r="L86" s="2">
        <f>ExtrusionHeight</f>
        <v>1</v>
      </c>
      <c r="M86" s="2"/>
      <c r="N86" s="2"/>
      <c r="O86" s="2"/>
      <c r="P86" s="2"/>
      <c r="Q86" s="2"/>
      <c r="S86" s="5" t="s">
        <v>188</v>
      </c>
      <c r="T86" s="5" t="s">
        <v>199</v>
      </c>
      <c r="U86" s="5"/>
      <c r="V86" s="5" t="s">
        <v>199</v>
      </c>
      <c r="W86" s="5" t="s">
        <v>199</v>
      </c>
      <c r="X86" s="5" t="s">
        <v>199</v>
      </c>
      <c r="Y86" s="5" t="s">
        <v>199</v>
      </c>
      <c r="Z86" s="5" t="s">
        <v>199</v>
      </c>
      <c r="AA86" s="5" t="s">
        <v>199</v>
      </c>
      <c r="AB86" s="127" t="s">
        <v>396</v>
      </c>
      <c r="AC86" s="128" t="s">
        <v>403</v>
      </c>
      <c r="AD86" s="5" t="s">
        <v>199</v>
      </c>
      <c r="AE86" s="5" t="s">
        <v>199</v>
      </c>
      <c r="AF86" s="5" t="s">
        <v>199</v>
      </c>
      <c r="AG86" s="5" t="s">
        <v>199</v>
      </c>
      <c r="AH86" s="5" t="s">
        <v>199</v>
      </c>
    </row>
    <row r="87" spans="1:34" x14ac:dyDescent="0.25">
      <c r="A87" s="2">
        <v>6</v>
      </c>
      <c r="B87" s="2" t="s">
        <v>1</v>
      </c>
      <c r="C87" s="2" t="s">
        <v>18</v>
      </c>
      <c r="D87" s="2" t="s">
        <v>97</v>
      </c>
      <c r="E87" s="2" t="s">
        <v>97</v>
      </c>
      <c r="F87" s="2" t="s">
        <v>97</v>
      </c>
      <c r="G87" s="2" t="str">
        <f>CONCATENATE("R", ExtrusionSpacing_L1)</f>
        <v>R1.75</v>
      </c>
      <c r="H87" s="2" t="s">
        <v>97</v>
      </c>
      <c r="I87" s="2" t="s">
        <v>97</v>
      </c>
      <c r="J87" s="2" t="s">
        <v>19</v>
      </c>
      <c r="K87" s="2">
        <f>ExtrusionWidth</f>
        <v>1.524</v>
      </c>
      <c r="L87" s="2">
        <f>ExtrusionHeight</f>
        <v>1</v>
      </c>
      <c r="M87" s="2"/>
      <c r="N87" s="2"/>
      <c r="O87" s="2"/>
      <c r="P87" s="2"/>
      <c r="Q87" s="2"/>
      <c r="S87" s="5" t="s">
        <v>189</v>
      </c>
      <c r="T87" s="5">
        <v>0</v>
      </c>
      <c r="U87" s="5"/>
    </row>
    <row r="88" spans="1:34" x14ac:dyDescent="0.25">
      <c r="A88" s="2">
        <v>7</v>
      </c>
      <c r="B88" s="2" t="s">
        <v>1</v>
      </c>
      <c r="C88" s="2" t="s">
        <v>18</v>
      </c>
      <c r="D88" s="2" t="s">
        <v>97</v>
      </c>
      <c r="E88" s="2" t="s">
        <v>97</v>
      </c>
      <c r="F88" s="2" t="s">
        <v>97</v>
      </c>
      <c r="G88" s="2" t="s">
        <v>97</v>
      </c>
      <c r="H88" s="2" t="str">
        <f>CONCATENATE("R-", Length)</f>
        <v>R-120</v>
      </c>
      <c r="I88" s="2" t="s">
        <v>97</v>
      </c>
      <c r="J88" s="2" t="s">
        <v>19</v>
      </c>
      <c r="K88" s="2">
        <f>ExtrusionWidth</f>
        <v>1.524</v>
      </c>
      <c r="L88" s="2">
        <f>ExtrusionHeight</f>
        <v>1</v>
      </c>
      <c r="M88" s="2"/>
      <c r="N88" s="2"/>
      <c r="O88" s="2"/>
      <c r="P88" s="2"/>
      <c r="Q88" s="2"/>
      <c r="S88" s="57"/>
      <c r="T88" s="57"/>
      <c r="U88" s="90"/>
    </row>
    <row r="89" spans="1:34" x14ac:dyDescent="0.25">
      <c r="A89" s="2">
        <v>8</v>
      </c>
      <c r="B89" s="2" t="s">
        <v>55</v>
      </c>
      <c r="C89" s="98" t="s">
        <v>503</v>
      </c>
      <c r="D89" s="2">
        <f>4*ExtrusionSpacing_L1</f>
        <v>7</v>
      </c>
      <c r="E89" s="2">
        <v>0</v>
      </c>
      <c r="F89" s="2">
        <v>0</v>
      </c>
      <c r="G89" s="2">
        <v>20</v>
      </c>
      <c r="H89" s="2"/>
      <c r="I89" s="2"/>
      <c r="J89" s="2"/>
      <c r="K89" s="2"/>
      <c r="L89" s="2"/>
      <c r="M89" s="2"/>
      <c r="N89" s="2"/>
      <c r="O89" s="2"/>
      <c r="P89" s="2"/>
      <c r="Q89" s="2"/>
      <c r="S89" s="5" t="s">
        <v>333</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511</v>
      </c>
      <c r="D90" s="2"/>
      <c r="E90" s="2"/>
      <c r="F90" s="2"/>
      <c r="G90" s="2"/>
      <c r="H90" s="2"/>
      <c r="I90" s="2"/>
      <c r="J90" s="2"/>
      <c r="K90" s="2"/>
      <c r="L90" s="2"/>
      <c r="M90" s="2"/>
      <c r="N90" s="2"/>
      <c r="O90" s="2"/>
      <c r="P90" s="2"/>
      <c r="Q90" s="2"/>
      <c r="S90" s="5" t="s">
        <v>84</v>
      </c>
      <c r="T90" s="5">
        <v>1500</v>
      </c>
      <c r="U90" s="5" t="s">
        <v>45</v>
      </c>
    </row>
    <row r="91" spans="1:34" x14ac:dyDescent="0.25">
      <c r="A91" s="2">
        <v>10</v>
      </c>
      <c r="B91" s="143" t="s">
        <v>49</v>
      </c>
      <c r="C91" s="2" t="s">
        <v>198</v>
      </c>
      <c r="D91" s="2">
        <v>1</v>
      </c>
      <c r="E91" s="2"/>
      <c r="F91" s="2"/>
      <c r="G91" s="2"/>
      <c r="H91" s="2"/>
      <c r="I91" s="2"/>
      <c r="J91" s="2"/>
      <c r="K91" s="2"/>
      <c r="L91" s="2"/>
      <c r="M91" s="2"/>
      <c r="N91" s="2"/>
      <c r="O91" s="2"/>
      <c r="P91" s="2"/>
      <c r="Q91" s="2"/>
      <c r="S91" s="5" t="s">
        <v>85</v>
      </c>
      <c r="T91" s="5">
        <v>48000</v>
      </c>
      <c r="U91" s="5" t="s">
        <v>45</v>
      </c>
    </row>
    <row r="92" spans="1:34" x14ac:dyDescent="0.25">
      <c r="A92" s="2">
        <v>11</v>
      </c>
      <c r="B92" s="143" t="s">
        <v>49</v>
      </c>
      <c r="C92" s="2" t="s">
        <v>472</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496</v>
      </c>
      <c r="C93" s="2" t="s">
        <v>18</v>
      </c>
      <c r="D93" s="2" t="s">
        <v>97</v>
      </c>
      <c r="E93" s="2" t="s">
        <v>97</v>
      </c>
      <c r="F93" s="2" t="s">
        <v>97</v>
      </c>
      <c r="G93" s="2">
        <f>50+ExtrusionSpacing_L1</f>
        <v>51.75</v>
      </c>
      <c r="H93" s="2">
        <f>50+Length+ExtrusionSpacing_L1</f>
        <v>171.75</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16.75</v>
      </c>
      <c r="E94" s="2">
        <f>StartY+Length+ExtrusionSpacing_L1</f>
        <v>196.75</v>
      </c>
      <c r="F94" s="2">
        <v>1E-4</v>
      </c>
      <c r="G94" s="2" t="s">
        <v>97</v>
      </c>
      <c r="H94" s="2" t="str">
        <f>CONCATENATE("R-", Length)</f>
        <v>R-120</v>
      </c>
      <c r="I94" s="2" t="s">
        <v>97</v>
      </c>
      <c r="J94" s="2" t="s">
        <v>19</v>
      </c>
      <c r="K94" s="2">
        <f>ExtrusionWidth</f>
        <v>1.524</v>
      </c>
      <c r="L94" s="2">
        <f>ExtrusionHeight</f>
        <v>1</v>
      </c>
      <c r="M94" s="2"/>
      <c r="N94" s="2"/>
      <c r="O94" s="2"/>
      <c r="P94" s="2"/>
      <c r="Q94" s="2"/>
      <c r="S94" s="5" t="s">
        <v>46</v>
      </c>
      <c r="T94" s="122">
        <v>33</v>
      </c>
      <c r="U94" s="5" t="s">
        <v>89</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97</v>
      </c>
      <c r="E95" s="2" t="s">
        <v>97</v>
      </c>
      <c r="F95" s="2" t="s">
        <v>97</v>
      </c>
      <c r="G95" s="2" t="str">
        <f>CONCATENATE("R", ExtrusionSpacing_L1)</f>
        <v>R1.75</v>
      </c>
      <c r="H95" s="2" t="s">
        <v>97</v>
      </c>
      <c r="I95" s="2" t="s">
        <v>97</v>
      </c>
      <c r="J95" s="2" t="s">
        <v>19</v>
      </c>
      <c r="K95" s="2">
        <f>ExtrusionWidth</f>
        <v>1.524</v>
      </c>
      <c r="L95" s="2">
        <f>ExtrusionHeight</f>
        <v>1</v>
      </c>
      <c r="M95" s="2"/>
      <c r="N95" s="2"/>
      <c r="O95" s="2"/>
      <c r="P95" s="2"/>
      <c r="Q95" s="2"/>
      <c r="S95" s="5" t="s">
        <v>105</v>
      </c>
      <c r="T95" s="122" t="s">
        <v>473</v>
      </c>
      <c r="U95" s="5"/>
      <c r="V95" s="122" t="s">
        <v>148</v>
      </c>
      <c r="W95" s="123" t="s">
        <v>389</v>
      </c>
      <c r="X95" s="137" t="s">
        <v>388</v>
      </c>
      <c r="Y95" s="24" t="s">
        <v>394</v>
      </c>
      <c r="Z95" s="126" t="s">
        <v>392</v>
      </c>
      <c r="AA95" s="127" t="s">
        <v>395</v>
      </c>
      <c r="AB95" s="127" t="s">
        <v>396</v>
      </c>
      <c r="AC95" s="134" t="s">
        <v>409</v>
      </c>
      <c r="AD95" s="135" t="s">
        <v>422</v>
      </c>
      <c r="AE95" s="136" t="s">
        <v>439</v>
      </c>
      <c r="AF95" s="138" t="s">
        <v>440</v>
      </c>
      <c r="AG95" s="132" t="s">
        <v>441</v>
      </c>
      <c r="AH95" s="139" t="s">
        <v>442</v>
      </c>
    </row>
    <row r="96" spans="1:34" x14ac:dyDescent="0.25">
      <c r="A96" s="2">
        <v>15</v>
      </c>
      <c r="B96" s="143" t="s">
        <v>1</v>
      </c>
      <c r="C96" s="2" t="s">
        <v>18</v>
      </c>
      <c r="D96" s="2" t="s">
        <v>97</v>
      </c>
      <c r="E96" s="2" t="s">
        <v>97</v>
      </c>
      <c r="F96" s="2" t="s">
        <v>97</v>
      </c>
      <c r="G96" s="2" t="s">
        <v>97</v>
      </c>
      <c r="H96" s="2" t="str" cm="1">
        <f t="array" ref="H96">CONCATENATE("R", Length)</f>
        <v>R120</v>
      </c>
      <c r="I96" s="2" t="s">
        <v>97</v>
      </c>
      <c r="J96" s="2" t="s">
        <v>19</v>
      </c>
      <c r="K96" s="2">
        <f>ExtrusionWidth</f>
        <v>1.524</v>
      </c>
      <c r="L96" s="2">
        <f>ExtrusionHeight</f>
        <v>1</v>
      </c>
      <c r="M96" s="2"/>
      <c r="N96" s="2"/>
      <c r="O96" s="2"/>
      <c r="P96" s="2"/>
      <c r="Q96" s="2"/>
      <c r="S96" s="5" t="s">
        <v>147</v>
      </c>
      <c r="T96" s="122" t="s">
        <v>473</v>
      </c>
      <c r="U96" s="5"/>
      <c r="V96" s="122" t="s">
        <v>120</v>
      </c>
      <c r="W96" s="123" t="s">
        <v>389</v>
      </c>
      <c r="X96" s="137" t="s">
        <v>388</v>
      </c>
      <c r="Y96" s="24" t="s">
        <v>394</v>
      </c>
      <c r="Z96" s="126" t="s">
        <v>392</v>
      </c>
      <c r="AA96" s="127" t="s">
        <v>395</v>
      </c>
      <c r="AB96" s="127" t="s">
        <v>396</v>
      </c>
      <c r="AC96" s="134" t="s">
        <v>409</v>
      </c>
      <c r="AD96" s="135" t="s">
        <v>422</v>
      </c>
      <c r="AE96" s="136" t="s">
        <v>439</v>
      </c>
      <c r="AF96" s="138" t="s">
        <v>440</v>
      </c>
      <c r="AG96" s="132" t="s">
        <v>441</v>
      </c>
      <c r="AH96" s="139" t="s">
        <v>442</v>
      </c>
    </row>
    <row r="97" spans="1:40" x14ac:dyDescent="0.25">
      <c r="A97" s="2">
        <v>16</v>
      </c>
      <c r="B97" s="143" t="s">
        <v>1</v>
      </c>
      <c r="C97" s="2" t="s">
        <v>18</v>
      </c>
      <c r="D97" s="2" t="s">
        <v>97</v>
      </c>
      <c r="E97" s="2" t="s">
        <v>97</v>
      </c>
      <c r="F97" s="2" t="s">
        <v>97</v>
      </c>
      <c r="G97" s="2" t="str">
        <f>CONCATENATE("R", 3*ExtrusionSpacing_L1)</f>
        <v>R5.25</v>
      </c>
      <c r="H97" s="2" t="s">
        <v>97</v>
      </c>
      <c r="I97" s="2" t="s">
        <v>97</v>
      </c>
      <c r="J97" s="2" t="s">
        <v>19</v>
      </c>
      <c r="K97" s="2">
        <f>ExtrusionWidth</f>
        <v>1.524</v>
      </c>
      <c r="L97" s="2">
        <f>ExtrusionHeight</f>
        <v>1</v>
      </c>
      <c r="M97" s="2"/>
      <c r="N97" s="2"/>
      <c r="O97" s="2"/>
      <c r="P97" s="2"/>
      <c r="Q97" s="2"/>
      <c r="S97" s="5" t="s">
        <v>162</v>
      </c>
      <c r="T97" s="5">
        <v>20</v>
      </c>
      <c r="U97" s="5" t="s">
        <v>44</v>
      </c>
    </row>
    <row r="98" spans="1:40" x14ac:dyDescent="0.25">
      <c r="A98" s="2">
        <v>17</v>
      </c>
      <c r="B98" s="143" t="s">
        <v>55</v>
      </c>
      <c r="C98" s="98" t="s">
        <v>502</v>
      </c>
      <c r="D98" s="2">
        <f>4*ExtrusionSpacing_L1</f>
        <v>7</v>
      </c>
      <c r="E98" s="2">
        <v>0</v>
      </c>
      <c r="F98" s="2">
        <v>0</v>
      </c>
      <c r="G98" s="2">
        <v>20</v>
      </c>
      <c r="H98" s="2"/>
      <c r="I98" s="2"/>
      <c r="J98" s="2"/>
      <c r="K98" s="2"/>
      <c r="L98" s="2"/>
      <c r="M98" s="2"/>
      <c r="N98" s="2"/>
      <c r="O98" s="2"/>
      <c r="P98" s="2"/>
      <c r="Q98" s="2"/>
      <c r="S98" s="5" t="s">
        <v>163</v>
      </c>
      <c r="T98" s="5">
        <v>10</v>
      </c>
      <c r="U98" s="5" t="s">
        <v>44</v>
      </c>
    </row>
    <row r="99" spans="1:40" x14ac:dyDescent="0.25">
      <c r="A99" s="2">
        <v>18</v>
      </c>
      <c r="B99" s="143" t="s">
        <v>39</v>
      </c>
      <c r="C99" s="2">
        <v>1.25</v>
      </c>
      <c r="D99" s="2">
        <v>2100</v>
      </c>
      <c r="E99" s="2">
        <f>LayerHeight</f>
        <v>1</v>
      </c>
      <c r="F99" s="2">
        <v>10000</v>
      </c>
      <c r="G99" s="2"/>
      <c r="H99" s="2"/>
      <c r="I99" s="2"/>
      <c r="J99" s="2"/>
      <c r="K99" s="2"/>
      <c r="L99" s="2"/>
      <c r="M99" s="2"/>
      <c r="N99" s="2"/>
      <c r="O99" s="2"/>
      <c r="P99" s="2"/>
      <c r="Q99" s="2"/>
      <c r="S99" s="5" t="s">
        <v>164</v>
      </c>
      <c r="T99" s="5">
        <v>0.3</v>
      </c>
      <c r="U99" s="5" t="s">
        <v>44</v>
      </c>
    </row>
    <row r="100" spans="1:40" x14ac:dyDescent="0.25">
      <c r="A100" s="2">
        <v>19</v>
      </c>
      <c r="B100" s="142" t="s">
        <v>496</v>
      </c>
      <c r="C100" s="2" t="s">
        <v>18</v>
      </c>
      <c r="D100" s="2" t="s">
        <v>97</v>
      </c>
      <c r="E100" s="2" t="s">
        <v>97</v>
      </c>
      <c r="F100" s="2" t="s">
        <v>97</v>
      </c>
      <c r="G100" s="2">
        <f>50+ExtrusionSpacing_L1</f>
        <v>51.75</v>
      </c>
      <c r="H100" s="2">
        <f>50+Length+ExtrusionSpacing_L1</f>
        <v>171.75</v>
      </c>
      <c r="I100" s="2"/>
      <c r="J100" s="2" t="s">
        <v>23</v>
      </c>
      <c r="K100" s="2"/>
      <c r="L100" s="2"/>
      <c r="M100" s="2"/>
      <c r="N100" s="2"/>
      <c r="O100" s="2"/>
      <c r="P100" s="2"/>
      <c r="Q100" s="2"/>
      <c r="S100" s="78" t="s">
        <v>334</v>
      </c>
      <c r="T100" s="5">
        <v>0</v>
      </c>
      <c r="U100" s="5"/>
      <c r="V100" s="1"/>
    </row>
    <row r="101" spans="1:40" x14ac:dyDescent="0.25">
      <c r="A101" s="2">
        <v>20</v>
      </c>
      <c r="B101" s="2" t="s">
        <v>1</v>
      </c>
      <c r="C101" s="2" t="s">
        <v>18</v>
      </c>
      <c r="D101" s="2" cm="1">
        <f t="array" ref="D101">StartX</f>
        <v>15</v>
      </c>
      <c r="E101" s="2">
        <f>StartY</f>
        <v>75</v>
      </c>
      <c r="F101" s="2" t="s">
        <v>97</v>
      </c>
      <c r="G101" s="2" t="str">
        <f>CONCATENATE("R", 3*ExtrusionSpacing_L1)</f>
        <v>R5.25</v>
      </c>
      <c r="H101" s="2" t="s">
        <v>97</v>
      </c>
      <c r="I101" s="2" t="s">
        <v>97</v>
      </c>
      <c r="J101" s="2" t="s">
        <v>19</v>
      </c>
      <c r="K101" s="2">
        <f>ExtrusionWidth</f>
        <v>1.524</v>
      </c>
      <c r="L101" s="2">
        <f>ExtrusionHeight</f>
        <v>1</v>
      </c>
      <c r="M101" s="2"/>
      <c r="N101" s="2"/>
      <c r="O101" s="2"/>
      <c r="P101" s="2"/>
      <c r="Q101" s="2"/>
      <c r="S101" s="5" t="s">
        <v>149</v>
      </c>
      <c r="T101" s="5" t="s">
        <v>161</v>
      </c>
      <c r="U101" s="5" t="s">
        <v>153</v>
      </c>
    </row>
    <row r="102" spans="1:40" x14ac:dyDescent="0.25">
      <c r="A102" s="2">
        <v>21</v>
      </c>
      <c r="B102" s="2" t="s">
        <v>1</v>
      </c>
      <c r="C102" s="2" t="s">
        <v>18</v>
      </c>
      <c r="D102" s="2" t="s">
        <v>97</v>
      </c>
      <c r="E102" s="2" t="s">
        <v>97</v>
      </c>
      <c r="F102" s="2" t="s">
        <v>97</v>
      </c>
      <c r="G102" s="2" t="s">
        <v>97</v>
      </c>
      <c r="H102" s="2" t="str" cm="1">
        <f t="array" ref="H102">CONCATENATE("R", Length)</f>
        <v>R120</v>
      </c>
      <c r="I102" s="2" t="s">
        <v>97</v>
      </c>
      <c r="J102" s="2" t="s">
        <v>19</v>
      </c>
      <c r="K102" s="2">
        <f>ExtrusionWidth</f>
        <v>1.524</v>
      </c>
      <c r="L102" s="2">
        <f>ExtrusionHeight</f>
        <v>1</v>
      </c>
      <c r="M102" s="2"/>
      <c r="N102" s="2"/>
      <c r="O102" s="2"/>
      <c r="P102" s="2"/>
      <c r="Q102" s="2"/>
      <c r="S102" s="5" t="s">
        <v>154</v>
      </c>
      <c r="T102" s="5">
        <v>2</v>
      </c>
      <c r="U102" s="5" t="s">
        <v>44</v>
      </c>
      <c r="V102" s="1"/>
    </row>
    <row r="103" spans="1:40" x14ac:dyDescent="0.25">
      <c r="A103" s="2">
        <v>22</v>
      </c>
      <c r="B103" s="2" t="s">
        <v>1</v>
      </c>
      <c r="C103" s="2" t="s">
        <v>18</v>
      </c>
      <c r="D103" s="2" t="s">
        <v>97</v>
      </c>
      <c r="E103" s="2" t="s">
        <v>97</v>
      </c>
      <c r="F103" s="2" t="s">
        <v>97</v>
      </c>
      <c r="G103" s="2" t="str">
        <f>CONCATENATE("R", ExtrusionSpacing_L1)</f>
        <v>R1.75</v>
      </c>
      <c r="H103" s="2" t="s">
        <v>97</v>
      </c>
      <c r="I103" s="2" t="s">
        <v>97</v>
      </c>
      <c r="J103" s="2" t="s">
        <v>19</v>
      </c>
      <c r="K103" s="2">
        <f>ExtrusionWidth</f>
        <v>1.524</v>
      </c>
      <c r="L103" s="2">
        <f>ExtrusionHeight</f>
        <v>1</v>
      </c>
      <c r="M103" s="2"/>
      <c r="N103" s="2"/>
      <c r="O103" s="2"/>
      <c r="P103" s="2"/>
      <c r="Q103" s="2"/>
      <c r="S103" s="5" t="s">
        <v>155</v>
      </c>
      <c r="T103" s="5">
        <v>1.25</v>
      </c>
      <c r="U103" s="5" t="s">
        <v>89</v>
      </c>
    </row>
    <row r="104" spans="1:40" x14ac:dyDescent="0.25">
      <c r="A104" s="2">
        <v>23</v>
      </c>
      <c r="B104" s="2" t="s">
        <v>1</v>
      </c>
      <c r="C104" s="2" t="s">
        <v>18</v>
      </c>
      <c r="D104" s="2" t="s">
        <v>97</v>
      </c>
      <c r="E104" s="2" t="s">
        <v>97</v>
      </c>
      <c r="F104" s="2" t="s">
        <v>97</v>
      </c>
      <c r="G104" s="2" t="s">
        <v>97</v>
      </c>
      <c r="H104" s="2" t="str">
        <f>CONCATENATE("R-", Length)</f>
        <v>R-120</v>
      </c>
      <c r="I104" s="2" t="s">
        <v>97</v>
      </c>
      <c r="J104" s="2" t="s">
        <v>19</v>
      </c>
      <c r="K104" s="2">
        <f>ExtrusionWidth</f>
        <v>1.524</v>
      </c>
      <c r="L104" s="2">
        <f>ExtrusionHeight</f>
        <v>1</v>
      </c>
      <c r="M104" s="2"/>
      <c r="N104" s="2"/>
      <c r="O104" s="2"/>
      <c r="P104" s="2"/>
      <c r="Q104" s="2"/>
      <c r="S104" s="5" t="s">
        <v>156</v>
      </c>
      <c r="T104" s="5">
        <v>2500</v>
      </c>
      <c r="U104" s="5" t="s">
        <v>45</v>
      </c>
    </row>
    <row r="105" spans="1:40" x14ac:dyDescent="0.25">
      <c r="A105" s="2">
        <v>24</v>
      </c>
      <c r="B105" s="143" t="s">
        <v>55</v>
      </c>
      <c r="C105" s="98" t="s">
        <v>510</v>
      </c>
      <c r="D105" s="2">
        <f>4*ExtrusionSpacing_L1</f>
        <v>7</v>
      </c>
      <c r="E105" s="2">
        <v>0</v>
      </c>
      <c r="F105" s="2">
        <v>0</v>
      </c>
      <c r="G105" s="2">
        <v>20</v>
      </c>
      <c r="H105" s="2"/>
      <c r="I105" s="2"/>
      <c r="J105" s="2"/>
      <c r="K105" s="2"/>
      <c r="L105" s="2"/>
      <c r="M105" s="2"/>
      <c r="N105" s="2"/>
      <c r="O105" s="2"/>
      <c r="P105" s="2"/>
      <c r="Q105" s="2"/>
      <c r="S105" s="5" t="s">
        <v>157</v>
      </c>
      <c r="T105" s="5">
        <v>0</v>
      </c>
      <c r="U105" s="5" t="s">
        <v>89</v>
      </c>
    </row>
    <row r="106" spans="1:40" x14ac:dyDescent="0.25">
      <c r="A106" s="2">
        <v>25</v>
      </c>
      <c r="B106" s="143" t="s">
        <v>49</v>
      </c>
      <c r="C106" s="2" t="s">
        <v>511</v>
      </c>
      <c r="D106" s="2"/>
      <c r="E106" s="2"/>
      <c r="F106" s="2"/>
      <c r="G106" s="2"/>
      <c r="H106" s="2"/>
      <c r="I106" s="2"/>
      <c r="J106" s="2"/>
      <c r="K106" s="2"/>
      <c r="L106" s="2"/>
      <c r="M106" s="2"/>
      <c r="N106" s="2"/>
      <c r="O106" s="2"/>
      <c r="P106" s="2"/>
      <c r="Q106" s="2"/>
      <c r="S106" s="3" t="s">
        <v>158</v>
      </c>
      <c r="T106" s="3">
        <f>T104</f>
        <v>2500</v>
      </c>
      <c r="U106" s="5" t="s">
        <v>45</v>
      </c>
    </row>
    <row r="107" spans="1:40" x14ac:dyDescent="0.25">
      <c r="A107" s="2">
        <v>26</v>
      </c>
      <c r="B107" s="143" t="s">
        <v>49</v>
      </c>
      <c r="C107" s="2" t="s">
        <v>198</v>
      </c>
      <c r="D107" s="2">
        <v>0</v>
      </c>
      <c r="E107" s="2"/>
      <c r="F107" s="2"/>
      <c r="G107" s="2"/>
      <c r="H107" s="143"/>
      <c r="I107" s="2"/>
      <c r="J107" s="2"/>
      <c r="K107" s="2"/>
      <c r="L107" s="2"/>
      <c r="M107" s="2"/>
      <c r="N107" s="2"/>
      <c r="O107" s="2"/>
      <c r="P107" s="2"/>
      <c r="Q107" s="2"/>
      <c r="S107" s="3" t="s">
        <v>159</v>
      </c>
      <c r="T107" s="3">
        <v>0.65</v>
      </c>
      <c r="U107" s="5" t="s">
        <v>44</v>
      </c>
    </row>
    <row r="108" spans="1:40" x14ac:dyDescent="0.25">
      <c r="A108" s="2">
        <v>27</v>
      </c>
      <c r="B108" s="143" t="s">
        <v>49</v>
      </c>
      <c r="C108" s="2" t="s">
        <v>472</v>
      </c>
      <c r="D108" s="2"/>
      <c r="E108" s="2"/>
      <c r="F108" s="2"/>
      <c r="G108" s="2"/>
      <c r="H108" s="2"/>
      <c r="I108" s="2"/>
      <c r="J108" s="2"/>
      <c r="K108" s="2"/>
      <c r="L108" s="2"/>
      <c r="M108" s="2"/>
      <c r="N108" s="2"/>
      <c r="O108" s="2"/>
      <c r="P108" s="2"/>
      <c r="Q108" s="2"/>
      <c r="S108" s="3" t="s">
        <v>160</v>
      </c>
      <c r="T108" s="3">
        <v>10000</v>
      </c>
      <c r="U108" s="5" t="s">
        <v>45</v>
      </c>
    </row>
    <row r="109" spans="1:40" x14ac:dyDescent="0.25">
      <c r="A109" s="2">
        <v>28</v>
      </c>
      <c r="B109" s="142" t="s">
        <v>496</v>
      </c>
      <c r="C109" s="2" t="s">
        <v>18</v>
      </c>
      <c r="D109" s="2" t="s">
        <v>97</v>
      </c>
      <c r="E109" s="2" t="s">
        <v>97</v>
      </c>
      <c r="F109" s="2" t="s">
        <v>97</v>
      </c>
      <c r="G109" s="2">
        <v>50</v>
      </c>
      <c r="H109" s="2">
        <v>50</v>
      </c>
      <c r="I109" s="2">
        <f>LayerHeight</f>
        <v>1</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16.75</v>
      </c>
      <c r="E110" s="2">
        <f>StartY+Length+ExtrusionSpacing_L1</f>
        <v>196.75</v>
      </c>
      <c r="F110" s="2">
        <v>0.9</v>
      </c>
      <c r="G110" s="2" t="s">
        <v>97</v>
      </c>
      <c r="H110" s="2" t="str">
        <f>CONCATENATE("R-", Length)</f>
        <v>R-120</v>
      </c>
      <c r="I110" s="2" t="s">
        <v>97</v>
      </c>
      <c r="J110" s="2" t="s">
        <v>19</v>
      </c>
      <c r="K110" s="2">
        <f>ExtrusionWidth</f>
        <v>1.524</v>
      </c>
      <c r="L110" s="2">
        <f>ExtrusionHeight</f>
        <v>1</v>
      </c>
      <c r="M110" s="2"/>
      <c r="N110" s="2"/>
      <c r="O110" s="143"/>
      <c r="P110" s="2"/>
      <c r="Q110" s="2"/>
      <c r="S110" s="96" t="s">
        <v>287</v>
      </c>
      <c r="T110" s="96" t="s">
        <v>288</v>
      </c>
      <c r="U110" s="97" t="s">
        <v>326</v>
      </c>
      <c r="V110" s="29"/>
      <c r="W110" s="29"/>
      <c r="X110" s="29"/>
      <c r="Y110" s="29"/>
      <c r="Z110" s="29"/>
      <c r="AA110" s="29"/>
      <c r="AB110" s="29"/>
      <c r="AC110" s="29"/>
      <c r="AD110" s="29"/>
      <c r="AE110" s="29"/>
      <c r="AF110" s="29"/>
    </row>
    <row r="111" spans="1:40" x14ac:dyDescent="0.25">
      <c r="A111" s="2">
        <v>30</v>
      </c>
      <c r="B111" s="143" t="s">
        <v>1</v>
      </c>
      <c r="C111" s="2" t="s">
        <v>18</v>
      </c>
      <c r="D111" s="2" t="s">
        <v>97</v>
      </c>
      <c r="E111" s="2" t="s">
        <v>97</v>
      </c>
      <c r="F111" s="2" t="s">
        <v>97</v>
      </c>
      <c r="G111" s="2" t="str">
        <f>CONCATENATE("R", ExtrusionSpacing_L1)</f>
        <v>R1.75</v>
      </c>
      <c r="H111" s="2" t="s">
        <v>97</v>
      </c>
      <c r="I111" s="2" t="s">
        <v>97</v>
      </c>
      <c r="J111" s="2" t="s">
        <v>19</v>
      </c>
      <c r="K111" s="2">
        <f>ExtrusionWidth</f>
        <v>1.524</v>
      </c>
      <c r="L111" s="2">
        <f>ExtrusionHeight</f>
        <v>1</v>
      </c>
      <c r="M111" s="2"/>
      <c r="N111" s="2"/>
      <c r="O111" s="2"/>
      <c r="P111" s="2"/>
      <c r="Q111" s="2"/>
      <c r="R111" s="29"/>
      <c r="S111" s="75" t="s">
        <v>500</v>
      </c>
      <c r="T111" s="75">
        <v>1.35</v>
      </c>
      <c r="U111" s="92" t="s">
        <v>106</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97</v>
      </c>
      <c r="E112" s="2" t="s">
        <v>97</v>
      </c>
      <c r="F112" s="2" t="s">
        <v>97</v>
      </c>
      <c r="G112" s="2" t="s">
        <v>97</v>
      </c>
      <c r="H112" s="2" t="str" cm="1">
        <f t="array" ref="H112">CONCATENATE("R", Length)</f>
        <v>R120</v>
      </c>
      <c r="I112" s="2" t="s">
        <v>97</v>
      </c>
      <c r="J112" s="2" t="s">
        <v>19</v>
      </c>
      <c r="K112" s="2">
        <f>ExtrusionWidth</f>
        <v>1.524</v>
      </c>
      <c r="L112" s="2">
        <f>ExtrusionHeight</f>
        <v>1</v>
      </c>
      <c r="M112" s="2"/>
      <c r="N112" s="2"/>
      <c r="O112" s="2"/>
      <c r="P112" s="2"/>
      <c r="Q112" s="2"/>
      <c r="R112" s="29"/>
      <c r="S112" s="75" t="s">
        <v>499</v>
      </c>
      <c r="T112" s="75">
        <v>1.1000000000000001</v>
      </c>
      <c r="U112" s="92" t="s">
        <v>106</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97</v>
      </c>
      <c r="E113" s="2" t="s">
        <v>97</v>
      </c>
      <c r="F113" s="2" t="s">
        <v>97</v>
      </c>
      <c r="G113" s="2" t="str">
        <f>CONCATENATE("R", 3*ExtrusionSpacing_L1)</f>
        <v>R5.25</v>
      </c>
      <c r="H113" s="2" t="s">
        <v>97</v>
      </c>
      <c r="I113" s="2" t="s">
        <v>97</v>
      </c>
      <c r="J113" s="2" t="s">
        <v>19</v>
      </c>
      <c r="K113" s="2">
        <f>ExtrusionWidth</f>
        <v>1.524</v>
      </c>
      <c r="L113" s="2">
        <f>ExtrusionHeight</f>
        <v>1</v>
      </c>
      <c r="M113" s="2"/>
      <c r="N113" s="2"/>
      <c r="O113" s="2"/>
      <c r="P113" s="2"/>
      <c r="Q113" s="2"/>
      <c r="S113" s="75" t="s">
        <v>508</v>
      </c>
      <c r="T113" s="75">
        <v>1.2</v>
      </c>
      <c r="U113" s="92" t="s">
        <v>106</v>
      </c>
    </row>
    <row r="114" spans="1:46" x14ac:dyDescent="0.25">
      <c r="A114" s="2">
        <v>33</v>
      </c>
      <c r="B114" s="2" t="s">
        <v>55</v>
      </c>
      <c r="C114" s="98" t="s">
        <v>512</v>
      </c>
      <c r="D114" s="2">
        <f>4*ExtrusionSpacing_L1</f>
        <v>7</v>
      </c>
      <c r="E114" s="2">
        <v>0</v>
      </c>
      <c r="F114" s="2">
        <v>0</v>
      </c>
      <c r="G114" s="2">
        <v>20</v>
      </c>
      <c r="H114" s="2"/>
      <c r="I114" s="2"/>
      <c r="J114" s="2"/>
      <c r="K114" s="2"/>
      <c r="L114" s="2"/>
      <c r="M114" s="2"/>
      <c r="N114" s="2"/>
      <c r="O114" s="2"/>
      <c r="P114" s="2"/>
      <c r="Q114" s="2"/>
      <c r="S114" s="75" t="s">
        <v>509</v>
      </c>
      <c r="T114" s="75">
        <v>0.9</v>
      </c>
      <c r="U114" s="92" t="s">
        <v>106</v>
      </c>
      <c r="AO114" t="s">
        <v>125</v>
      </c>
      <c r="AP114" t="s">
        <v>507</v>
      </c>
      <c r="AQ114" t="s">
        <v>124</v>
      </c>
      <c r="AR114" t="s">
        <v>506</v>
      </c>
      <c r="AS114" t="s">
        <v>123</v>
      </c>
      <c r="AT114" t="s">
        <v>455</v>
      </c>
    </row>
    <row r="115" spans="1:46" x14ac:dyDescent="0.25">
      <c r="A115" s="2">
        <v>34</v>
      </c>
      <c r="B115" s="143" t="s">
        <v>39</v>
      </c>
      <c r="C115" s="2">
        <v>1.25</v>
      </c>
      <c r="D115" s="2">
        <v>2100</v>
      </c>
      <c r="E115" s="2">
        <f>LayerHeight</f>
        <v>1</v>
      </c>
      <c r="F115" s="2">
        <v>10000</v>
      </c>
      <c r="G115" s="2"/>
      <c r="H115" s="2"/>
      <c r="I115" s="2"/>
      <c r="J115" s="2"/>
      <c r="K115" s="2"/>
      <c r="L115" s="2"/>
      <c r="M115" s="2"/>
      <c r="N115" s="2"/>
      <c r="O115" s="2"/>
      <c r="P115" s="2"/>
      <c r="Q115" s="2"/>
      <c r="S115" s="75" t="s">
        <v>481</v>
      </c>
      <c r="T115" s="75" t="s">
        <v>397</v>
      </c>
      <c r="U115" s="92" t="s">
        <v>106</v>
      </c>
    </row>
    <row r="116" spans="1:46" x14ac:dyDescent="0.25">
      <c r="A116" s="2">
        <v>35</v>
      </c>
      <c r="B116" s="143" t="s">
        <v>55</v>
      </c>
      <c r="C116" s="2" t="s">
        <v>513</v>
      </c>
      <c r="D116" s="2">
        <v>0</v>
      </c>
      <c r="E116" s="2">
        <v>0</v>
      </c>
      <c r="F116" s="2">
        <f>2*LayerHeight</f>
        <v>2</v>
      </c>
      <c r="G116" s="2">
        <v>20</v>
      </c>
      <c r="H116" s="2"/>
      <c r="I116" s="2"/>
      <c r="J116" s="2"/>
      <c r="K116" s="2"/>
      <c r="L116" s="2"/>
      <c r="M116" s="2"/>
      <c r="N116" s="2"/>
      <c r="O116" s="2"/>
      <c r="P116" s="2"/>
      <c r="Q116" s="2"/>
      <c r="R116" s="80"/>
      <c r="S116" s="75" t="s">
        <v>304</v>
      </c>
      <c r="T116" s="75">
        <v>0.9</v>
      </c>
      <c r="U116" s="92" t="s">
        <v>106</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514</v>
      </c>
      <c r="T117" s="75">
        <v>50</v>
      </c>
      <c r="U117" s="92" t="s">
        <v>106</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266</v>
      </c>
      <c r="T118" s="75">
        <v>50</v>
      </c>
      <c r="U118" s="92" t="s">
        <v>106</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267</v>
      </c>
      <c r="T119" s="75">
        <v>75</v>
      </c>
      <c r="U119" s="92" t="s">
        <v>106</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124</v>
      </c>
      <c r="B3" s="2" t="s">
        <v>341</v>
      </c>
      <c r="C3" s="58" t="s">
        <v>123</v>
      </c>
      <c r="D3" s="2" t="s">
        <v>342</v>
      </c>
      <c r="U3" s="89"/>
      <c r="AO3" t="s">
        <v>125</v>
      </c>
      <c r="AP3" t="s">
        <v>343</v>
      </c>
      <c r="AQ3" t="s">
        <v>124</v>
      </c>
      <c r="AR3" t="s">
        <v>341</v>
      </c>
      <c r="AS3" t="s">
        <v>123</v>
      </c>
      <c r="AT3" t="s">
        <v>342</v>
      </c>
    </row>
    <row r="4" spans="1:46" x14ac:dyDescent="0.25">
      <c r="A4" s="40" t="s">
        <v>0</v>
      </c>
      <c r="B4" s="2"/>
      <c r="C4" s="2"/>
      <c r="D4" s="2"/>
      <c r="E4" s="2"/>
      <c r="F4" s="2"/>
      <c r="G4" s="2"/>
      <c r="H4" s="2"/>
      <c r="I4" s="2"/>
      <c r="J4" s="2"/>
      <c r="K4" s="2"/>
      <c r="L4" s="2"/>
      <c r="M4" s="2"/>
      <c r="N4" s="2"/>
      <c r="O4" s="2"/>
      <c r="P4" s="2"/>
      <c r="Q4" s="58" t="s">
        <v>284</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381</v>
      </c>
      <c r="S5" s="95" t="s">
        <v>40</v>
      </c>
      <c r="T5" s="3"/>
      <c r="U5" s="5"/>
    </row>
    <row r="6" spans="1:46" x14ac:dyDescent="0.25">
      <c r="A6" s="10">
        <v>2</v>
      </c>
      <c r="B6" s="10" t="s">
        <v>1</v>
      </c>
      <c r="C6" s="10" t="s">
        <v>18</v>
      </c>
      <c r="D6" s="10" t="s">
        <v>97</v>
      </c>
      <c r="E6" s="10" t="s">
        <v>97</v>
      </c>
      <c r="F6" s="10" t="s">
        <v>97</v>
      </c>
      <c r="G6" s="10" t="s">
        <v>340</v>
      </c>
      <c r="H6" s="10" t="s">
        <v>97</v>
      </c>
      <c r="I6" s="10" t="s">
        <v>97</v>
      </c>
      <c r="J6" s="10" t="s">
        <v>19</v>
      </c>
      <c r="K6" s="10">
        <v>0.4</v>
      </c>
      <c r="L6" s="10">
        <v>0.2</v>
      </c>
      <c r="M6" s="10"/>
      <c r="N6" s="10"/>
      <c r="O6" s="10"/>
      <c r="P6" s="10"/>
      <c r="Q6" s="10" t="s">
        <v>380</v>
      </c>
      <c r="S6" s="5" t="s">
        <v>95</v>
      </c>
      <c r="T6" s="5">
        <v>0.2</v>
      </c>
      <c r="U6" s="5" t="s">
        <v>44</v>
      </c>
    </row>
    <row r="7" spans="1:46" x14ac:dyDescent="0.25">
      <c r="A7" s="10">
        <v>3</v>
      </c>
      <c r="B7" s="10" t="s">
        <v>55</v>
      </c>
      <c r="C7" s="104" t="s">
        <v>280</v>
      </c>
      <c r="D7" s="10">
        <v>0</v>
      </c>
      <c r="E7" s="10">
        <v>0</v>
      </c>
      <c r="F7" s="10">
        <v>0.2</v>
      </c>
      <c r="G7" s="10">
        <v>150</v>
      </c>
      <c r="H7" s="10"/>
      <c r="I7" s="10"/>
      <c r="J7" s="10"/>
      <c r="K7" s="10"/>
      <c r="L7" s="10"/>
      <c r="M7" s="10"/>
      <c r="N7" s="10"/>
      <c r="O7" s="10"/>
      <c r="P7" s="10"/>
      <c r="Q7" s="10" t="s">
        <v>379</v>
      </c>
      <c r="S7" s="5" t="s">
        <v>86</v>
      </c>
      <c r="T7" s="5">
        <v>1</v>
      </c>
      <c r="U7" s="5" t="s">
        <v>88</v>
      </c>
    </row>
    <row r="8" spans="1:46" x14ac:dyDescent="0.25">
      <c r="A8" s="3">
        <v>4</v>
      </c>
      <c r="B8" s="102" t="s">
        <v>286</v>
      </c>
      <c r="C8" s="3">
        <v>3</v>
      </c>
      <c r="D8" s="103" t="s">
        <v>280</v>
      </c>
      <c r="E8" s="3">
        <v>1</v>
      </c>
      <c r="F8" s="3">
        <v>50</v>
      </c>
      <c r="G8" s="3" t="s">
        <v>26</v>
      </c>
      <c r="H8" s="3">
        <v>50</v>
      </c>
      <c r="I8" s="3">
        <v>50</v>
      </c>
      <c r="J8" s="3">
        <f>90/50</f>
        <v>1.8</v>
      </c>
      <c r="K8" s="3">
        <v>0</v>
      </c>
      <c r="L8" s="3" t="s">
        <v>115</v>
      </c>
      <c r="M8" s="3" t="s">
        <v>115</v>
      </c>
      <c r="N8" s="3"/>
      <c r="O8" s="3"/>
      <c r="P8" s="3"/>
      <c r="Q8" s="3" t="s">
        <v>376</v>
      </c>
      <c r="S8" s="5" t="s">
        <v>87</v>
      </c>
      <c r="T8" s="5">
        <v>1</v>
      </c>
      <c r="U8" s="5" t="s">
        <v>88</v>
      </c>
    </row>
    <row r="9" spans="1:46" x14ac:dyDescent="0.25">
      <c r="A9" s="3">
        <v>5</v>
      </c>
      <c r="B9" s="102" t="s">
        <v>286</v>
      </c>
      <c r="C9" s="3">
        <v>3</v>
      </c>
      <c r="D9" s="103" t="s">
        <v>280</v>
      </c>
      <c r="E9" s="3">
        <v>51</v>
      </c>
      <c r="F9" s="3">
        <v>100</v>
      </c>
      <c r="G9" s="3" t="s">
        <v>26</v>
      </c>
      <c r="H9" s="3">
        <v>50</v>
      </c>
      <c r="I9" s="3">
        <v>50</v>
      </c>
      <c r="J9" s="3">
        <f>-90/50</f>
        <v>-1.8</v>
      </c>
      <c r="K9" s="3">
        <v>0</v>
      </c>
      <c r="L9" s="3" t="s">
        <v>115</v>
      </c>
      <c r="M9" s="3" t="s">
        <v>115</v>
      </c>
      <c r="N9" s="3"/>
      <c r="O9" s="3"/>
      <c r="P9" s="3"/>
      <c r="Q9" s="3" t="s">
        <v>377</v>
      </c>
      <c r="S9" s="5" t="s">
        <v>188</v>
      </c>
      <c r="T9" s="5" t="s">
        <v>199</v>
      </c>
      <c r="U9" s="5"/>
    </row>
    <row r="10" spans="1:46" x14ac:dyDescent="0.25">
      <c r="A10" s="3">
        <v>6</v>
      </c>
      <c r="B10" s="102" t="s">
        <v>286</v>
      </c>
      <c r="C10" s="3">
        <v>3</v>
      </c>
      <c r="D10" s="103" t="s">
        <v>280</v>
      </c>
      <c r="E10" s="3">
        <v>101</v>
      </c>
      <c r="F10" s="3">
        <v>150</v>
      </c>
      <c r="G10" s="3" t="s">
        <v>26</v>
      </c>
      <c r="H10" s="3">
        <v>50</v>
      </c>
      <c r="I10" s="3">
        <v>50</v>
      </c>
      <c r="J10" s="3">
        <f>90/50</f>
        <v>1.8</v>
      </c>
      <c r="K10" s="3">
        <v>0</v>
      </c>
      <c r="L10" s="3" t="s">
        <v>115</v>
      </c>
      <c r="M10" s="3" t="s">
        <v>115</v>
      </c>
      <c r="N10" s="3"/>
      <c r="O10" s="3"/>
      <c r="P10" s="3"/>
      <c r="Q10" s="3" t="s">
        <v>378</v>
      </c>
      <c r="S10" s="5" t="s">
        <v>189</v>
      </c>
      <c r="T10" s="5">
        <v>0</v>
      </c>
      <c r="U10" s="5"/>
    </row>
    <row r="11" spans="1:46" x14ac:dyDescent="0.25">
      <c r="A11" s="14">
        <v>7</v>
      </c>
      <c r="B11" s="105" t="s">
        <v>289</v>
      </c>
      <c r="C11" s="14" t="s">
        <v>344</v>
      </c>
      <c r="D11" s="14" t="s">
        <v>25</v>
      </c>
      <c r="E11" s="14">
        <v>50</v>
      </c>
      <c r="F11" s="14">
        <v>50</v>
      </c>
      <c r="G11" s="14">
        <v>0</v>
      </c>
      <c r="H11" s="14">
        <v>0.4</v>
      </c>
      <c r="I11" s="14" t="s">
        <v>115</v>
      </c>
      <c r="J11" s="14" t="s">
        <v>115</v>
      </c>
      <c r="K11" s="14"/>
      <c r="L11" s="14"/>
      <c r="M11" s="14"/>
      <c r="N11" s="14"/>
      <c r="O11" s="14"/>
      <c r="P11" s="14"/>
      <c r="Q11" s="14" t="s">
        <v>373</v>
      </c>
      <c r="S11" s="57"/>
      <c r="T11" s="57"/>
      <c r="U11" s="90"/>
    </row>
    <row r="12" spans="1:46" x14ac:dyDescent="0.25">
      <c r="A12" s="106">
        <v>8</v>
      </c>
      <c r="B12" s="107" t="s">
        <v>286</v>
      </c>
      <c r="C12" s="106">
        <v>3</v>
      </c>
      <c r="D12" s="108" t="s">
        <v>280</v>
      </c>
      <c r="E12" s="106">
        <v>1</v>
      </c>
      <c r="F12" s="106">
        <v>150</v>
      </c>
      <c r="G12" s="106" t="s">
        <v>165</v>
      </c>
      <c r="H12" s="106">
        <v>50</v>
      </c>
      <c r="I12" s="106">
        <v>50</v>
      </c>
      <c r="J12" s="106">
        <v>0</v>
      </c>
      <c r="K12" s="106" t="s">
        <v>369</v>
      </c>
      <c r="L12" s="106">
        <v>0</v>
      </c>
      <c r="M12" s="106" t="s">
        <v>115</v>
      </c>
      <c r="N12" s="106" t="s">
        <v>115</v>
      </c>
      <c r="O12" s="106"/>
      <c r="P12" s="106"/>
      <c r="Q12" s="106" t="s">
        <v>374</v>
      </c>
      <c r="S12" s="5" t="s">
        <v>333</v>
      </c>
      <c r="T12" s="5">
        <v>60</v>
      </c>
      <c r="U12" s="5" t="s">
        <v>43</v>
      </c>
      <c r="V12" s="1"/>
    </row>
    <row r="13" spans="1:46" x14ac:dyDescent="0.25">
      <c r="A13" s="106">
        <v>9</v>
      </c>
      <c r="B13" s="107" t="s">
        <v>286</v>
      </c>
      <c r="C13" s="106">
        <v>3</v>
      </c>
      <c r="D13" s="108" t="s">
        <v>280</v>
      </c>
      <c r="E13" s="106">
        <v>1</v>
      </c>
      <c r="F13" s="106">
        <v>150</v>
      </c>
      <c r="G13" s="106" t="s">
        <v>133</v>
      </c>
      <c r="H13" s="106" t="s">
        <v>372</v>
      </c>
      <c r="I13" s="106">
        <v>0</v>
      </c>
      <c r="J13" s="106">
        <v>0</v>
      </c>
      <c r="K13" s="106" t="s">
        <v>115</v>
      </c>
      <c r="L13" s="106" t="s">
        <v>115</v>
      </c>
      <c r="M13" s="106"/>
      <c r="N13" s="106"/>
      <c r="O13" s="106"/>
      <c r="P13" s="106"/>
      <c r="Q13" s="106" t="s">
        <v>375</v>
      </c>
      <c r="S13" s="5" t="s">
        <v>84</v>
      </c>
      <c r="T13" s="5">
        <v>1000</v>
      </c>
      <c r="U13" s="5" t="s">
        <v>45</v>
      </c>
    </row>
    <row r="14" spans="1:46" x14ac:dyDescent="0.25">
      <c r="A14" s="75">
        <v>10</v>
      </c>
      <c r="B14" s="109" t="s">
        <v>286</v>
      </c>
      <c r="C14" s="75">
        <v>3</v>
      </c>
      <c r="D14" s="110" t="s">
        <v>280</v>
      </c>
      <c r="E14" s="75">
        <v>151</v>
      </c>
      <c r="F14" s="75">
        <v>200</v>
      </c>
      <c r="G14" s="75" t="s">
        <v>165</v>
      </c>
      <c r="H14" s="75">
        <v>50</v>
      </c>
      <c r="I14" s="75">
        <v>50</v>
      </c>
      <c r="J14" s="75">
        <v>0</v>
      </c>
      <c r="K14" s="75" t="s">
        <v>346</v>
      </c>
      <c r="L14" s="75">
        <v>0</v>
      </c>
      <c r="M14" s="75" t="s">
        <v>115</v>
      </c>
      <c r="N14" s="75" t="s">
        <v>115</v>
      </c>
      <c r="O14" s="75"/>
      <c r="P14" s="75"/>
      <c r="Q14" s="75"/>
      <c r="S14" s="5" t="s">
        <v>85</v>
      </c>
      <c r="T14" s="5">
        <v>9000</v>
      </c>
      <c r="U14" s="5" t="s">
        <v>45</v>
      </c>
    </row>
    <row r="15" spans="1:46" x14ac:dyDescent="0.25">
      <c r="A15" s="75">
        <v>11</v>
      </c>
      <c r="B15" s="109" t="s">
        <v>286</v>
      </c>
      <c r="C15" s="75">
        <v>3</v>
      </c>
      <c r="D15" s="110" t="s">
        <v>280</v>
      </c>
      <c r="E15" s="75">
        <v>151</v>
      </c>
      <c r="F15" s="75">
        <v>200</v>
      </c>
      <c r="G15" s="75" t="s">
        <v>133</v>
      </c>
      <c r="H15" s="75">
        <v>0</v>
      </c>
      <c r="I15" s="75">
        <v>0</v>
      </c>
      <c r="J15" s="75" t="s">
        <v>345</v>
      </c>
      <c r="K15" s="75" t="s">
        <v>115</v>
      </c>
      <c r="L15" s="75" t="s">
        <v>115</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89</v>
      </c>
    </row>
    <row r="18" spans="1:32" x14ac:dyDescent="0.25">
      <c r="A18" s="2">
        <v>14</v>
      </c>
      <c r="B18" s="2"/>
      <c r="C18" s="2"/>
      <c r="D18" s="2"/>
      <c r="E18" s="2"/>
      <c r="F18" s="2"/>
      <c r="G18" s="2"/>
      <c r="H18" s="2"/>
      <c r="I18" s="2"/>
      <c r="J18" s="2"/>
      <c r="K18" s="2"/>
      <c r="L18" s="2"/>
      <c r="M18" s="2"/>
      <c r="N18" s="2"/>
      <c r="O18" s="2"/>
      <c r="P18" s="2"/>
      <c r="Q18" s="2"/>
      <c r="S18" s="5" t="s">
        <v>105</v>
      </c>
      <c r="T18" s="5" t="s">
        <v>148</v>
      </c>
      <c r="U18" s="5"/>
    </row>
    <row r="19" spans="1:32" x14ac:dyDescent="0.25">
      <c r="A19" s="2">
        <v>15</v>
      </c>
      <c r="B19" s="2"/>
      <c r="C19" s="2"/>
      <c r="D19" s="2"/>
      <c r="E19" s="2"/>
      <c r="F19" s="2"/>
      <c r="G19" s="2"/>
      <c r="H19" s="2"/>
      <c r="I19" s="2"/>
      <c r="J19" s="2"/>
      <c r="K19" s="2"/>
      <c r="L19" s="2"/>
      <c r="M19" s="2"/>
      <c r="N19" s="2"/>
      <c r="O19" s="2"/>
      <c r="P19" s="2"/>
      <c r="Q19" s="2"/>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124</v>
      </c>
      <c r="B37" s="2" t="s">
        <v>366</v>
      </c>
      <c r="C37" s="58" t="s">
        <v>123</v>
      </c>
      <c r="D37" s="2" t="s">
        <v>342</v>
      </c>
      <c r="U37" s="89"/>
      <c r="AO37" t="s">
        <v>125</v>
      </c>
      <c r="AP37" t="s">
        <v>367</v>
      </c>
      <c r="AQ37" t="s">
        <v>124</v>
      </c>
      <c r="AR37" t="s">
        <v>366</v>
      </c>
      <c r="AS37" t="s">
        <v>123</v>
      </c>
      <c r="AT37" t="s">
        <v>342</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0" t="s">
        <v>9</v>
      </c>
      <c r="C39" s="10">
        <v>50</v>
      </c>
      <c r="D39" s="10">
        <v>50</v>
      </c>
      <c r="E39" s="10" t="s">
        <v>338</v>
      </c>
      <c r="F39" s="10" t="s">
        <v>350</v>
      </c>
      <c r="G39" s="10">
        <v>0</v>
      </c>
      <c r="H39" s="10" t="s">
        <v>20</v>
      </c>
      <c r="I39" s="10">
        <v>0.4</v>
      </c>
      <c r="J39" s="10">
        <v>0.2</v>
      </c>
      <c r="K39" s="10"/>
      <c r="L39" s="10"/>
      <c r="M39" s="10"/>
      <c r="N39" s="10"/>
      <c r="O39" s="10"/>
      <c r="P39" s="10"/>
      <c r="Q39" s="10" t="s">
        <v>351</v>
      </c>
      <c r="S39" s="95" t="s">
        <v>40</v>
      </c>
      <c r="T39" s="3"/>
      <c r="U39" s="5"/>
    </row>
    <row r="40" spans="1:46" x14ac:dyDescent="0.25">
      <c r="A40" s="2">
        <v>2</v>
      </c>
      <c r="B40" s="12" t="s">
        <v>1</v>
      </c>
      <c r="C40" s="12" t="s">
        <v>18</v>
      </c>
      <c r="D40" s="12" t="s">
        <v>97</v>
      </c>
      <c r="E40" s="12" t="s">
        <v>97</v>
      </c>
      <c r="F40" s="12" t="s">
        <v>97</v>
      </c>
      <c r="G40" s="12" t="s">
        <v>359</v>
      </c>
      <c r="H40" s="12" t="s">
        <v>97</v>
      </c>
      <c r="I40" s="12" t="s">
        <v>97</v>
      </c>
      <c r="J40" s="12" t="s">
        <v>23</v>
      </c>
      <c r="K40" s="12"/>
      <c r="L40" s="12"/>
      <c r="M40" s="12"/>
      <c r="N40" s="12"/>
      <c r="O40" s="12"/>
      <c r="P40" s="12"/>
      <c r="Q40" s="2" t="s">
        <v>352</v>
      </c>
      <c r="S40" s="5" t="s">
        <v>95</v>
      </c>
      <c r="T40" s="5">
        <v>0.2</v>
      </c>
      <c r="U40" s="5" t="s">
        <v>44</v>
      </c>
    </row>
    <row r="41" spans="1:46" x14ac:dyDescent="0.25">
      <c r="A41" s="2">
        <v>3</v>
      </c>
      <c r="B41" s="15" t="s">
        <v>49</v>
      </c>
      <c r="C41" s="15" t="s">
        <v>368</v>
      </c>
      <c r="D41" s="15">
        <v>1</v>
      </c>
      <c r="E41" s="15" t="s">
        <v>358</v>
      </c>
      <c r="F41" s="15">
        <v>2000</v>
      </c>
      <c r="G41" s="15"/>
      <c r="H41" s="15"/>
      <c r="I41" s="15"/>
      <c r="J41" s="15"/>
      <c r="K41" s="15"/>
      <c r="L41" s="15"/>
      <c r="M41" s="15"/>
      <c r="N41" s="15"/>
      <c r="O41" s="15"/>
      <c r="P41" s="15"/>
      <c r="Q41" s="15"/>
      <c r="S41" s="5" t="s">
        <v>86</v>
      </c>
      <c r="T41" s="5">
        <v>1</v>
      </c>
      <c r="U41" s="5" t="s">
        <v>88</v>
      </c>
    </row>
    <row r="42" spans="1:46" x14ac:dyDescent="0.25">
      <c r="A42" s="2">
        <v>4</v>
      </c>
      <c r="B42" s="3" t="s">
        <v>1</v>
      </c>
      <c r="C42" s="3" t="s">
        <v>18</v>
      </c>
      <c r="D42" s="3" t="s">
        <v>97</v>
      </c>
      <c r="E42" s="3" t="s">
        <v>97</v>
      </c>
      <c r="F42" s="3" t="s">
        <v>97</v>
      </c>
      <c r="G42" s="3" t="s">
        <v>97</v>
      </c>
      <c r="H42" s="3" t="s">
        <v>97</v>
      </c>
      <c r="I42" s="3" t="s">
        <v>347</v>
      </c>
      <c r="J42" s="3" t="s">
        <v>23</v>
      </c>
      <c r="K42" s="3">
        <v>0</v>
      </c>
      <c r="L42" s="3">
        <v>0</v>
      </c>
      <c r="M42" s="3" t="s">
        <v>363</v>
      </c>
      <c r="N42" s="3"/>
      <c r="O42" s="3"/>
      <c r="P42" s="3"/>
      <c r="Q42" s="3" t="s">
        <v>353</v>
      </c>
      <c r="S42" s="5" t="s">
        <v>87</v>
      </c>
      <c r="T42" s="5">
        <v>1</v>
      </c>
      <c r="U42" s="5" t="s">
        <v>88</v>
      </c>
    </row>
    <row r="43" spans="1:46" x14ac:dyDescent="0.25">
      <c r="A43" s="2">
        <v>5</v>
      </c>
      <c r="B43" s="3" t="s">
        <v>1</v>
      </c>
      <c r="C43" s="3" t="s">
        <v>18</v>
      </c>
      <c r="D43" s="3" t="s">
        <v>97</v>
      </c>
      <c r="E43" s="3" t="s">
        <v>97</v>
      </c>
      <c r="F43" s="3" t="s">
        <v>97</v>
      </c>
      <c r="G43" s="3" t="s">
        <v>97</v>
      </c>
      <c r="H43" s="3" t="s">
        <v>350</v>
      </c>
      <c r="I43" s="3" t="s">
        <v>97</v>
      </c>
      <c r="J43" s="3" t="s">
        <v>23</v>
      </c>
      <c r="K43" s="3">
        <v>0</v>
      </c>
      <c r="L43" s="3">
        <v>0</v>
      </c>
      <c r="M43" s="3" t="s">
        <v>364</v>
      </c>
      <c r="N43" s="3"/>
      <c r="O43" s="3"/>
      <c r="P43" s="3"/>
      <c r="Q43" s="3" t="s">
        <v>354</v>
      </c>
      <c r="S43" s="5" t="s">
        <v>188</v>
      </c>
      <c r="T43" s="5" t="s">
        <v>199</v>
      </c>
      <c r="U43" s="5"/>
    </row>
    <row r="44" spans="1:46" x14ac:dyDescent="0.25">
      <c r="A44" s="2">
        <v>6</v>
      </c>
      <c r="B44" s="3" t="s">
        <v>1</v>
      </c>
      <c r="C44" s="48" t="s">
        <v>18</v>
      </c>
      <c r="D44" s="3" t="s">
        <v>97</v>
      </c>
      <c r="E44" s="3" t="s">
        <v>97</v>
      </c>
      <c r="F44" s="3" t="s">
        <v>97</v>
      </c>
      <c r="G44" s="3" t="s">
        <v>97</v>
      </c>
      <c r="H44" s="3" t="s">
        <v>97</v>
      </c>
      <c r="I44" s="3" t="s">
        <v>348</v>
      </c>
      <c r="J44" s="3" t="s">
        <v>23</v>
      </c>
      <c r="K44" s="3">
        <v>0</v>
      </c>
      <c r="L44" s="3">
        <v>0</v>
      </c>
      <c r="M44" s="3" t="s">
        <v>363</v>
      </c>
      <c r="N44" s="3"/>
      <c r="O44" s="3"/>
      <c r="P44" s="3"/>
      <c r="Q44" s="3" t="s">
        <v>355</v>
      </c>
      <c r="S44" s="5" t="s">
        <v>189</v>
      </c>
      <c r="T44" s="5">
        <v>0</v>
      </c>
      <c r="U44" s="5"/>
    </row>
    <row r="45" spans="1:46" x14ac:dyDescent="0.25">
      <c r="A45" s="2">
        <v>7</v>
      </c>
      <c r="B45" s="3" t="s">
        <v>1</v>
      </c>
      <c r="C45" s="48" t="s">
        <v>18</v>
      </c>
      <c r="D45" s="3" t="s">
        <v>97</v>
      </c>
      <c r="E45" s="3" t="s">
        <v>97</v>
      </c>
      <c r="F45" s="3" t="s">
        <v>97</v>
      </c>
      <c r="G45" s="3" t="s">
        <v>349</v>
      </c>
      <c r="H45" s="3" t="s">
        <v>97</v>
      </c>
      <c r="I45" s="3" t="s">
        <v>97</v>
      </c>
      <c r="J45" s="3" t="s">
        <v>23</v>
      </c>
      <c r="K45" s="3">
        <v>0</v>
      </c>
      <c r="L45" s="3">
        <v>0</v>
      </c>
      <c r="M45" s="3" t="s">
        <v>363</v>
      </c>
      <c r="N45" s="3"/>
      <c r="O45" s="3"/>
      <c r="P45" s="3"/>
      <c r="Q45" s="3" t="s">
        <v>356</v>
      </c>
      <c r="S45" s="57"/>
      <c r="T45" s="57"/>
      <c r="U45" s="90"/>
    </row>
    <row r="46" spans="1:46" x14ac:dyDescent="0.25">
      <c r="A46" s="2">
        <v>8</v>
      </c>
      <c r="B46" s="15" t="s">
        <v>49</v>
      </c>
      <c r="C46" s="15" t="s">
        <v>368</v>
      </c>
      <c r="D46" s="15">
        <v>1</v>
      </c>
      <c r="E46" s="15" t="s">
        <v>358</v>
      </c>
      <c r="F46" s="15">
        <v>2000</v>
      </c>
      <c r="G46" s="15"/>
      <c r="H46" s="15"/>
      <c r="I46" s="15"/>
      <c r="J46" s="15"/>
      <c r="K46" s="15"/>
      <c r="L46" s="15"/>
      <c r="M46" s="15"/>
      <c r="N46" s="15"/>
      <c r="O46" s="15"/>
      <c r="P46" s="15"/>
      <c r="Q46" s="15"/>
      <c r="S46" s="5" t="s">
        <v>333</v>
      </c>
      <c r="T46" s="5">
        <v>60</v>
      </c>
      <c r="U46" s="5" t="s">
        <v>43</v>
      </c>
      <c r="V46" s="1"/>
    </row>
    <row r="47" spans="1:46" x14ac:dyDescent="0.25">
      <c r="A47" s="2">
        <v>9</v>
      </c>
      <c r="B47" s="8" t="s">
        <v>1</v>
      </c>
      <c r="C47" s="8" t="s">
        <v>18</v>
      </c>
      <c r="D47" s="70" t="s">
        <v>97</v>
      </c>
      <c r="E47" s="8" t="s">
        <v>97</v>
      </c>
      <c r="F47" s="8" t="s">
        <v>97</v>
      </c>
      <c r="G47" s="8" t="s">
        <v>97</v>
      </c>
      <c r="H47" s="8" t="s">
        <v>97</v>
      </c>
      <c r="I47" s="8" t="s">
        <v>347</v>
      </c>
      <c r="J47" s="8" t="s">
        <v>23</v>
      </c>
      <c r="K47" s="8">
        <v>0</v>
      </c>
      <c r="L47" s="8">
        <v>0</v>
      </c>
      <c r="M47" s="8" t="s">
        <v>363</v>
      </c>
      <c r="N47" s="8"/>
      <c r="O47" s="8"/>
      <c r="P47" s="8"/>
      <c r="Q47" s="8" t="s">
        <v>353</v>
      </c>
      <c r="S47" s="5" t="s">
        <v>84</v>
      </c>
      <c r="T47" s="5">
        <v>1000</v>
      </c>
      <c r="U47" s="5" t="s">
        <v>45</v>
      </c>
    </row>
    <row r="48" spans="1:46" x14ac:dyDescent="0.25">
      <c r="A48" s="2">
        <v>10</v>
      </c>
      <c r="B48" s="8" t="s">
        <v>1</v>
      </c>
      <c r="C48" s="8" t="s">
        <v>18</v>
      </c>
      <c r="D48" s="99" t="s">
        <v>97</v>
      </c>
      <c r="E48" s="8" t="s">
        <v>97</v>
      </c>
      <c r="F48" s="8" t="s">
        <v>97</v>
      </c>
      <c r="G48" s="8" t="s">
        <v>97</v>
      </c>
      <c r="H48" s="8" t="s">
        <v>357</v>
      </c>
      <c r="I48" s="8" t="s">
        <v>97</v>
      </c>
      <c r="J48" s="8" t="s">
        <v>23</v>
      </c>
      <c r="K48" s="8">
        <v>0</v>
      </c>
      <c r="L48" s="8">
        <v>0</v>
      </c>
      <c r="M48" s="8" t="s">
        <v>364</v>
      </c>
      <c r="N48" s="8"/>
      <c r="O48" s="8"/>
      <c r="P48" s="8"/>
      <c r="Q48" s="8" t="s">
        <v>354</v>
      </c>
      <c r="S48" s="5" t="s">
        <v>85</v>
      </c>
      <c r="T48" s="5">
        <v>9000</v>
      </c>
      <c r="U48" s="5" t="s">
        <v>45</v>
      </c>
    </row>
    <row r="49" spans="1:22" x14ac:dyDescent="0.25">
      <c r="A49" s="2">
        <v>11</v>
      </c>
      <c r="B49" s="8" t="s">
        <v>1</v>
      </c>
      <c r="C49" s="8" t="s">
        <v>18</v>
      </c>
      <c r="D49" s="99" t="s">
        <v>97</v>
      </c>
      <c r="E49" s="8" t="s">
        <v>97</v>
      </c>
      <c r="F49" s="8" t="s">
        <v>97</v>
      </c>
      <c r="G49" s="8" t="s">
        <v>97</v>
      </c>
      <c r="H49" s="8" t="s">
        <v>97</v>
      </c>
      <c r="I49" s="8" t="s">
        <v>348</v>
      </c>
      <c r="J49" s="8" t="s">
        <v>23</v>
      </c>
      <c r="K49" s="8">
        <v>0</v>
      </c>
      <c r="L49" s="8">
        <v>0</v>
      </c>
      <c r="M49" s="8" t="s">
        <v>363</v>
      </c>
      <c r="N49" s="8"/>
      <c r="O49" s="8"/>
      <c r="P49" s="8"/>
      <c r="Q49" s="8" t="s">
        <v>355</v>
      </c>
      <c r="S49" s="5" t="s">
        <v>41</v>
      </c>
      <c r="T49" s="5">
        <v>210</v>
      </c>
      <c r="U49" s="5" t="s">
        <v>43</v>
      </c>
      <c r="V49" s="1"/>
    </row>
    <row r="50" spans="1:22" x14ac:dyDescent="0.25">
      <c r="A50" s="2">
        <v>12</v>
      </c>
      <c r="B50" s="8" t="s">
        <v>1</v>
      </c>
      <c r="C50" s="8" t="s">
        <v>18</v>
      </c>
      <c r="D50" s="8" t="s">
        <v>97</v>
      </c>
      <c r="E50" s="8" t="s">
        <v>97</v>
      </c>
      <c r="F50" s="8" t="s">
        <v>97</v>
      </c>
      <c r="G50" s="8" t="s">
        <v>349</v>
      </c>
      <c r="H50" s="8" t="s">
        <v>97</v>
      </c>
      <c r="I50" s="8" t="s">
        <v>97</v>
      </c>
      <c r="J50" s="8" t="s">
        <v>23</v>
      </c>
      <c r="K50" s="8">
        <v>0</v>
      </c>
      <c r="L50" s="8">
        <v>0</v>
      </c>
      <c r="M50" s="8" t="s">
        <v>363</v>
      </c>
      <c r="N50" s="8"/>
      <c r="O50" s="8"/>
      <c r="P50" s="8"/>
      <c r="Q50" s="8" t="s">
        <v>356</v>
      </c>
      <c r="S50" s="5" t="s">
        <v>42</v>
      </c>
      <c r="T50" s="5">
        <v>2.85</v>
      </c>
      <c r="U50" s="5" t="s">
        <v>44</v>
      </c>
    </row>
    <row r="51" spans="1:22" x14ac:dyDescent="0.25">
      <c r="A51" s="2">
        <v>13</v>
      </c>
      <c r="B51" s="2" t="s">
        <v>55</v>
      </c>
      <c r="C51" s="100" t="s">
        <v>361</v>
      </c>
      <c r="D51" s="2">
        <v>4</v>
      </c>
      <c r="E51" s="2">
        <v>0</v>
      </c>
      <c r="F51" s="2">
        <v>0</v>
      </c>
      <c r="G51" s="2">
        <v>9</v>
      </c>
      <c r="H51" s="2"/>
      <c r="I51" s="2"/>
      <c r="J51" s="2"/>
      <c r="K51" s="2"/>
      <c r="L51" s="2"/>
      <c r="M51" s="2"/>
      <c r="N51" s="2"/>
      <c r="O51" s="2"/>
      <c r="P51" s="2"/>
      <c r="Q51" s="2" t="s">
        <v>360</v>
      </c>
      <c r="S51" s="5" t="s">
        <v>46</v>
      </c>
      <c r="T51" s="5" t="s">
        <v>82</v>
      </c>
      <c r="U51" s="5" t="s">
        <v>89</v>
      </c>
    </row>
    <row r="52" spans="1:22" x14ac:dyDescent="0.25">
      <c r="A52" s="2">
        <v>14</v>
      </c>
      <c r="B52" s="101" t="s">
        <v>52</v>
      </c>
      <c r="C52" s="101">
        <v>13</v>
      </c>
      <c r="D52" s="101" t="s">
        <v>362</v>
      </c>
      <c r="E52" s="101">
        <v>1</v>
      </c>
      <c r="F52" s="101">
        <f>G51</f>
        <v>9</v>
      </c>
      <c r="G52" s="101" t="s">
        <v>60</v>
      </c>
      <c r="H52" s="101">
        <v>3</v>
      </c>
      <c r="I52" s="101">
        <v>0.5</v>
      </c>
      <c r="J52" s="101"/>
      <c r="K52" s="101"/>
      <c r="L52" s="101"/>
      <c r="M52" s="101"/>
      <c r="N52" s="101"/>
      <c r="O52" s="101"/>
      <c r="P52" s="101"/>
      <c r="Q52" s="101" t="s">
        <v>365</v>
      </c>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370</v>
      </c>
      <c r="C71" s="58" t="s">
        <v>123</v>
      </c>
      <c r="D71" s="2" t="s">
        <v>342</v>
      </c>
      <c r="U71" s="89"/>
      <c r="AO71" t="s">
        <v>125</v>
      </c>
      <c r="AP71" t="s">
        <v>371</v>
      </c>
      <c r="AQ71" t="s">
        <v>124</v>
      </c>
      <c r="AR71" t="s">
        <v>370</v>
      </c>
      <c r="AS71" t="s">
        <v>123</v>
      </c>
      <c r="AT71" t="s">
        <v>342</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1</v>
      </c>
      <c r="C73" s="2" t="s">
        <v>18</v>
      </c>
      <c r="D73" s="2">
        <v>50</v>
      </c>
      <c r="E73" s="2">
        <v>50</v>
      </c>
      <c r="F73" s="2">
        <v>0</v>
      </c>
      <c r="G73" s="2" t="s">
        <v>338</v>
      </c>
      <c r="H73" s="2" t="s">
        <v>97</v>
      </c>
      <c r="I73" s="2" t="s">
        <v>97</v>
      </c>
      <c r="J73" s="2" t="s">
        <v>19</v>
      </c>
      <c r="K73" s="2">
        <v>0.4</v>
      </c>
      <c r="L73" s="2">
        <v>0.2</v>
      </c>
      <c r="M73" s="2"/>
      <c r="N73" s="2"/>
      <c r="O73" s="2"/>
      <c r="P73" s="2"/>
      <c r="Q73" s="2"/>
      <c r="S73" s="95" t="s">
        <v>40</v>
      </c>
      <c r="T73" s="3"/>
      <c r="U73" s="5"/>
    </row>
    <row r="74" spans="1:46" x14ac:dyDescent="0.25">
      <c r="A74" s="2">
        <v>2</v>
      </c>
      <c r="B74" s="2" t="s">
        <v>1</v>
      </c>
      <c r="C74" s="2" t="s">
        <v>18</v>
      </c>
      <c r="D74" s="2" t="s">
        <v>97</v>
      </c>
      <c r="E74" s="2" t="s">
        <v>97</v>
      </c>
      <c r="F74" s="2" t="s">
        <v>97</v>
      </c>
      <c r="G74" s="2" t="s">
        <v>97</v>
      </c>
      <c r="H74" s="2" t="s">
        <v>338</v>
      </c>
      <c r="I74" s="2" t="s">
        <v>97</v>
      </c>
      <c r="J74" s="2" t="s">
        <v>19</v>
      </c>
      <c r="K74" s="2">
        <v>0.4</v>
      </c>
      <c r="L74" s="2">
        <v>0.2</v>
      </c>
      <c r="M74" s="2"/>
      <c r="N74" s="2"/>
      <c r="O74" s="2"/>
      <c r="P74" s="2"/>
      <c r="Q74" s="2"/>
      <c r="S74" s="5" t="s">
        <v>95</v>
      </c>
      <c r="T74" s="5">
        <v>0.2</v>
      </c>
      <c r="U74" s="5" t="s">
        <v>44</v>
      </c>
    </row>
    <row r="75" spans="1:46" x14ac:dyDescent="0.25">
      <c r="A75" s="2">
        <v>3</v>
      </c>
      <c r="B75" s="2" t="s">
        <v>1</v>
      </c>
      <c r="C75" s="2" t="s">
        <v>18</v>
      </c>
      <c r="D75" s="2" t="s">
        <v>97</v>
      </c>
      <c r="E75" s="2" t="s">
        <v>97</v>
      </c>
      <c r="F75" s="2" t="s">
        <v>97</v>
      </c>
      <c r="G75" s="2" t="s">
        <v>339</v>
      </c>
      <c r="H75" s="2" t="s">
        <v>97</v>
      </c>
      <c r="I75" s="2" t="s">
        <v>97</v>
      </c>
      <c r="J75" s="2" t="s">
        <v>19</v>
      </c>
      <c r="K75" s="2">
        <v>0.4</v>
      </c>
      <c r="L75" s="2">
        <v>0.2</v>
      </c>
      <c r="M75" s="2"/>
      <c r="N75" s="2"/>
      <c r="O75" s="2"/>
      <c r="P75" s="2"/>
      <c r="Q75" s="2"/>
      <c r="S75" s="5" t="s">
        <v>86</v>
      </c>
      <c r="T75" s="5">
        <v>1</v>
      </c>
      <c r="U75" s="5" t="s">
        <v>88</v>
      </c>
    </row>
    <row r="76" spans="1:46" x14ac:dyDescent="0.25">
      <c r="A76" s="2">
        <v>4</v>
      </c>
      <c r="B76" s="2" t="s">
        <v>1</v>
      </c>
      <c r="C76" s="2" t="s">
        <v>18</v>
      </c>
      <c r="D76" s="2" t="s">
        <v>97</v>
      </c>
      <c r="E76" s="2" t="s">
        <v>97</v>
      </c>
      <c r="F76" s="2" t="s">
        <v>97</v>
      </c>
      <c r="G76" s="2" t="s">
        <v>97</v>
      </c>
      <c r="H76" s="2" t="s">
        <v>339</v>
      </c>
      <c r="I76" s="2" t="s">
        <v>97</v>
      </c>
      <c r="J76" s="2" t="s">
        <v>19</v>
      </c>
      <c r="K76" s="2">
        <v>0.4</v>
      </c>
      <c r="L76" s="2">
        <v>0.2</v>
      </c>
      <c r="M76" s="2"/>
      <c r="N76" s="2"/>
      <c r="O76" s="2"/>
      <c r="P76" s="2"/>
      <c r="Q76" s="2"/>
      <c r="S76" s="5" t="s">
        <v>87</v>
      </c>
      <c r="T76" s="5">
        <v>1</v>
      </c>
      <c r="U76" s="5" t="s">
        <v>88</v>
      </c>
    </row>
    <row r="77" spans="1:46" x14ac:dyDescent="0.25">
      <c r="A77" s="2">
        <v>5</v>
      </c>
      <c r="B77" s="2" t="s">
        <v>55</v>
      </c>
      <c r="C77" s="98" t="s">
        <v>265</v>
      </c>
      <c r="D77" s="2">
        <v>0</v>
      </c>
      <c r="E77" s="2">
        <v>0</v>
      </c>
      <c r="F77" s="2">
        <v>0.2</v>
      </c>
      <c r="G77" s="2">
        <v>250</v>
      </c>
      <c r="H77" s="2"/>
      <c r="I77" s="2"/>
      <c r="J77" s="2"/>
      <c r="K77" s="2"/>
      <c r="L77" s="2"/>
      <c r="M77" s="2"/>
      <c r="N77" s="2"/>
      <c r="O77" s="2"/>
      <c r="P77" s="2"/>
      <c r="Q77" s="2"/>
      <c r="S77" s="5" t="s">
        <v>188</v>
      </c>
      <c r="T77" s="5" t="s">
        <v>199</v>
      </c>
      <c r="U77" s="5"/>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84</v>
      </c>
      <c r="T81" s="5">
        <v>1000</v>
      </c>
      <c r="U81" s="5" t="s">
        <v>45</v>
      </c>
    </row>
    <row r="82" spans="1:22" x14ac:dyDescent="0.25">
      <c r="A82" s="2">
        <v>10</v>
      </c>
      <c r="B82" s="2"/>
      <c r="C82" s="2"/>
      <c r="D82" s="2"/>
      <c r="E82" s="2"/>
      <c r="F82" s="2"/>
      <c r="G82" s="2"/>
      <c r="H82" s="2"/>
      <c r="I82" s="2"/>
      <c r="J82" s="2"/>
      <c r="K82" s="2"/>
      <c r="L82" s="2"/>
      <c r="M82" s="2"/>
      <c r="N82" s="2"/>
      <c r="O82" s="2"/>
      <c r="P82" s="2"/>
      <c r="Q82" s="2"/>
      <c r="S82" s="5" t="s">
        <v>85</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89</v>
      </c>
    </row>
    <row r="86" spans="1:22" x14ac:dyDescent="0.25">
      <c r="A86" s="2">
        <v>14</v>
      </c>
      <c r="B86" s="2"/>
      <c r="C86" s="2"/>
      <c r="D86" s="2"/>
      <c r="E86" s="2"/>
      <c r="F86" s="2"/>
      <c r="G86" s="2"/>
      <c r="H86" s="2"/>
      <c r="I86" s="2"/>
      <c r="J86" s="2"/>
      <c r="K86" s="2"/>
      <c r="L86" s="2"/>
      <c r="M86" s="2"/>
      <c r="N86" s="2"/>
      <c r="O86" s="2"/>
      <c r="P86" s="2"/>
      <c r="Q86" s="2"/>
      <c r="S86" s="5" t="s">
        <v>105</v>
      </c>
      <c r="T86" s="5" t="s">
        <v>148</v>
      </c>
      <c r="U86" s="5"/>
    </row>
    <row r="87" spans="1:22" x14ac:dyDescent="0.25">
      <c r="A87" s="2">
        <v>15</v>
      </c>
      <c r="B87" s="2"/>
      <c r="C87" s="2"/>
      <c r="D87" s="2"/>
      <c r="E87" s="2"/>
      <c r="F87" s="2"/>
      <c r="G87" s="2"/>
      <c r="H87" s="2"/>
      <c r="I87" s="2"/>
      <c r="J87" s="2"/>
      <c r="K87" s="2"/>
      <c r="L87" s="2"/>
      <c r="M87" s="2"/>
      <c r="N87" s="2"/>
      <c r="O87" s="2"/>
      <c r="P87" s="2"/>
      <c r="Q87" s="2"/>
      <c r="S87" s="5" t="s">
        <v>147</v>
      </c>
      <c r="T87" s="5" t="s">
        <v>120</v>
      </c>
      <c r="U87" s="5"/>
    </row>
    <row r="88" spans="1:22"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334</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149</v>
      </c>
      <c r="T92" s="5" t="s">
        <v>161</v>
      </c>
      <c r="U92" s="5" t="s">
        <v>153</v>
      </c>
    </row>
    <row r="93" spans="1:22" x14ac:dyDescent="0.25">
      <c r="A93" s="29"/>
      <c r="B93" s="29"/>
      <c r="C93" s="29"/>
      <c r="D93" s="29"/>
      <c r="E93" s="29"/>
      <c r="F93" s="29"/>
      <c r="G93" s="29"/>
      <c r="H93" s="29"/>
      <c r="I93" s="29"/>
      <c r="J93" s="29"/>
      <c r="K93" s="29"/>
      <c r="L93" s="29"/>
      <c r="M93" s="29"/>
      <c r="N93" s="29"/>
      <c r="O93" s="29"/>
      <c r="P93" s="29"/>
      <c r="Q93" s="29"/>
      <c r="S93" s="5" t="s">
        <v>154</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155</v>
      </c>
      <c r="T94" s="5">
        <v>7</v>
      </c>
      <c r="U94" s="5" t="s">
        <v>89</v>
      </c>
    </row>
    <row r="95" spans="1:22"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157</v>
      </c>
      <c r="T96" s="5">
        <f>-T94</f>
        <v>-7</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386</v>
      </c>
      <c r="C105" s="58" t="s">
        <v>123</v>
      </c>
      <c r="D105" s="2" t="s">
        <v>342</v>
      </c>
      <c r="E105" s="29"/>
      <c r="F105" s="29"/>
      <c r="G105" s="29"/>
      <c r="H105" s="29"/>
      <c r="I105" s="29"/>
      <c r="J105" s="29"/>
      <c r="K105" s="29"/>
      <c r="L105" s="29"/>
      <c r="M105" s="29"/>
      <c r="N105" s="29"/>
      <c r="O105" s="29"/>
      <c r="P105" s="29"/>
      <c r="U105" s="89"/>
      <c r="AO105" t="s">
        <v>125</v>
      </c>
      <c r="AP105" t="s">
        <v>387</v>
      </c>
      <c r="AQ105" t="s">
        <v>124</v>
      </c>
      <c r="AR105" t="s">
        <v>386</v>
      </c>
      <c r="AS105" t="s">
        <v>123</v>
      </c>
      <c r="AT105" t="s">
        <v>342</v>
      </c>
    </row>
    <row r="106" spans="1:46" x14ac:dyDescent="0.25">
      <c r="A106" s="40" t="s">
        <v>0</v>
      </c>
      <c r="B106" s="41"/>
      <c r="C106" s="18"/>
      <c r="D106" s="18"/>
      <c r="E106" s="18"/>
      <c r="F106" s="18"/>
      <c r="G106" s="18"/>
      <c r="H106" s="18"/>
      <c r="I106" s="18"/>
      <c r="J106" s="18"/>
      <c r="K106" s="18"/>
      <c r="L106" s="18"/>
      <c r="M106" s="18"/>
      <c r="N106" s="18"/>
      <c r="O106" s="18"/>
      <c r="P106" s="18"/>
      <c r="Q106" s="58" t="s">
        <v>284</v>
      </c>
      <c r="U106" s="89"/>
    </row>
    <row r="107" spans="1:46" x14ac:dyDescent="0.25">
      <c r="A107" s="20">
        <v>1</v>
      </c>
      <c r="B107" s="113" t="s">
        <v>1</v>
      </c>
      <c r="C107" s="20" t="s">
        <v>18</v>
      </c>
      <c r="D107" s="20">
        <v>50</v>
      </c>
      <c r="E107" s="20">
        <v>50</v>
      </c>
      <c r="F107" s="20">
        <v>0</v>
      </c>
      <c r="G107" s="20" t="s">
        <v>350</v>
      </c>
      <c r="H107" s="20" t="s">
        <v>97</v>
      </c>
      <c r="I107" s="20" t="s">
        <v>97</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97</v>
      </c>
      <c r="E108" s="20" t="s">
        <v>97</v>
      </c>
      <c r="F108" s="20" t="s">
        <v>97</v>
      </c>
      <c r="G108" s="20" t="s">
        <v>97</v>
      </c>
      <c r="H108" s="20" t="s">
        <v>350</v>
      </c>
      <c r="I108" s="20" t="s">
        <v>97</v>
      </c>
      <c r="J108" s="20" t="s">
        <v>19</v>
      </c>
      <c r="K108" s="20">
        <v>0.5</v>
      </c>
      <c r="L108" s="20">
        <v>0.2</v>
      </c>
      <c r="M108" s="20"/>
      <c r="N108" s="20"/>
      <c r="O108" s="20"/>
      <c r="P108" s="20"/>
      <c r="Q108" s="20"/>
      <c r="S108" s="5" t="s">
        <v>95</v>
      </c>
      <c r="T108" s="5">
        <v>0.2</v>
      </c>
      <c r="U108" s="5" t="s">
        <v>44</v>
      </c>
    </row>
    <row r="109" spans="1:46" x14ac:dyDescent="0.25">
      <c r="A109" s="20">
        <v>3</v>
      </c>
      <c r="B109" s="113" t="s">
        <v>1</v>
      </c>
      <c r="C109" s="20" t="s">
        <v>18</v>
      </c>
      <c r="D109" s="20" t="s">
        <v>97</v>
      </c>
      <c r="E109" s="20" t="s">
        <v>97</v>
      </c>
      <c r="F109" s="20" t="s">
        <v>97</v>
      </c>
      <c r="G109" s="20" t="s">
        <v>357</v>
      </c>
      <c r="H109" s="20" t="s">
        <v>97</v>
      </c>
      <c r="I109" s="20" t="s">
        <v>97</v>
      </c>
      <c r="J109" s="20" t="s">
        <v>19</v>
      </c>
      <c r="K109" s="20">
        <v>0.5</v>
      </c>
      <c r="L109" s="20">
        <v>0.2</v>
      </c>
      <c r="M109" s="20"/>
      <c r="N109" s="20"/>
      <c r="O109" s="20"/>
      <c r="P109" s="20"/>
      <c r="Q109" s="20"/>
      <c r="S109" s="5" t="s">
        <v>86</v>
      </c>
      <c r="T109" s="5">
        <v>1</v>
      </c>
      <c r="U109" s="5" t="s">
        <v>88</v>
      </c>
    </row>
    <row r="110" spans="1:46" x14ac:dyDescent="0.25">
      <c r="A110" s="20">
        <v>4</v>
      </c>
      <c r="B110" s="113" t="s">
        <v>1</v>
      </c>
      <c r="C110" s="20" t="s">
        <v>18</v>
      </c>
      <c r="D110" s="20" t="s">
        <v>97</v>
      </c>
      <c r="E110" s="20" t="s">
        <v>97</v>
      </c>
      <c r="F110" s="20" t="s">
        <v>97</v>
      </c>
      <c r="G110" s="20" t="s">
        <v>97</v>
      </c>
      <c r="H110" s="20" t="s">
        <v>357</v>
      </c>
      <c r="I110" s="20" t="s">
        <v>97</v>
      </c>
      <c r="J110" s="20" t="s">
        <v>19</v>
      </c>
      <c r="K110" s="20">
        <v>0.5</v>
      </c>
      <c r="L110" s="20">
        <v>0.2</v>
      </c>
      <c r="M110" s="20"/>
      <c r="N110" s="20"/>
      <c r="O110" s="20"/>
      <c r="P110" s="20"/>
      <c r="Q110" s="20"/>
      <c r="S110" s="5" t="s">
        <v>87</v>
      </c>
      <c r="T110" s="5">
        <v>1</v>
      </c>
      <c r="U110" s="5" t="s">
        <v>88</v>
      </c>
    </row>
    <row r="111" spans="1:46" x14ac:dyDescent="0.25">
      <c r="A111" s="20">
        <v>5</v>
      </c>
      <c r="B111" s="113" t="s">
        <v>55</v>
      </c>
      <c r="C111" s="112" t="s">
        <v>265</v>
      </c>
      <c r="D111" s="20">
        <v>0</v>
      </c>
      <c r="E111" s="20">
        <v>0</v>
      </c>
      <c r="F111" s="20">
        <v>0.2</v>
      </c>
      <c r="G111" s="20">
        <v>100</v>
      </c>
      <c r="H111" s="20"/>
      <c r="I111" s="20"/>
      <c r="J111" s="20"/>
      <c r="K111" s="20"/>
      <c r="L111" s="20"/>
      <c r="M111" s="20"/>
      <c r="N111" s="20"/>
      <c r="O111" s="20"/>
      <c r="P111" s="20"/>
      <c r="Q111" s="20"/>
      <c r="S111" s="5" t="s">
        <v>188</v>
      </c>
      <c r="T111" s="5" t="s">
        <v>199</v>
      </c>
      <c r="U111" s="5"/>
    </row>
    <row r="112" spans="1:46" x14ac:dyDescent="0.25">
      <c r="A112" s="20">
        <v>6</v>
      </c>
      <c r="B112" s="117" t="s">
        <v>52</v>
      </c>
      <c r="C112" s="42">
        <v>5</v>
      </c>
      <c r="D112" s="118">
        <v>2</v>
      </c>
      <c r="E112" s="42">
        <v>50</v>
      </c>
      <c r="F112" s="42">
        <v>100</v>
      </c>
      <c r="G112" s="42" t="s">
        <v>28</v>
      </c>
      <c r="H112" s="42">
        <v>0.2</v>
      </c>
      <c r="I112" s="42">
        <v>0</v>
      </c>
      <c r="J112" s="42">
        <v>0</v>
      </c>
      <c r="K112" s="42" t="s">
        <v>115</v>
      </c>
      <c r="L112" s="42" t="s">
        <v>115</v>
      </c>
      <c r="M112" s="42"/>
      <c r="N112" s="42"/>
      <c r="O112" s="42"/>
      <c r="P112" s="42"/>
      <c r="Q112" s="42"/>
      <c r="S112" s="5" t="s">
        <v>189</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385</v>
      </c>
      <c r="L113" s="42" t="s">
        <v>115</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115</v>
      </c>
      <c r="L114" s="42" t="s">
        <v>385</v>
      </c>
      <c r="M114" s="42"/>
      <c r="N114" s="42"/>
      <c r="O114" s="42"/>
      <c r="P114" s="42"/>
      <c r="Q114" s="42"/>
      <c r="S114" s="5" t="s">
        <v>333</v>
      </c>
      <c r="T114" s="5">
        <v>60</v>
      </c>
      <c r="U114" s="5" t="s">
        <v>43</v>
      </c>
      <c r="V114" s="1"/>
    </row>
    <row r="115" spans="1:22" x14ac:dyDescent="0.25">
      <c r="A115" s="20">
        <v>9</v>
      </c>
      <c r="B115" s="114" t="s">
        <v>286</v>
      </c>
      <c r="C115" s="115">
        <v>5</v>
      </c>
      <c r="D115" s="116">
        <v>2</v>
      </c>
      <c r="E115" s="115">
        <v>50</v>
      </c>
      <c r="F115" s="115">
        <v>100</v>
      </c>
      <c r="G115" s="115" t="s">
        <v>119</v>
      </c>
      <c r="H115" s="115">
        <v>5.0000000000000001E-3</v>
      </c>
      <c r="I115" s="115">
        <v>0</v>
      </c>
      <c r="J115" s="115">
        <v>0</v>
      </c>
      <c r="K115" s="115" t="s">
        <v>115</v>
      </c>
      <c r="L115" s="115" t="s">
        <v>115</v>
      </c>
      <c r="M115" s="115"/>
      <c r="N115" s="115"/>
      <c r="O115" s="115"/>
      <c r="P115" s="115"/>
      <c r="Q115" s="115"/>
      <c r="S115" s="5" t="s">
        <v>84</v>
      </c>
      <c r="T115" s="5">
        <v>1000</v>
      </c>
      <c r="U115" s="5" t="s">
        <v>45</v>
      </c>
    </row>
    <row r="116" spans="1:22" x14ac:dyDescent="0.25">
      <c r="A116" s="20">
        <v>10</v>
      </c>
      <c r="B116" s="114" t="s">
        <v>286</v>
      </c>
      <c r="C116" s="115">
        <v>5</v>
      </c>
      <c r="D116" s="116">
        <v>1</v>
      </c>
      <c r="E116" s="115">
        <v>50</v>
      </c>
      <c r="F116" s="115">
        <v>100</v>
      </c>
      <c r="G116" s="115" t="s">
        <v>119</v>
      </c>
      <c r="H116" s="115">
        <v>5.0000000000000001E-3</v>
      </c>
      <c r="I116" s="115">
        <v>0</v>
      </c>
      <c r="J116" s="115">
        <v>0</v>
      </c>
      <c r="K116" s="115" t="s">
        <v>385</v>
      </c>
      <c r="L116" s="115" t="s">
        <v>115</v>
      </c>
      <c r="M116" s="115"/>
      <c r="N116" s="115"/>
      <c r="O116" s="115"/>
      <c r="P116" s="115"/>
      <c r="Q116" s="115"/>
      <c r="S116" s="5" t="s">
        <v>85</v>
      </c>
      <c r="T116" s="5">
        <v>9000</v>
      </c>
      <c r="U116" s="5" t="s">
        <v>45</v>
      </c>
    </row>
    <row r="117" spans="1:22" x14ac:dyDescent="0.25">
      <c r="A117" s="20">
        <v>11</v>
      </c>
      <c r="B117" s="114" t="s">
        <v>286</v>
      </c>
      <c r="C117" s="115">
        <v>5</v>
      </c>
      <c r="D117" s="116">
        <v>3</v>
      </c>
      <c r="E117" s="115">
        <v>50</v>
      </c>
      <c r="F117" s="115">
        <v>100</v>
      </c>
      <c r="G117" s="115" t="s">
        <v>119</v>
      </c>
      <c r="H117" s="115">
        <v>5.0000000000000001E-3</v>
      </c>
      <c r="I117" s="115">
        <v>0</v>
      </c>
      <c r="J117" s="115">
        <v>0</v>
      </c>
      <c r="K117" s="115" t="s">
        <v>115</v>
      </c>
      <c r="L117" s="115" t="s">
        <v>385</v>
      </c>
      <c r="M117" s="115"/>
      <c r="N117" s="115"/>
      <c r="O117" s="115"/>
      <c r="P117" s="115"/>
      <c r="Q117" s="115"/>
      <c r="S117" s="5" t="s">
        <v>41</v>
      </c>
      <c r="T117" s="5">
        <v>210</v>
      </c>
      <c r="U117" s="5" t="s">
        <v>43</v>
      </c>
      <c r="V117" s="1"/>
    </row>
    <row r="118" spans="1:22" x14ac:dyDescent="0.25">
      <c r="A118" s="20">
        <v>12</v>
      </c>
      <c r="B118" s="119" t="s">
        <v>286</v>
      </c>
      <c r="C118" s="43">
        <v>5</v>
      </c>
      <c r="D118" s="120" t="s">
        <v>265</v>
      </c>
      <c r="E118" s="43">
        <v>50</v>
      </c>
      <c r="F118" s="43">
        <v>100</v>
      </c>
      <c r="G118" s="43" t="s">
        <v>25</v>
      </c>
      <c r="H118" s="43">
        <v>60</v>
      </c>
      <c r="I118" s="43">
        <v>60</v>
      </c>
      <c r="J118" s="43">
        <v>45</v>
      </c>
      <c r="K118" s="43">
        <v>0</v>
      </c>
      <c r="L118" s="43" t="s">
        <v>115</v>
      </c>
      <c r="M118" s="43" t="s">
        <v>115</v>
      </c>
      <c r="N118" s="43"/>
      <c r="O118" s="43"/>
      <c r="P118" s="43"/>
      <c r="Q118" s="43"/>
      <c r="S118" s="5" t="s">
        <v>42</v>
      </c>
      <c r="T118" s="5">
        <v>2.85</v>
      </c>
      <c r="U118" s="5" t="s">
        <v>44</v>
      </c>
    </row>
    <row r="119" spans="1:22" x14ac:dyDescent="0.25">
      <c r="A119" s="20">
        <v>13</v>
      </c>
      <c r="B119" s="119" t="s">
        <v>286</v>
      </c>
      <c r="C119" s="43">
        <v>5</v>
      </c>
      <c r="D119" s="120" t="s">
        <v>265</v>
      </c>
      <c r="E119" s="43">
        <v>50</v>
      </c>
      <c r="F119" s="43">
        <v>100</v>
      </c>
      <c r="G119" s="43" t="s">
        <v>26</v>
      </c>
      <c r="H119" s="43">
        <v>50</v>
      </c>
      <c r="I119" s="43">
        <v>50</v>
      </c>
      <c r="J119" s="43">
        <v>0</v>
      </c>
      <c r="K119" s="43">
        <v>0.2</v>
      </c>
      <c r="L119" s="43" t="s">
        <v>115</v>
      </c>
      <c r="M119" s="43" t="s">
        <v>115</v>
      </c>
      <c r="N119" s="43"/>
      <c r="O119" s="43"/>
      <c r="P119" s="43"/>
      <c r="Q119" s="43"/>
      <c r="S119" s="5" t="s">
        <v>46</v>
      </c>
      <c r="T119" s="5" t="s">
        <v>82</v>
      </c>
      <c r="U119" s="5" t="s">
        <v>89</v>
      </c>
    </row>
    <row r="120" spans="1:22" x14ac:dyDescent="0.25">
      <c r="A120" s="20">
        <v>14</v>
      </c>
      <c r="B120" s="119" t="s">
        <v>286</v>
      </c>
      <c r="C120" s="43">
        <v>5</v>
      </c>
      <c r="D120" s="120" t="s">
        <v>265</v>
      </c>
      <c r="E120" s="43">
        <v>50</v>
      </c>
      <c r="F120" s="43">
        <v>100</v>
      </c>
      <c r="G120" s="43" t="s">
        <v>15</v>
      </c>
      <c r="H120" s="43">
        <v>1</v>
      </c>
      <c r="I120" s="43"/>
      <c r="J120" s="43" t="s">
        <v>179</v>
      </c>
      <c r="K120" s="43"/>
      <c r="L120" s="43"/>
      <c r="M120" s="43"/>
      <c r="N120" s="43"/>
      <c r="O120" s="43"/>
      <c r="P120" s="43"/>
      <c r="Q120" s="43"/>
      <c r="S120" s="5" t="s">
        <v>105</v>
      </c>
      <c r="T120" s="5" t="s">
        <v>148</v>
      </c>
      <c r="U120" s="5"/>
    </row>
    <row r="121" spans="1:22" x14ac:dyDescent="0.25">
      <c r="A121" s="20">
        <v>15</v>
      </c>
      <c r="B121" s="119" t="s">
        <v>286</v>
      </c>
      <c r="C121" s="43">
        <v>5</v>
      </c>
      <c r="D121" s="120" t="s">
        <v>265</v>
      </c>
      <c r="E121" s="43">
        <v>50</v>
      </c>
      <c r="F121" s="43">
        <v>100</v>
      </c>
      <c r="G121" s="43" t="s">
        <v>24</v>
      </c>
      <c r="H121" s="43">
        <v>0.01</v>
      </c>
      <c r="I121" s="43"/>
      <c r="J121" s="43" t="s">
        <v>180</v>
      </c>
      <c r="K121" s="43"/>
      <c r="L121" s="43"/>
      <c r="M121" s="43"/>
      <c r="N121" s="43"/>
      <c r="O121" s="43"/>
      <c r="P121" s="43"/>
      <c r="Q121" s="43"/>
      <c r="S121" s="5" t="s">
        <v>147</v>
      </c>
      <c r="T121" s="5" t="s">
        <v>120</v>
      </c>
      <c r="U121" s="5"/>
    </row>
    <row r="122" spans="1:22" x14ac:dyDescent="0.25">
      <c r="A122" s="20">
        <v>16</v>
      </c>
      <c r="B122" s="119" t="s">
        <v>286</v>
      </c>
      <c r="C122" s="43">
        <v>5</v>
      </c>
      <c r="D122" s="120" t="s">
        <v>265</v>
      </c>
      <c r="E122" s="43">
        <v>50</v>
      </c>
      <c r="F122" s="43">
        <v>100</v>
      </c>
      <c r="G122" s="43" t="s">
        <v>128</v>
      </c>
      <c r="H122" s="43" t="s">
        <v>27</v>
      </c>
      <c r="I122" s="43"/>
      <c r="J122" s="43" t="s">
        <v>183</v>
      </c>
      <c r="K122" s="43"/>
      <c r="L122" s="43"/>
      <c r="M122" s="43"/>
      <c r="N122" s="43"/>
      <c r="O122" s="43"/>
      <c r="P122" s="43"/>
      <c r="Q122" s="43"/>
      <c r="S122" s="5" t="s">
        <v>162</v>
      </c>
      <c r="T122" s="5">
        <v>20</v>
      </c>
      <c r="U122" s="5" t="s">
        <v>44</v>
      </c>
    </row>
    <row r="123" spans="1:22" x14ac:dyDescent="0.25">
      <c r="A123" s="20">
        <v>17</v>
      </c>
      <c r="B123" s="119" t="s">
        <v>286</v>
      </c>
      <c r="C123" s="43">
        <v>5</v>
      </c>
      <c r="D123" s="120" t="s">
        <v>265</v>
      </c>
      <c r="E123" s="43">
        <v>50</v>
      </c>
      <c r="F123" s="43">
        <v>100</v>
      </c>
      <c r="G123" s="43" t="s">
        <v>127</v>
      </c>
      <c r="H123" s="43">
        <v>10</v>
      </c>
      <c r="I123" s="43"/>
      <c r="J123" s="43" t="s">
        <v>184</v>
      </c>
      <c r="K123" s="43"/>
      <c r="L123" s="43"/>
      <c r="M123" s="43"/>
      <c r="N123" s="43"/>
      <c r="O123" s="43"/>
      <c r="P123" s="43"/>
      <c r="Q123" s="43"/>
      <c r="S123" s="5" t="s">
        <v>163</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164</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334</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149</v>
      </c>
      <c r="T126" s="5" t="s">
        <v>161</v>
      </c>
      <c r="U126" s="5" t="s">
        <v>153</v>
      </c>
    </row>
    <row r="127" spans="1:22" x14ac:dyDescent="0.25">
      <c r="A127" s="29"/>
      <c r="B127" s="29"/>
      <c r="C127" s="29"/>
      <c r="D127" s="29"/>
      <c r="E127" s="29"/>
      <c r="F127" s="29"/>
      <c r="G127" s="29"/>
      <c r="H127" s="29"/>
      <c r="I127" s="29"/>
      <c r="J127" s="29"/>
      <c r="K127" s="29"/>
      <c r="L127" s="29"/>
      <c r="M127" s="29"/>
      <c r="N127" s="29"/>
      <c r="O127" s="29"/>
      <c r="P127" s="29"/>
      <c r="Q127" s="29"/>
      <c r="S127" s="5" t="s">
        <v>154</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155</v>
      </c>
      <c r="T128" s="5">
        <v>7</v>
      </c>
      <c r="U128" s="5" t="s">
        <v>89</v>
      </c>
    </row>
    <row r="129" spans="1:32"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157</v>
      </c>
      <c r="T130" s="5">
        <f>-T128</f>
        <v>-7</v>
      </c>
      <c r="U130" s="5" t="s">
        <v>89</v>
      </c>
    </row>
    <row r="131" spans="1:32"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159</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160</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287</v>
      </c>
      <c r="T135" s="96" t="s">
        <v>288</v>
      </c>
      <c r="U135" s="97" t="s">
        <v>326</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124</v>
      </c>
      <c r="B3" s="2" t="s">
        <v>282</v>
      </c>
      <c r="C3" s="58" t="s">
        <v>123</v>
      </c>
      <c r="D3" s="2" t="s">
        <v>329</v>
      </c>
      <c r="AO3" t="s">
        <v>125</v>
      </c>
      <c r="AP3" t="s">
        <v>283</v>
      </c>
      <c r="AQ3" t="s">
        <v>124</v>
      </c>
      <c r="AR3" t="s">
        <v>282</v>
      </c>
      <c r="AS3" t="s">
        <v>123</v>
      </c>
      <c r="AT3" t="s">
        <v>329</v>
      </c>
    </row>
    <row r="4" spans="1:46" x14ac:dyDescent="0.25">
      <c r="A4" s="40" t="s">
        <v>0</v>
      </c>
      <c r="B4" s="2"/>
      <c r="C4" s="2"/>
      <c r="D4" s="2"/>
      <c r="E4" s="2"/>
      <c r="F4" s="2"/>
      <c r="G4" s="2"/>
      <c r="H4" s="2"/>
      <c r="I4" s="2"/>
      <c r="J4" s="2"/>
      <c r="K4" s="2"/>
      <c r="L4" s="2"/>
      <c r="M4" s="2"/>
      <c r="N4" s="2"/>
      <c r="O4" s="2"/>
      <c r="P4" s="2"/>
      <c r="Q4" s="58" t="s">
        <v>284</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50</v>
      </c>
      <c r="L5" s="10">
        <f>_xlfn.SINGLE(Height)</f>
        <v>15.3</v>
      </c>
      <c r="M5" s="10"/>
      <c r="N5" s="10"/>
      <c r="O5" s="10"/>
      <c r="P5" s="10"/>
      <c r="Q5" s="11" t="s">
        <v>272</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50</v>
      </c>
      <c r="L6" s="12">
        <f>_xlfn.SINGLE(Height)</f>
        <v>15.3</v>
      </c>
      <c r="M6" s="12"/>
      <c r="N6" s="12"/>
      <c r="O6" s="12"/>
      <c r="P6" s="12"/>
      <c r="Q6" s="13" t="s">
        <v>273</v>
      </c>
      <c r="S6" s="5" t="s">
        <v>95</v>
      </c>
      <c r="T6" s="5">
        <v>0.2</v>
      </c>
      <c r="U6" s="5" t="s">
        <v>44</v>
      </c>
    </row>
    <row r="7" spans="1:46" x14ac:dyDescent="0.25">
      <c r="A7" s="2">
        <v>3</v>
      </c>
      <c r="B7" s="49" t="s">
        <v>55</v>
      </c>
      <c r="C7" s="50" t="s">
        <v>280</v>
      </c>
      <c r="D7" s="49">
        <v>0</v>
      </c>
      <c r="E7" s="49" t="e">
        <f>Period</f>
        <v>#NAME?</v>
      </c>
      <c r="F7" s="49">
        <v>0</v>
      </c>
      <c r="G7" s="49" t="e">
        <f>UnitCells-1</f>
        <v>#NAME?</v>
      </c>
      <c r="H7" s="49"/>
      <c r="I7" s="49"/>
      <c r="J7" s="49"/>
      <c r="K7" s="49"/>
      <c r="L7" s="49"/>
      <c r="M7" s="49"/>
      <c r="N7" s="49"/>
      <c r="O7" s="49"/>
      <c r="P7" s="49"/>
      <c r="Q7" s="59" t="s">
        <v>277</v>
      </c>
      <c r="S7" s="5" t="s">
        <v>86</v>
      </c>
      <c r="T7" s="5">
        <v>1</v>
      </c>
      <c r="U7" s="5" t="s">
        <v>88</v>
      </c>
    </row>
    <row r="8" spans="1:46" x14ac:dyDescent="0.25">
      <c r="A8" s="2">
        <v>4</v>
      </c>
      <c r="B8" s="14" t="s">
        <v>17</v>
      </c>
      <c r="C8" s="14" t="s">
        <v>279</v>
      </c>
      <c r="D8" s="14" t="s">
        <v>2</v>
      </c>
      <c r="E8" s="14" t="e">
        <f>CONCATENATE("R",QuarterPeriod)</f>
        <v>#NAME?</v>
      </c>
      <c r="F8" s="14" t="s">
        <v>97</v>
      </c>
      <c r="G8" s="14">
        <v>90</v>
      </c>
      <c r="H8" s="14"/>
      <c r="I8" s="14"/>
      <c r="J8" s="14"/>
      <c r="K8" s="14"/>
      <c r="L8" s="14"/>
      <c r="M8" s="14"/>
      <c r="N8" s="14"/>
      <c r="O8" s="14"/>
      <c r="P8" s="14"/>
      <c r="Q8" s="14" t="s">
        <v>274</v>
      </c>
      <c r="S8" s="5" t="s">
        <v>87</v>
      </c>
      <c r="T8" s="5">
        <v>1</v>
      </c>
      <c r="U8" s="5" t="s">
        <v>88</v>
      </c>
    </row>
    <row r="9" spans="1:46" x14ac:dyDescent="0.25">
      <c r="A9" s="2">
        <v>5</v>
      </c>
      <c r="B9" s="15" t="s">
        <v>55</v>
      </c>
      <c r="C9" s="25" t="s">
        <v>265</v>
      </c>
      <c r="D9" s="15" t="e">
        <f>Period</f>
        <v>#NAME?</v>
      </c>
      <c r="E9" s="15">
        <v>0</v>
      </c>
      <c r="F9" s="15">
        <v>0</v>
      </c>
      <c r="G9" s="15" t="e">
        <f>UnitCells-1</f>
        <v>#NAME?</v>
      </c>
      <c r="H9" s="15"/>
      <c r="I9" s="15"/>
      <c r="J9" s="15"/>
      <c r="K9" s="15"/>
      <c r="L9" s="15"/>
      <c r="M9" s="15"/>
      <c r="N9" s="15"/>
      <c r="O9" s="15"/>
      <c r="P9" s="15"/>
      <c r="Q9" s="16" t="s">
        <v>275</v>
      </c>
      <c r="S9" s="5" t="s">
        <v>188</v>
      </c>
      <c r="T9" s="5" t="s">
        <v>199</v>
      </c>
      <c r="U9" s="5"/>
    </row>
    <row r="10" spans="1:46" x14ac:dyDescent="0.25">
      <c r="A10" s="2">
        <v>6</v>
      </c>
      <c r="B10" s="3" t="s">
        <v>55</v>
      </c>
      <c r="C10" s="48" t="s">
        <v>281</v>
      </c>
      <c r="D10" s="3">
        <v>0</v>
      </c>
      <c r="E10" s="3">
        <v>0</v>
      </c>
      <c r="F10" s="3" t="e">
        <f>SecondLayerOffset</f>
        <v>#NAME?</v>
      </c>
      <c r="G10" s="3" t="e">
        <f>NumberOfLayers-1</f>
        <v>#NAME?</v>
      </c>
      <c r="H10" s="3"/>
      <c r="I10" s="3"/>
      <c r="J10" s="3"/>
      <c r="K10" s="3"/>
      <c r="L10" s="3"/>
      <c r="M10" s="3"/>
      <c r="N10" s="3"/>
      <c r="O10" s="3"/>
      <c r="P10" s="3"/>
      <c r="Q10" s="45" t="s">
        <v>276</v>
      </c>
      <c r="S10" s="5" t="s">
        <v>189</v>
      </c>
      <c r="T10" s="5">
        <v>0</v>
      </c>
      <c r="U10" s="5"/>
    </row>
    <row r="11" spans="1:46" x14ac:dyDescent="0.25">
      <c r="A11" s="2">
        <v>7</v>
      </c>
      <c r="B11" s="8" t="s">
        <v>52</v>
      </c>
      <c r="C11" s="8">
        <v>6</v>
      </c>
      <c r="D11" s="70" t="s">
        <v>435</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115</v>
      </c>
      <c r="M11" s="8" t="s">
        <v>115</v>
      </c>
      <c r="N11" s="8"/>
      <c r="O11" s="8"/>
      <c r="P11" s="8"/>
      <c r="Q11" s="9" t="s">
        <v>278</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333</v>
      </c>
      <c r="T12" s="5">
        <v>60</v>
      </c>
      <c r="U12" s="5" t="s">
        <v>43</v>
      </c>
      <c r="V12" s="1"/>
    </row>
    <row r="13" spans="1:46" ht="14.45" customHeight="1" x14ac:dyDescent="0.25">
      <c r="A13" s="2">
        <v>9</v>
      </c>
      <c r="B13" s="29"/>
      <c r="C13" s="147" t="s">
        <v>337</v>
      </c>
      <c r="D13" s="147"/>
      <c r="E13" s="147"/>
      <c r="F13" s="147"/>
      <c r="G13" s="147"/>
      <c r="H13" s="147"/>
      <c r="I13" s="147"/>
      <c r="J13" s="147"/>
      <c r="K13" s="147"/>
      <c r="L13" s="147"/>
      <c r="M13" s="147"/>
      <c r="N13" s="147"/>
      <c r="O13" s="29"/>
      <c r="P13" s="29"/>
      <c r="Q13" s="29"/>
      <c r="S13" s="5" t="s">
        <v>84</v>
      </c>
      <c r="T13" s="5">
        <v>1000</v>
      </c>
      <c r="U13" s="5" t="s">
        <v>45</v>
      </c>
    </row>
    <row r="14" spans="1:46" x14ac:dyDescent="0.25">
      <c r="A14" s="2">
        <v>10</v>
      </c>
      <c r="B14" s="29"/>
      <c r="C14" s="147" t="s">
        <v>331</v>
      </c>
      <c r="D14" s="147"/>
      <c r="E14" s="147"/>
      <c r="F14" s="147"/>
      <c r="G14" s="147"/>
      <c r="H14" s="147"/>
      <c r="I14" s="147"/>
      <c r="J14" s="147"/>
      <c r="K14" s="147"/>
      <c r="L14" s="147"/>
      <c r="M14" s="147"/>
      <c r="N14" s="147"/>
      <c r="O14" s="29"/>
      <c r="P14" s="29"/>
      <c r="Q14" s="29"/>
      <c r="S14" s="5" t="s">
        <v>85</v>
      </c>
      <c r="T14" s="5">
        <v>9000</v>
      </c>
      <c r="U14" s="5" t="s">
        <v>45</v>
      </c>
    </row>
    <row r="15" spans="1:46" x14ac:dyDescent="0.25">
      <c r="A15" s="2">
        <v>11</v>
      </c>
      <c r="B15" s="29"/>
      <c r="C15" s="148" t="s">
        <v>332</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436</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437</v>
      </c>
      <c r="D17" s="148"/>
      <c r="E17" s="148"/>
      <c r="F17" s="148"/>
      <c r="G17" s="148"/>
      <c r="H17" s="148"/>
      <c r="I17" s="148"/>
      <c r="J17" s="148"/>
      <c r="K17" s="148"/>
      <c r="L17" s="148"/>
      <c r="M17" s="148"/>
      <c r="N17" s="148"/>
      <c r="O17" s="29"/>
      <c r="P17" s="29"/>
      <c r="Q17" s="29"/>
      <c r="S17" s="5" t="s">
        <v>46</v>
      </c>
      <c r="T17" s="5" t="s">
        <v>82</v>
      </c>
      <c r="U17" s="5" t="s">
        <v>89</v>
      </c>
    </row>
    <row r="18" spans="1:32" x14ac:dyDescent="0.25">
      <c r="A18" s="2">
        <v>14</v>
      </c>
      <c r="B18" s="29"/>
      <c r="C18" s="29"/>
      <c r="D18" s="29"/>
      <c r="E18" s="29"/>
      <c r="F18" s="29"/>
      <c r="G18" s="29"/>
      <c r="H18" s="29"/>
      <c r="I18" s="29"/>
      <c r="J18" s="29"/>
      <c r="K18" s="29"/>
      <c r="L18" s="29"/>
      <c r="M18" s="29"/>
      <c r="N18" s="29"/>
      <c r="O18" s="29"/>
      <c r="P18" s="29"/>
      <c r="Q18" s="29"/>
      <c r="S18" s="5" t="s">
        <v>105</v>
      </c>
      <c r="T18" s="5" t="s">
        <v>148</v>
      </c>
      <c r="U18" s="5"/>
    </row>
    <row r="19" spans="1:32" x14ac:dyDescent="0.25">
      <c r="A19" s="2">
        <v>15</v>
      </c>
      <c r="B19" s="29"/>
      <c r="C19" s="29"/>
      <c r="D19" s="29"/>
      <c r="E19" s="29"/>
      <c r="F19" s="29"/>
      <c r="G19" s="29"/>
      <c r="H19" s="29"/>
      <c r="I19" s="29"/>
      <c r="J19" s="29"/>
      <c r="K19" s="29"/>
      <c r="L19" s="29"/>
      <c r="M19" s="29"/>
      <c r="N19" s="29"/>
      <c r="O19" s="29"/>
      <c r="P19" s="29"/>
      <c r="Q19" s="29"/>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321</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266</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267</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174</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175</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131</v>
      </c>
      <c r="T40" s="75">
        <v>4</v>
      </c>
      <c r="U40" s="92" t="s">
        <v>88</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269</v>
      </c>
      <c r="T42" s="75">
        <v>40</v>
      </c>
      <c r="U42" s="92" t="s">
        <v>88</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98</v>
      </c>
      <c r="T43" s="75">
        <v>90</v>
      </c>
      <c r="U43" s="92" t="s">
        <v>132</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106</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106</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322</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99</v>
      </c>
      <c r="T49" s="77" t="e">
        <f>ArcAngle/2</f>
        <v>#NAME?</v>
      </c>
      <c r="U49" s="92" t="s">
        <v>132</v>
      </c>
    </row>
    <row r="50" spans="1:46" x14ac:dyDescent="0.25">
      <c r="S50" s="77" t="s">
        <v>271</v>
      </c>
      <c r="T50" s="77" t="e">
        <f>NumberOfLayers*SecondLayerOffset</f>
        <v>#NAME?</v>
      </c>
      <c r="U50" s="92" t="s">
        <v>44</v>
      </c>
    </row>
    <row r="51" spans="1:46" x14ac:dyDescent="0.25">
      <c r="S51" s="77" t="s">
        <v>270</v>
      </c>
      <c r="T51" s="77">
        <f>_xlfn.SINGLE(Height)/2</f>
        <v>7.65</v>
      </c>
      <c r="U51" s="92" t="s">
        <v>44</v>
      </c>
    </row>
    <row r="53" spans="1:46" x14ac:dyDescent="0.25">
      <c r="A53" s="58" t="s">
        <v>124</v>
      </c>
      <c r="B53" s="2" t="s">
        <v>317</v>
      </c>
      <c r="C53" s="58" t="s">
        <v>123</v>
      </c>
      <c r="D53" s="2" t="s">
        <v>329</v>
      </c>
      <c r="E53" s="29"/>
      <c r="F53" s="29"/>
      <c r="G53" s="29"/>
      <c r="H53" s="29"/>
      <c r="I53" s="29"/>
      <c r="J53" s="29"/>
      <c r="K53" s="29"/>
      <c r="L53" s="29"/>
      <c r="M53" s="29"/>
      <c r="N53" s="29"/>
      <c r="O53" s="29"/>
      <c r="P53" s="29"/>
      <c r="AO53" t="s">
        <v>125</v>
      </c>
      <c r="AP53" t="s">
        <v>316</v>
      </c>
      <c r="AQ53" t="s">
        <v>124</v>
      </c>
      <c r="AR53" t="s">
        <v>317</v>
      </c>
      <c r="AS53" t="s">
        <v>123</v>
      </c>
      <c r="AT53" t="s">
        <v>329</v>
      </c>
    </row>
    <row r="54" spans="1:46" x14ac:dyDescent="0.25">
      <c r="A54" s="40" t="s">
        <v>0</v>
      </c>
      <c r="B54" s="41"/>
      <c r="C54" s="18"/>
      <c r="D54" s="18"/>
      <c r="E54" s="18"/>
      <c r="F54" s="18"/>
      <c r="G54" s="18"/>
      <c r="H54" s="18"/>
      <c r="I54" s="18"/>
      <c r="J54" s="18"/>
      <c r="K54" s="18"/>
      <c r="L54" s="18"/>
      <c r="M54" s="18"/>
      <c r="N54" s="18"/>
      <c r="O54" s="18"/>
      <c r="P54" s="18"/>
      <c r="Q54" s="58" t="s">
        <v>284</v>
      </c>
    </row>
    <row r="55" spans="1:46" x14ac:dyDescent="0.25">
      <c r="A55" s="20">
        <v>1</v>
      </c>
      <c r="B55" s="28" t="s">
        <v>1</v>
      </c>
      <c r="C55" s="28" t="s">
        <v>18</v>
      </c>
      <c r="D55" s="28">
        <v>50</v>
      </c>
      <c r="E55" s="28">
        <v>50</v>
      </c>
      <c r="F55" s="28">
        <v>0</v>
      </c>
      <c r="G55" s="28" t="s">
        <v>97</v>
      </c>
      <c r="H55" s="28" t="s">
        <v>121</v>
      </c>
      <c r="I55" s="28" t="s">
        <v>97</v>
      </c>
      <c r="J55" s="28" t="s">
        <v>19</v>
      </c>
      <c r="K55" s="28" t="e">
        <f>ShoulderThickness</f>
        <v>#NAME?</v>
      </c>
      <c r="L55" s="28">
        <f>_xlfn.SINGLE(LayerHeight)</f>
        <v>1</v>
      </c>
      <c r="M55" s="28"/>
      <c r="N55" s="28"/>
      <c r="O55" s="28"/>
      <c r="P55" s="28"/>
      <c r="Q55" s="6" t="s">
        <v>305</v>
      </c>
      <c r="S55" s="95" t="s">
        <v>40</v>
      </c>
      <c r="T55" s="3"/>
      <c r="U55" s="5"/>
    </row>
    <row r="56" spans="1:46" x14ac:dyDescent="0.25">
      <c r="A56" s="20">
        <v>2</v>
      </c>
      <c r="B56" s="26" t="s">
        <v>54</v>
      </c>
      <c r="C56" s="19" t="s">
        <v>285</v>
      </c>
      <c r="D56" s="26">
        <f>50+(45/2)</f>
        <v>72.5</v>
      </c>
      <c r="E56" s="26">
        <f>50+(45/2)</f>
        <v>72.5</v>
      </c>
      <c r="F56" s="26">
        <v>-90</v>
      </c>
      <c r="G56" s="26">
        <v>0</v>
      </c>
      <c r="H56" s="26">
        <v>3</v>
      </c>
      <c r="I56" s="26"/>
      <c r="J56" s="26"/>
      <c r="K56" s="26"/>
      <c r="L56" s="26"/>
      <c r="M56" s="26"/>
      <c r="N56" s="26"/>
      <c r="O56" s="26"/>
      <c r="P56" s="26"/>
      <c r="Q56" s="24" t="s">
        <v>306</v>
      </c>
      <c r="S56" s="5" t="s">
        <v>95</v>
      </c>
      <c r="T56" s="5">
        <v>0.2</v>
      </c>
      <c r="U56" s="5" t="s">
        <v>44</v>
      </c>
    </row>
    <row r="57" spans="1:46" x14ac:dyDescent="0.25">
      <c r="A57" s="20">
        <v>3</v>
      </c>
      <c r="B57" s="23" t="s">
        <v>55</v>
      </c>
      <c r="C57" s="22" t="s">
        <v>280</v>
      </c>
      <c r="D57" s="23">
        <v>0</v>
      </c>
      <c r="E57" s="23">
        <v>0</v>
      </c>
      <c r="F57" s="23">
        <f>_xlfn.SINGLE(LayerHeight)</f>
        <v>1</v>
      </c>
      <c r="G57" s="23">
        <f>(45/_xlfn.SINGLE(LayerHeight))-1</f>
        <v>44</v>
      </c>
      <c r="H57" s="23"/>
      <c r="I57" s="23"/>
      <c r="J57" s="23"/>
      <c r="K57" s="23"/>
      <c r="L57" s="23"/>
      <c r="M57" s="23"/>
      <c r="N57" s="23"/>
      <c r="O57" s="23"/>
      <c r="P57" s="23"/>
      <c r="Q57" s="7" t="s">
        <v>307</v>
      </c>
      <c r="S57" s="5" t="s">
        <v>86</v>
      </c>
      <c r="T57" s="5">
        <v>1</v>
      </c>
      <c r="U57" s="5" t="s">
        <v>88</v>
      </c>
    </row>
    <row r="58" spans="1:46" x14ac:dyDescent="0.25">
      <c r="A58" s="20">
        <v>4</v>
      </c>
      <c r="B58" s="35" t="s">
        <v>52</v>
      </c>
      <c r="C58" s="35">
        <v>3</v>
      </c>
      <c r="D58" s="36" t="s">
        <v>22</v>
      </c>
      <c r="E58" s="35">
        <f>14/_xlfn.SINGLE(LayerHeight)-1</f>
        <v>13</v>
      </c>
      <c r="F58" s="35">
        <f>(14+1.4)/_xlfn.SINGLE(LayerHeight)-1</f>
        <v>14.4</v>
      </c>
      <c r="G58" s="35" t="s">
        <v>24</v>
      </c>
      <c r="H58" s="35" t="e">
        <f>-(ShoulderThickness-GaugeThickness)/(F58-E58)</f>
        <v>#NAME?</v>
      </c>
      <c r="I58" s="35"/>
      <c r="J58" s="35"/>
      <c r="K58" s="35"/>
      <c r="L58" s="35"/>
      <c r="M58" s="35"/>
      <c r="N58" s="35"/>
      <c r="O58" s="35"/>
      <c r="P58" s="35"/>
      <c r="Q58" s="9" t="s">
        <v>309</v>
      </c>
      <c r="S58" s="5" t="s">
        <v>87</v>
      </c>
      <c r="T58" s="5">
        <v>1</v>
      </c>
      <c r="U58" s="5" t="s">
        <v>88</v>
      </c>
    </row>
    <row r="59" spans="1:46" x14ac:dyDescent="0.25">
      <c r="A59" s="20">
        <v>5</v>
      </c>
      <c r="B59" s="37" t="s">
        <v>52</v>
      </c>
      <c r="C59" s="37">
        <v>3</v>
      </c>
      <c r="D59" s="38" t="s">
        <v>22</v>
      </c>
      <c r="E59" s="37">
        <f>(14+1.4)/_xlfn.SINGLE(LayerHeight)-1</f>
        <v>14.4</v>
      </c>
      <c r="F59" s="37">
        <f>(14+1.4+14)/_xlfn.SINGLE(LayerHeight)-1</f>
        <v>28.4</v>
      </c>
      <c r="G59" s="37" t="s">
        <v>15</v>
      </c>
      <c r="H59" s="37" t="e">
        <f>GaugeThickness</f>
        <v>#NAME?</v>
      </c>
      <c r="I59" s="37"/>
      <c r="J59" s="37"/>
      <c r="K59" s="37"/>
      <c r="L59" s="37"/>
      <c r="M59" s="37"/>
      <c r="N59" s="37"/>
      <c r="O59" s="37"/>
      <c r="P59" s="37"/>
      <c r="Q59" s="17" t="s">
        <v>308</v>
      </c>
      <c r="S59" s="5" t="s">
        <v>188</v>
      </c>
      <c r="T59" s="5" t="s">
        <v>199</v>
      </c>
      <c r="U59" s="5"/>
    </row>
    <row r="60" spans="1:46" x14ac:dyDescent="0.25">
      <c r="A60" s="20">
        <v>6</v>
      </c>
      <c r="B60" s="27" t="s">
        <v>52</v>
      </c>
      <c r="C60" s="27">
        <v>3</v>
      </c>
      <c r="D60" s="39" t="s">
        <v>22</v>
      </c>
      <c r="E60" s="27">
        <f>(14+1.4+14)/_xlfn.SINGLE(LayerHeight)-1</f>
        <v>28.4</v>
      </c>
      <c r="F60" s="27">
        <f>(14+1.4+14+1.4)/_xlfn.SINGLE(LayerHeight)-1</f>
        <v>29.799999999999997</v>
      </c>
      <c r="G60" s="27" t="s">
        <v>15</v>
      </c>
      <c r="H60" s="27" t="e">
        <f>GaugeThickness</f>
        <v>#NAME?</v>
      </c>
      <c r="I60" s="27"/>
      <c r="J60" s="27"/>
      <c r="K60" s="27"/>
      <c r="L60" s="27"/>
      <c r="M60" s="27"/>
      <c r="N60" s="27"/>
      <c r="O60" s="27"/>
      <c r="P60" s="27"/>
      <c r="Q60" s="16" t="s">
        <v>311</v>
      </c>
      <c r="S60" s="5" t="s">
        <v>189</v>
      </c>
      <c r="T60" s="5">
        <v>0</v>
      </c>
      <c r="U60" s="5"/>
    </row>
    <row r="61" spans="1:46" x14ac:dyDescent="0.25">
      <c r="A61" s="20">
        <v>7</v>
      </c>
      <c r="B61" s="27" t="s">
        <v>52</v>
      </c>
      <c r="C61" s="27">
        <v>3</v>
      </c>
      <c r="D61" s="39" t="s">
        <v>22</v>
      </c>
      <c r="E61" s="27">
        <f>(14+1.4+14)/_xlfn.SINGLE(LayerHeight)-1</f>
        <v>28.4</v>
      </c>
      <c r="F61" s="27">
        <f>(14+1.4+14+1.4)/_xlfn.SINGLE(LayerHeight)-1</f>
        <v>29.799999999999997</v>
      </c>
      <c r="G61" s="27" t="s">
        <v>24</v>
      </c>
      <c r="H61" s="27" t="e">
        <f>(ShoulderThickness-GaugeThickness)/(F61-E61)</f>
        <v>#NAME?</v>
      </c>
      <c r="I61" s="27"/>
      <c r="J61" s="27"/>
      <c r="K61" s="27"/>
      <c r="L61" s="27"/>
      <c r="M61" s="27"/>
      <c r="N61" s="27"/>
      <c r="O61" s="27"/>
      <c r="P61" s="27"/>
      <c r="Q61" s="16" t="s">
        <v>310</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333</v>
      </c>
      <c r="T62" s="5">
        <v>60</v>
      </c>
      <c r="U62" s="5" t="s">
        <v>43</v>
      </c>
      <c r="V62" s="1"/>
    </row>
    <row r="63" spans="1:46" x14ac:dyDescent="0.25">
      <c r="A63" s="20">
        <v>9</v>
      </c>
      <c r="B63" s="20"/>
      <c r="C63" s="20"/>
      <c r="D63" s="20" t="s">
        <v>312</v>
      </c>
      <c r="E63" s="20"/>
      <c r="F63" s="46" t="s">
        <v>313</v>
      </c>
      <c r="G63" s="20"/>
      <c r="H63" s="20"/>
      <c r="I63" s="20"/>
      <c r="J63" s="20"/>
      <c r="K63" s="20"/>
      <c r="L63" s="20"/>
      <c r="M63" s="20"/>
      <c r="N63" s="20"/>
      <c r="O63" s="20"/>
      <c r="P63" s="20"/>
      <c r="Q63" s="20"/>
      <c r="S63" s="5" t="s">
        <v>84</v>
      </c>
      <c r="T63" s="5">
        <v>1000</v>
      </c>
      <c r="U63" s="5" t="s">
        <v>45</v>
      </c>
    </row>
    <row r="64" spans="1:46" x14ac:dyDescent="0.25">
      <c r="A64" s="20">
        <v>10</v>
      </c>
      <c r="B64" s="20"/>
      <c r="C64" s="20"/>
      <c r="D64" s="20"/>
      <c r="E64" s="20"/>
      <c r="F64" s="46" t="s">
        <v>314</v>
      </c>
      <c r="G64" s="20"/>
      <c r="H64" s="20"/>
      <c r="I64" s="20"/>
      <c r="J64" s="20"/>
      <c r="K64" s="20"/>
      <c r="L64" s="20"/>
      <c r="M64" s="20"/>
      <c r="N64" s="20"/>
      <c r="O64" s="20"/>
      <c r="P64" s="20"/>
      <c r="Q64" s="20"/>
      <c r="S64" s="5" t="s">
        <v>85</v>
      </c>
      <c r="T64" s="5">
        <v>9000</v>
      </c>
      <c r="U64" s="5" t="s">
        <v>45</v>
      </c>
    </row>
    <row r="65" spans="1:22" x14ac:dyDescent="0.25">
      <c r="A65" s="20">
        <v>11</v>
      </c>
      <c r="B65" s="20"/>
      <c r="C65" s="20"/>
      <c r="D65" s="20"/>
      <c r="E65" s="20"/>
      <c r="F65" s="46" t="s">
        <v>315</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89</v>
      </c>
    </row>
    <row r="68" spans="1:22" x14ac:dyDescent="0.25">
      <c r="A68" s="29"/>
      <c r="B68" s="29"/>
      <c r="C68" s="29"/>
      <c r="D68" s="29"/>
      <c r="E68" s="29"/>
      <c r="F68" s="29"/>
      <c r="G68" s="29"/>
      <c r="H68" s="29"/>
      <c r="I68" s="29"/>
      <c r="J68" s="29"/>
      <c r="K68" s="29"/>
      <c r="L68" s="29"/>
      <c r="M68" s="29"/>
      <c r="N68" s="29"/>
      <c r="O68" s="29"/>
      <c r="P68" s="29"/>
      <c r="Q68" s="29"/>
      <c r="S68" s="5" t="s">
        <v>105</v>
      </c>
      <c r="T68" s="5" t="s">
        <v>148</v>
      </c>
      <c r="U68" s="5"/>
    </row>
    <row r="69" spans="1:22" x14ac:dyDescent="0.25">
      <c r="A69" s="29"/>
      <c r="B69" s="29"/>
      <c r="C69" s="29"/>
      <c r="D69" s="29"/>
      <c r="E69" s="29"/>
      <c r="F69" s="29"/>
      <c r="G69" s="29"/>
      <c r="H69" s="29"/>
      <c r="I69" s="29"/>
      <c r="J69" s="29"/>
      <c r="K69" s="29"/>
      <c r="L69" s="29"/>
      <c r="M69" s="29"/>
      <c r="N69" s="29"/>
      <c r="O69" s="29"/>
      <c r="P69" s="29"/>
      <c r="Q69" s="29"/>
      <c r="S69" s="5" t="s">
        <v>147</v>
      </c>
      <c r="T69" s="5" t="s">
        <v>120</v>
      </c>
      <c r="U69" s="5"/>
    </row>
    <row r="70" spans="1:22" x14ac:dyDescent="0.25">
      <c r="A70" s="29"/>
      <c r="B70" s="29"/>
      <c r="C70" s="29"/>
      <c r="D70" s="29"/>
      <c r="E70" s="29"/>
      <c r="F70" s="29"/>
      <c r="G70" s="29"/>
      <c r="H70" s="29"/>
      <c r="I70" s="29"/>
      <c r="J70" s="29"/>
      <c r="K70" s="29"/>
      <c r="L70" s="29"/>
      <c r="M70" s="29"/>
      <c r="N70" s="29"/>
      <c r="O70" s="29"/>
      <c r="P70" s="29"/>
      <c r="Q70" s="29"/>
      <c r="S70" s="5" t="s">
        <v>162</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163</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164</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334</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149</v>
      </c>
      <c r="T74" s="5" t="s">
        <v>161</v>
      </c>
      <c r="U74" s="5" t="s">
        <v>153</v>
      </c>
    </row>
    <row r="75" spans="1:22" x14ac:dyDescent="0.25">
      <c r="A75" s="29"/>
      <c r="B75" s="29"/>
      <c r="C75" s="29"/>
      <c r="D75" s="29"/>
      <c r="E75" s="29"/>
      <c r="F75" s="29"/>
      <c r="G75" s="29"/>
      <c r="H75" s="29"/>
      <c r="I75" s="29"/>
      <c r="J75" s="29"/>
      <c r="K75" s="29"/>
      <c r="L75" s="29"/>
      <c r="M75" s="29"/>
      <c r="N75" s="29"/>
      <c r="O75" s="29"/>
      <c r="P75" s="29"/>
      <c r="Q75" s="29"/>
      <c r="S75" s="5" t="s">
        <v>154</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155</v>
      </c>
      <c r="T76" s="5">
        <v>7</v>
      </c>
      <c r="U76" s="5" t="s">
        <v>89</v>
      </c>
    </row>
    <row r="77" spans="1:22" x14ac:dyDescent="0.25">
      <c r="A77" s="29"/>
      <c r="B77" s="29"/>
      <c r="C77" s="29"/>
      <c r="D77" s="29"/>
      <c r="E77" s="29"/>
      <c r="F77" s="29"/>
      <c r="G77" s="29"/>
      <c r="H77" s="29"/>
      <c r="I77" s="29"/>
      <c r="J77" s="29"/>
      <c r="K77" s="29"/>
      <c r="L77" s="29"/>
      <c r="M77" s="29"/>
      <c r="N77" s="29"/>
      <c r="O77" s="29"/>
      <c r="P77" s="29"/>
      <c r="Q77" s="29"/>
      <c r="S77" s="5" t="s">
        <v>156</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157</v>
      </c>
      <c r="T78" s="5">
        <f>-T76</f>
        <v>-7</v>
      </c>
      <c r="U78" s="5" t="s">
        <v>89</v>
      </c>
    </row>
    <row r="79" spans="1:22" x14ac:dyDescent="0.25">
      <c r="A79" s="29"/>
      <c r="B79" s="29"/>
      <c r="C79" s="29"/>
      <c r="D79" s="29"/>
      <c r="E79" s="29"/>
      <c r="F79" s="29"/>
      <c r="G79" s="29"/>
      <c r="H79" s="29"/>
      <c r="I79" s="29"/>
      <c r="J79" s="29"/>
      <c r="K79" s="29"/>
      <c r="L79" s="29"/>
      <c r="M79" s="29"/>
      <c r="N79" s="29"/>
      <c r="O79" s="29"/>
      <c r="P79" s="29"/>
      <c r="Q79" s="29"/>
      <c r="S79" s="3" t="s">
        <v>158</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159</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160</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287</v>
      </c>
      <c r="T83" s="96" t="s">
        <v>288</v>
      </c>
      <c r="U83" s="97" t="s">
        <v>326</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304</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302</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303</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124</v>
      </c>
      <c r="B89" s="2" t="s">
        <v>319</v>
      </c>
      <c r="C89" s="58" t="s">
        <v>123</v>
      </c>
      <c r="D89" s="2" t="s">
        <v>329</v>
      </c>
      <c r="E89" s="29"/>
      <c r="F89" s="29"/>
      <c r="G89" s="29"/>
      <c r="H89" s="29"/>
      <c r="I89" s="29"/>
      <c r="J89" s="29"/>
      <c r="K89" s="29"/>
      <c r="L89" s="29"/>
      <c r="M89" s="29"/>
      <c r="N89" s="29"/>
      <c r="O89" s="29"/>
      <c r="P89" s="29"/>
      <c r="AO89" t="s">
        <v>125</v>
      </c>
      <c r="AP89" t="s">
        <v>320</v>
      </c>
      <c r="AQ89" t="s">
        <v>124</v>
      </c>
      <c r="AR89" t="s">
        <v>319</v>
      </c>
      <c r="AS89" t="s">
        <v>123</v>
      </c>
      <c r="AT89" t="s">
        <v>329</v>
      </c>
    </row>
    <row r="90" spans="1:46" x14ac:dyDescent="0.25">
      <c r="A90" s="40" t="s">
        <v>0</v>
      </c>
      <c r="B90" s="41"/>
      <c r="C90" s="18"/>
      <c r="D90" s="18"/>
      <c r="E90" s="18"/>
      <c r="F90" s="18"/>
      <c r="G90" s="18"/>
      <c r="H90" s="18"/>
      <c r="I90" s="18"/>
      <c r="J90" s="18"/>
      <c r="K90" s="18"/>
      <c r="L90" s="18"/>
      <c r="M90" s="18"/>
      <c r="N90" s="18"/>
      <c r="O90" s="18"/>
      <c r="P90" s="18"/>
      <c r="Q90" s="58" t="s">
        <v>284</v>
      </c>
    </row>
    <row r="91" spans="1:46" x14ac:dyDescent="0.25">
      <c r="A91" s="20">
        <v>1</v>
      </c>
      <c r="B91" s="42" t="s">
        <v>108</v>
      </c>
      <c r="C91" s="42" t="s">
        <v>327</v>
      </c>
      <c r="D91" s="42" t="s">
        <v>328</v>
      </c>
      <c r="E91" s="42" t="s">
        <v>111</v>
      </c>
      <c r="F91" s="42" t="s">
        <v>110</v>
      </c>
      <c r="G91" s="42">
        <v>250</v>
      </c>
      <c r="H91" s="42">
        <f>G91*40</f>
        <v>10000</v>
      </c>
      <c r="I91" s="42">
        <v>0.5</v>
      </c>
      <c r="J91" s="42">
        <v>0.2</v>
      </c>
      <c r="K91" s="42"/>
      <c r="L91" s="42"/>
      <c r="M91" s="42"/>
      <c r="N91" s="42"/>
      <c r="O91" s="42"/>
      <c r="P91" s="42"/>
      <c r="Q91" s="42" t="s">
        <v>318</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95</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86</v>
      </c>
      <c r="T93" s="5">
        <v>1</v>
      </c>
      <c r="U93" s="5" t="s">
        <v>88</v>
      </c>
    </row>
    <row r="94" spans="1:46" x14ac:dyDescent="0.25">
      <c r="A94" s="20">
        <v>4</v>
      </c>
      <c r="B94" s="20"/>
      <c r="C94" s="20"/>
      <c r="D94" s="20"/>
      <c r="E94" s="20"/>
      <c r="F94" s="20"/>
      <c r="G94" s="20"/>
      <c r="H94" s="20"/>
      <c r="I94" s="20"/>
      <c r="J94" s="20"/>
      <c r="K94" s="20"/>
      <c r="L94" s="20"/>
      <c r="M94" s="20"/>
      <c r="N94" s="20"/>
      <c r="O94" s="20"/>
      <c r="P94" s="20"/>
      <c r="Q94" s="20"/>
      <c r="S94" s="5" t="s">
        <v>87</v>
      </c>
      <c r="T94" s="5">
        <v>1</v>
      </c>
      <c r="U94" s="5" t="s">
        <v>88</v>
      </c>
    </row>
    <row r="95" spans="1:46" x14ac:dyDescent="0.25">
      <c r="A95" s="20">
        <v>5</v>
      </c>
      <c r="B95" s="20"/>
      <c r="C95" s="20"/>
      <c r="D95" s="20"/>
      <c r="E95" s="20"/>
      <c r="F95" s="20"/>
      <c r="G95" s="20"/>
      <c r="H95" s="20"/>
      <c r="I95" s="20"/>
      <c r="J95" s="20"/>
      <c r="K95" s="20"/>
      <c r="L95" s="20"/>
      <c r="M95" s="20"/>
      <c r="N95" s="20"/>
      <c r="O95" s="20"/>
      <c r="P95" s="20"/>
      <c r="Q95" s="20"/>
      <c r="S95" s="5" t="s">
        <v>188</v>
      </c>
      <c r="T95" s="5" t="s">
        <v>199</v>
      </c>
      <c r="U95" s="5"/>
    </row>
    <row r="96" spans="1:46" x14ac:dyDescent="0.25">
      <c r="A96" s="20">
        <v>6</v>
      </c>
      <c r="B96" s="20"/>
      <c r="C96" s="20"/>
      <c r="D96" s="20"/>
      <c r="E96" s="20"/>
      <c r="F96" s="20"/>
      <c r="G96" s="20"/>
      <c r="H96" s="20"/>
      <c r="I96" s="20"/>
      <c r="J96" s="20"/>
      <c r="K96" s="20"/>
      <c r="L96" s="20"/>
      <c r="M96" s="20"/>
      <c r="N96" s="20"/>
      <c r="O96" s="20"/>
      <c r="P96" s="20"/>
      <c r="Q96" s="20"/>
      <c r="S96" s="5" t="s">
        <v>189</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333</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84</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85</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89</v>
      </c>
    </row>
    <row r="104" spans="1:22" x14ac:dyDescent="0.25">
      <c r="A104" s="29"/>
      <c r="B104" s="29"/>
      <c r="C104" s="29"/>
      <c r="D104" s="29"/>
      <c r="E104" s="29"/>
      <c r="F104" s="29"/>
      <c r="G104" s="29"/>
      <c r="H104" s="29"/>
      <c r="I104" s="29"/>
      <c r="J104" s="29"/>
      <c r="K104" s="29"/>
      <c r="L104" s="29"/>
      <c r="M104" s="29"/>
      <c r="N104" s="29"/>
      <c r="O104" s="29"/>
      <c r="P104" s="29"/>
      <c r="Q104" s="29"/>
      <c r="S104" s="5" t="s">
        <v>105</v>
      </c>
      <c r="T104" s="5" t="s">
        <v>148</v>
      </c>
      <c r="U104" s="5"/>
    </row>
    <row r="105" spans="1:22" x14ac:dyDescent="0.25">
      <c r="A105" s="29"/>
      <c r="B105" s="29"/>
      <c r="C105" s="29"/>
      <c r="D105" s="29"/>
      <c r="E105" s="29"/>
      <c r="F105" s="29"/>
      <c r="G105" s="29"/>
      <c r="H105" s="29"/>
      <c r="I105" s="29"/>
      <c r="J105" s="29"/>
      <c r="K105" s="29"/>
      <c r="L105" s="29"/>
      <c r="M105" s="29"/>
      <c r="N105" s="29"/>
      <c r="O105" s="29"/>
      <c r="P105" s="29"/>
      <c r="Q105" s="29"/>
      <c r="S105" s="5" t="s">
        <v>147</v>
      </c>
      <c r="T105" s="5" t="s">
        <v>120</v>
      </c>
      <c r="U105" s="5"/>
    </row>
    <row r="106" spans="1:22" x14ac:dyDescent="0.25">
      <c r="A106" s="29"/>
      <c r="B106" s="29"/>
      <c r="C106" s="29"/>
      <c r="D106" s="29"/>
      <c r="E106" s="29"/>
      <c r="F106" s="29"/>
      <c r="G106" s="29"/>
      <c r="H106" s="29"/>
      <c r="I106" s="29"/>
      <c r="J106" s="29"/>
      <c r="K106" s="29"/>
      <c r="L106" s="29"/>
      <c r="M106" s="29"/>
      <c r="N106" s="29"/>
      <c r="O106" s="29"/>
      <c r="P106" s="29"/>
      <c r="Q106" s="29"/>
      <c r="S106" s="5" t="s">
        <v>162</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163</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164</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334</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149</v>
      </c>
      <c r="T110" s="5" t="s">
        <v>161</v>
      </c>
      <c r="U110" s="5" t="s">
        <v>153</v>
      </c>
    </row>
    <row r="111" spans="1:22" x14ac:dyDescent="0.25">
      <c r="A111" s="29"/>
      <c r="B111" s="29"/>
      <c r="C111" s="29"/>
      <c r="D111" s="29"/>
      <c r="E111" s="29"/>
      <c r="F111" s="29"/>
      <c r="G111" s="29"/>
      <c r="H111" s="29"/>
      <c r="I111" s="29"/>
      <c r="J111" s="29"/>
      <c r="K111" s="29"/>
      <c r="L111" s="29"/>
      <c r="M111" s="29"/>
      <c r="N111" s="29"/>
      <c r="O111" s="29"/>
      <c r="P111" s="29"/>
      <c r="Q111" s="29"/>
      <c r="S111" s="5" t="s">
        <v>154</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155</v>
      </c>
      <c r="T112" s="5">
        <v>7</v>
      </c>
      <c r="U112" s="5" t="s">
        <v>89</v>
      </c>
    </row>
    <row r="113" spans="1:46" x14ac:dyDescent="0.25">
      <c r="A113" s="29"/>
      <c r="B113" s="29"/>
      <c r="C113" s="29"/>
      <c r="D113" s="29"/>
      <c r="E113" s="29"/>
      <c r="F113" s="29"/>
      <c r="G113" s="29"/>
      <c r="H113" s="29"/>
      <c r="I113" s="29"/>
      <c r="J113" s="29"/>
      <c r="K113" s="29"/>
      <c r="L113" s="29"/>
      <c r="M113" s="29"/>
      <c r="N113" s="29"/>
      <c r="O113" s="29"/>
      <c r="P113" s="29"/>
      <c r="Q113" s="29"/>
      <c r="S113" s="5" t="s">
        <v>156</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157</v>
      </c>
      <c r="T114" s="5">
        <f>-T112</f>
        <v>-7</v>
      </c>
      <c r="U114" s="5" t="s">
        <v>89</v>
      </c>
    </row>
    <row r="115" spans="1:46" x14ac:dyDescent="0.25">
      <c r="A115" s="29"/>
      <c r="B115" s="29"/>
      <c r="C115" s="29"/>
      <c r="D115" s="29"/>
      <c r="E115" s="29"/>
      <c r="F115" s="29"/>
      <c r="G115" s="29"/>
      <c r="H115" s="29"/>
      <c r="I115" s="29"/>
      <c r="J115" s="29"/>
      <c r="K115" s="29"/>
      <c r="L115" s="29"/>
      <c r="M115" s="29"/>
      <c r="N115" s="29"/>
      <c r="O115" s="29"/>
      <c r="P115" s="29"/>
      <c r="Q115" s="29"/>
      <c r="S115" s="3" t="s">
        <v>158</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159</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160</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287</v>
      </c>
      <c r="T119" s="96" t="s">
        <v>288</v>
      </c>
      <c r="U119" s="97" t="s">
        <v>326</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325</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124</v>
      </c>
      <c r="B125" s="2" t="s">
        <v>294</v>
      </c>
      <c r="C125" s="58" t="s">
        <v>123</v>
      </c>
      <c r="D125" s="2" t="s">
        <v>329</v>
      </c>
      <c r="E125" s="29"/>
      <c r="F125" s="29"/>
      <c r="G125" s="29"/>
      <c r="H125" s="29"/>
      <c r="I125" s="29"/>
      <c r="J125" s="29"/>
      <c r="K125" s="29"/>
      <c r="L125" s="29"/>
      <c r="M125" s="29"/>
      <c r="N125" s="29"/>
      <c r="O125" s="29"/>
      <c r="P125" s="29"/>
      <c r="AO125" t="s">
        <v>125</v>
      </c>
      <c r="AP125" t="s">
        <v>295</v>
      </c>
      <c r="AQ125" t="s">
        <v>124</v>
      </c>
      <c r="AR125" t="s">
        <v>294</v>
      </c>
      <c r="AS125" t="s">
        <v>123</v>
      </c>
      <c r="AT125" t="s">
        <v>329</v>
      </c>
    </row>
    <row r="126" spans="1:46" x14ac:dyDescent="0.25">
      <c r="A126" s="40" t="s">
        <v>0</v>
      </c>
      <c r="B126" s="41"/>
      <c r="C126" s="18"/>
      <c r="D126" s="18"/>
      <c r="E126" s="18"/>
      <c r="F126" s="18"/>
      <c r="G126" s="18"/>
      <c r="H126" s="18"/>
      <c r="I126" s="18"/>
      <c r="J126" s="18"/>
      <c r="K126" s="18"/>
      <c r="L126" s="18"/>
      <c r="M126" s="18"/>
      <c r="N126" s="18"/>
      <c r="O126" s="18"/>
      <c r="P126" s="18"/>
      <c r="Q126" s="58" t="s">
        <v>284</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291</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292</v>
      </c>
      <c r="S128" s="5" t="s">
        <v>95</v>
      </c>
      <c r="T128" s="5">
        <v>0.2</v>
      </c>
      <c r="U128" s="5" t="s">
        <v>44</v>
      </c>
    </row>
    <row r="129" spans="1:22" x14ac:dyDescent="0.25">
      <c r="A129" s="20">
        <v>3</v>
      </c>
      <c r="B129" s="111" t="s">
        <v>286</v>
      </c>
      <c r="C129" s="42">
        <v>2</v>
      </c>
      <c r="D129" s="42">
        <v>1</v>
      </c>
      <c r="E129" s="42">
        <v>1</v>
      </c>
      <c r="F129" s="42" t="e">
        <f>Layers</f>
        <v>#NAME?</v>
      </c>
      <c r="G129" s="42" t="s">
        <v>133</v>
      </c>
      <c r="H129" s="42">
        <v>0</v>
      </c>
      <c r="I129" s="47" t="s">
        <v>110</v>
      </c>
      <c r="J129" s="47" t="s">
        <v>135</v>
      </c>
      <c r="K129" s="42" t="s">
        <v>115</v>
      </c>
      <c r="L129" s="42" t="s">
        <v>115</v>
      </c>
      <c r="M129" s="42"/>
      <c r="N129" s="42"/>
      <c r="O129" s="42"/>
      <c r="P129" s="42"/>
      <c r="Q129" s="4" t="s">
        <v>296</v>
      </c>
      <c r="S129" s="5" t="s">
        <v>86</v>
      </c>
      <c r="T129" s="5">
        <v>1</v>
      </c>
      <c r="U129" s="5" t="s">
        <v>88</v>
      </c>
    </row>
    <row r="130" spans="1:22" x14ac:dyDescent="0.25">
      <c r="A130" s="20">
        <v>4</v>
      </c>
      <c r="B130" s="42" t="s">
        <v>241</v>
      </c>
      <c r="C130" s="42" t="s">
        <v>22</v>
      </c>
      <c r="D130" s="42" t="s">
        <v>165</v>
      </c>
      <c r="E130" s="42">
        <f>C127</f>
        <v>50</v>
      </c>
      <c r="F130" s="42">
        <f>D127</f>
        <v>50</v>
      </c>
      <c r="G130" s="42">
        <v>0</v>
      </c>
      <c r="H130" s="42">
        <v>0</v>
      </c>
      <c r="I130" s="42" t="s">
        <v>256</v>
      </c>
      <c r="J130" s="42" t="s">
        <v>115</v>
      </c>
      <c r="K130" s="42" t="s">
        <v>115</v>
      </c>
      <c r="L130" s="42"/>
      <c r="M130" s="42"/>
      <c r="N130" s="42"/>
      <c r="O130" s="42"/>
      <c r="P130" s="42"/>
      <c r="Q130" s="4" t="s">
        <v>296</v>
      </c>
      <c r="S130" s="5" t="s">
        <v>87</v>
      </c>
      <c r="T130" s="5">
        <v>1</v>
      </c>
      <c r="U130" s="5" t="s">
        <v>88</v>
      </c>
    </row>
    <row r="131" spans="1:22" x14ac:dyDescent="0.25">
      <c r="A131" s="20">
        <v>5</v>
      </c>
      <c r="B131" s="20"/>
      <c r="C131" s="20"/>
      <c r="D131" s="20"/>
      <c r="E131" s="20"/>
      <c r="F131" s="20"/>
      <c r="G131" s="20"/>
      <c r="H131" s="20"/>
      <c r="I131" s="20"/>
      <c r="J131" s="20"/>
      <c r="K131" s="20"/>
      <c r="L131" s="20"/>
      <c r="M131" s="20"/>
      <c r="N131" s="20"/>
      <c r="O131" s="20"/>
      <c r="P131" s="20"/>
      <c r="Q131" s="20"/>
      <c r="S131" s="5" t="s">
        <v>188</v>
      </c>
      <c r="T131" s="5" t="s">
        <v>199</v>
      </c>
      <c r="U131" s="5"/>
    </row>
    <row r="132" spans="1:22" x14ac:dyDescent="0.25">
      <c r="A132" s="20">
        <v>6</v>
      </c>
      <c r="B132" s="20"/>
      <c r="C132" s="21" t="s">
        <v>330</v>
      </c>
      <c r="D132" s="21"/>
      <c r="E132" s="21"/>
      <c r="F132" s="21"/>
      <c r="G132" s="21"/>
      <c r="H132" s="21"/>
      <c r="I132" s="21"/>
      <c r="J132" s="20"/>
      <c r="K132" s="20"/>
      <c r="L132" s="20"/>
      <c r="M132" s="20"/>
      <c r="N132" s="20"/>
      <c r="O132" s="20"/>
      <c r="P132" s="20"/>
      <c r="Q132" s="20"/>
      <c r="S132" s="5" t="s">
        <v>189</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333</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84</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85</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89</v>
      </c>
    </row>
    <row r="140" spans="1:22" x14ac:dyDescent="0.25">
      <c r="A140" s="29"/>
      <c r="B140" s="29"/>
      <c r="C140" s="29"/>
      <c r="D140" s="29"/>
      <c r="E140" s="29"/>
      <c r="F140" s="29"/>
      <c r="G140" s="29"/>
      <c r="H140" s="29"/>
      <c r="I140" s="29"/>
      <c r="J140" s="29"/>
      <c r="K140" s="29"/>
      <c r="L140" s="29"/>
      <c r="M140" s="29"/>
      <c r="N140" s="29"/>
      <c r="O140" s="29"/>
      <c r="P140" s="29"/>
      <c r="Q140" s="29"/>
      <c r="S140" s="5" t="s">
        <v>105</v>
      </c>
      <c r="T140" s="5" t="s">
        <v>148</v>
      </c>
      <c r="U140" s="5"/>
    </row>
    <row r="141" spans="1:22" x14ac:dyDescent="0.25">
      <c r="A141" s="29"/>
      <c r="B141" s="29"/>
      <c r="C141" s="29"/>
      <c r="D141" s="29"/>
      <c r="E141" s="29"/>
      <c r="F141" s="29"/>
      <c r="G141" s="29"/>
      <c r="H141" s="29"/>
      <c r="I141" s="29"/>
      <c r="J141" s="29"/>
      <c r="K141" s="29"/>
      <c r="L141" s="29"/>
      <c r="M141" s="29"/>
      <c r="N141" s="29"/>
      <c r="O141" s="29"/>
      <c r="P141" s="29"/>
      <c r="Q141" s="29"/>
      <c r="S141" s="5" t="s">
        <v>147</v>
      </c>
      <c r="T141" s="5" t="s">
        <v>120</v>
      </c>
      <c r="U141" s="5"/>
    </row>
    <row r="142" spans="1:22" x14ac:dyDescent="0.25">
      <c r="A142" s="29"/>
      <c r="B142" s="29"/>
      <c r="C142" s="29"/>
      <c r="D142" s="29"/>
      <c r="E142" s="29"/>
      <c r="F142" s="29"/>
      <c r="G142" s="29"/>
      <c r="H142" s="29"/>
      <c r="I142" s="29"/>
      <c r="J142" s="29"/>
      <c r="K142" s="29"/>
      <c r="L142" s="29"/>
      <c r="M142" s="29"/>
      <c r="N142" s="29"/>
      <c r="O142" s="29"/>
      <c r="P142" s="29"/>
      <c r="Q142" s="29"/>
      <c r="S142" s="5" t="s">
        <v>162</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163</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164</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334</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149</v>
      </c>
      <c r="T146" s="5" t="s">
        <v>161</v>
      </c>
      <c r="U146" s="5" t="s">
        <v>153</v>
      </c>
    </row>
    <row r="147" spans="1:46" x14ac:dyDescent="0.25">
      <c r="A147" s="29"/>
      <c r="B147" s="29"/>
      <c r="C147" s="29"/>
      <c r="D147" s="29"/>
      <c r="E147" s="29"/>
      <c r="F147" s="29"/>
      <c r="G147" s="29"/>
      <c r="H147" s="29"/>
      <c r="I147" s="29"/>
      <c r="J147" s="29"/>
      <c r="K147" s="29"/>
      <c r="L147" s="29"/>
      <c r="M147" s="29"/>
      <c r="N147" s="29"/>
      <c r="O147" s="29"/>
      <c r="P147" s="29"/>
      <c r="Q147" s="29"/>
      <c r="S147" s="5" t="s">
        <v>154</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155</v>
      </c>
      <c r="T148" s="5">
        <v>7</v>
      </c>
      <c r="U148" s="5" t="s">
        <v>89</v>
      </c>
    </row>
    <row r="149" spans="1:46" x14ac:dyDescent="0.25">
      <c r="A149" s="29"/>
      <c r="B149" s="29"/>
      <c r="C149" s="29"/>
      <c r="D149" s="29"/>
      <c r="E149" s="29"/>
      <c r="F149" s="29"/>
      <c r="G149" s="29"/>
      <c r="H149" s="29"/>
      <c r="I149" s="29"/>
      <c r="J149" s="29"/>
      <c r="K149" s="29"/>
      <c r="L149" s="29"/>
      <c r="M149" s="29"/>
      <c r="N149" s="29"/>
      <c r="O149" s="29"/>
      <c r="P149" s="29"/>
      <c r="Q149" s="29"/>
      <c r="S149" s="5" t="s">
        <v>156</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157</v>
      </c>
      <c r="T150" s="5">
        <f>-T148</f>
        <v>-7</v>
      </c>
      <c r="U150" s="5" t="s">
        <v>89</v>
      </c>
    </row>
    <row r="151" spans="1:46" x14ac:dyDescent="0.25">
      <c r="A151" s="29"/>
      <c r="B151" s="29"/>
      <c r="C151" s="29"/>
      <c r="D151" s="29"/>
      <c r="E151" s="29"/>
      <c r="F151" s="29"/>
      <c r="G151" s="29"/>
      <c r="H151" s="29"/>
      <c r="I151" s="29"/>
      <c r="J151" s="29"/>
      <c r="K151" s="29"/>
      <c r="L151" s="29"/>
      <c r="M151" s="29"/>
      <c r="N151" s="29"/>
      <c r="O151" s="29"/>
      <c r="P151" s="29"/>
      <c r="Q151" s="29"/>
      <c r="S151" s="3" t="s">
        <v>158</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159</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160</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287</v>
      </c>
      <c r="T155" s="96" t="s">
        <v>288</v>
      </c>
      <c r="U155" s="97" t="s">
        <v>326</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290</v>
      </c>
      <c r="T157" s="75">
        <v>12</v>
      </c>
      <c r="U157" s="92" t="s">
        <v>88</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293</v>
      </c>
      <c r="T158" s="75">
        <v>100</v>
      </c>
      <c r="U158" s="92" t="s">
        <v>88</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124</v>
      </c>
      <c r="B160" s="2" t="s">
        <v>298</v>
      </c>
      <c r="C160" s="58" t="s">
        <v>123</v>
      </c>
      <c r="D160" s="2" t="s">
        <v>329</v>
      </c>
      <c r="E160" s="29"/>
      <c r="F160" s="29"/>
      <c r="G160" s="29"/>
      <c r="H160" s="29"/>
      <c r="I160" s="29"/>
      <c r="J160" s="29"/>
      <c r="K160" s="29"/>
      <c r="L160" s="29"/>
      <c r="M160" s="29"/>
      <c r="N160" s="29"/>
      <c r="O160" s="29"/>
      <c r="P160" s="29"/>
      <c r="AO160" t="s">
        <v>125</v>
      </c>
      <c r="AP160" t="s">
        <v>299</v>
      </c>
      <c r="AQ160" t="s">
        <v>124</v>
      </c>
      <c r="AR160" t="s">
        <v>298</v>
      </c>
      <c r="AS160" t="s">
        <v>123</v>
      </c>
      <c r="AT160" t="s">
        <v>329</v>
      </c>
    </row>
    <row r="161" spans="1:22" x14ac:dyDescent="0.25">
      <c r="A161" s="40" t="s">
        <v>0</v>
      </c>
      <c r="B161" s="41"/>
      <c r="C161" s="18"/>
      <c r="D161" s="18"/>
      <c r="E161" s="18"/>
      <c r="F161" s="18"/>
      <c r="G161" s="18"/>
      <c r="H161" s="18"/>
      <c r="I161" s="18"/>
      <c r="J161" s="18"/>
      <c r="K161" s="18"/>
      <c r="L161" s="18"/>
      <c r="M161" s="18"/>
      <c r="N161" s="18"/>
      <c r="O161" s="18"/>
      <c r="P161" s="18"/>
      <c r="Q161" s="58" t="s">
        <v>284</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297</v>
      </c>
      <c r="S162" s="95" t="s">
        <v>40</v>
      </c>
      <c r="T162" s="3"/>
      <c r="U162" s="5"/>
    </row>
    <row r="163" spans="1:22" x14ac:dyDescent="0.25">
      <c r="A163" s="20">
        <v>2</v>
      </c>
      <c r="B163" s="8" t="s">
        <v>9</v>
      </c>
      <c r="C163" s="8" t="s">
        <v>97</v>
      </c>
      <c r="D163" s="8" t="s">
        <v>97</v>
      </c>
      <c r="E163" s="8" t="s">
        <v>112</v>
      </c>
      <c r="F163" s="8" t="s">
        <v>103</v>
      </c>
      <c r="G163" s="8">
        <v>0</v>
      </c>
      <c r="H163" s="8" t="s">
        <v>20</v>
      </c>
      <c r="I163" s="8">
        <v>0.6</v>
      </c>
      <c r="J163" s="8">
        <v>0.2</v>
      </c>
      <c r="K163" s="8"/>
      <c r="L163" s="8"/>
      <c r="M163" s="8"/>
      <c r="N163" s="8"/>
      <c r="O163" s="8"/>
      <c r="P163" s="8"/>
      <c r="Q163" s="9" t="s">
        <v>297</v>
      </c>
      <c r="S163" s="5" t="s">
        <v>95</v>
      </c>
      <c r="T163" s="5">
        <v>0.2</v>
      </c>
      <c r="U163" s="5" t="s">
        <v>44</v>
      </c>
    </row>
    <row r="164" spans="1:22" x14ac:dyDescent="0.25">
      <c r="A164" s="20">
        <v>3</v>
      </c>
      <c r="B164" s="8" t="s">
        <v>1</v>
      </c>
      <c r="C164" s="8" t="s">
        <v>18</v>
      </c>
      <c r="D164" s="8" t="s">
        <v>97</v>
      </c>
      <c r="E164" s="8" t="s">
        <v>97</v>
      </c>
      <c r="F164" s="8" t="s">
        <v>97</v>
      </c>
      <c r="G164" s="8">
        <f>_xlfn.SINGLE(StartX)</f>
        <v>15</v>
      </c>
      <c r="H164" s="8">
        <f>_xlfn.SINGLE(StartY)</f>
        <v>75</v>
      </c>
      <c r="I164" s="8">
        <v>0</v>
      </c>
      <c r="J164" s="8" t="s">
        <v>19</v>
      </c>
      <c r="K164" s="8">
        <v>0.6</v>
      </c>
      <c r="L164" s="8">
        <v>0.2</v>
      </c>
      <c r="M164" s="8"/>
      <c r="N164" s="8"/>
      <c r="O164" s="8"/>
      <c r="P164" s="8"/>
      <c r="Q164" s="9" t="s">
        <v>297</v>
      </c>
      <c r="S164" s="5" t="s">
        <v>86</v>
      </c>
      <c r="T164" s="5">
        <v>1</v>
      </c>
      <c r="U164" s="5" t="s">
        <v>88</v>
      </c>
    </row>
    <row r="165" spans="1:22" x14ac:dyDescent="0.25">
      <c r="A165" s="20">
        <v>4</v>
      </c>
      <c r="B165" s="20"/>
      <c r="C165" s="20"/>
      <c r="D165" s="20"/>
      <c r="E165" s="20"/>
      <c r="F165" s="20"/>
      <c r="G165" s="20"/>
      <c r="H165" s="20"/>
      <c r="I165" s="20"/>
      <c r="J165" s="20"/>
      <c r="K165" s="20"/>
      <c r="L165" s="20"/>
      <c r="M165" s="20"/>
      <c r="N165" s="20"/>
      <c r="O165" s="20"/>
      <c r="P165" s="20"/>
      <c r="Q165" s="20"/>
      <c r="S165" s="5" t="s">
        <v>87</v>
      </c>
      <c r="T165" s="5">
        <v>1</v>
      </c>
      <c r="U165" s="5" t="s">
        <v>88</v>
      </c>
    </row>
    <row r="166" spans="1:22" x14ac:dyDescent="0.25">
      <c r="A166" s="20">
        <v>5</v>
      </c>
      <c r="B166" s="20"/>
      <c r="C166" s="20"/>
      <c r="D166" s="20"/>
      <c r="E166" s="20"/>
      <c r="F166" s="20"/>
      <c r="G166" s="20"/>
      <c r="H166" s="20"/>
      <c r="I166" s="20"/>
      <c r="J166" s="20"/>
      <c r="K166" s="20"/>
      <c r="L166" s="20"/>
      <c r="M166" s="20"/>
      <c r="N166" s="20"/>
      <c r="O166" s="20"/>
      <c r="P166" s="20"/>
      <c r="Q166" s="20"/>
      <c r="S166" s="5" t="s">
        <v>188</v>
      </c>
      <c r="T166" s="5" t="s">
        <v>199</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189</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333</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84</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85</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89</v>
      </c>
    </row>
    <row r="175" spans="1:22" x14ac:dyDescent="0.25">
      <c r="A175" s="29"/>
      <c r="B175" s="29"/>
      <c r="C175" s="29"/>
      <c r="D175" s="29"/>
      <c r="E175" s="29"/>
      <c r="F175" s="29"/>
      <c r="G175" s="29"/>
      <c r="H175" s="29"/>
      <c r="I175" s="29"/>
      <c r="J175" s="29"/>
      <c r="K175" s="29"/>
      <c r="L175" s="29"/>
      <c r="M175" s="29"/>
      <c r="N175" s="29"/>
      <c r="O175" s="29"/>
      <c r="P175" s="29"/>
      <c r="Q175" s="29"/>
      <c r="S175" s="5" t="s">
        <v>105</v>
      </c>
      <c r="T175" s="5" t="s">
        <v>148</v>
      </c>
      <c r="U175" s="5"/>
    </row>
    <row r="176" spans="1:22" x14ac:dyDescent="0.25">
      <c r="A176" s="29"/>
      <c r="B176" s="29"/>
      <c r="C176" s="29"/>
      <c r="D176" s="29"/>
      <c r="E176" s="29"/>
      <c r="F176" s="29"/>
      <c r="G176" s="29"/>
      <c r="H176" s="29"/>
      <c r="I176" s="29"/>
      <c r="J176" s="29"/>
      <c r="K176" s="29"/>
      <c r="L176" s="29"/>
      <c r="M176" s="29"/>
      <c r="N176" s="29"/>
      <c r="O176" s="29"/>
      <c r="P176" s="29"/>
      <c r="Q176" s="29"/>
      <c r="S176" s="5" t="s">
        <v>147</v>
      </c>
      <c r="T176" s="5" t="s">
        <v>120</v>
      </c>
      <c r="U176" s="5"/>
    </row>
    <row r="177" spans="1:32" x14ac:dyDescent="0.25">
      <c r="A177" s="29"/>
      <c r="B177" s="29"/>
      <c r="C177" s="29"/>
      <c r="D177" s="29"/>
      <c r="E177" s="29"/>
      <c r="F177" s="29"/>
      <c r="G177" s="29"/>
      <c r="H177" s="29"/>
      <c r="I177" s="29"/>
      <c r="J177" s="29"/>
      <c r="K177" s="29"/>
      <c r="L177" s="29"/>
      <c r="M177" s="29"/>
      <c r="N177" s="29"/>
      <c r="O177" s="29"/>
      <c r="P177" s="29"/>
      <c r="Q177" s="29"/>
      <c r="S177" s="5" t="s">
        <v>162</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163</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164</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334</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149</v>
      </c>
      <c r="T181" s="5" t="s">
        <v>161</v>
      </c>
      <c r="U181" s="5" t="s">
        <v>153</v>
      </c>
    </row>
    <row r="182" spans="1:32" x14ac:dyDescent="0.25">
      <c r="A182" s="29"/>
      <c r="B182" s="29"/>
      <c r="C182" s="29"/>
      <c r="D182" s="29"/>
      <c r="E182" s="29"/>
      <c r="F182" s="29"/>
      <c r="G182" s="29"/>
      <c r="H182" s="29"/>
      <c r="I182" s="29"/>
      <c r="J182" s="29"/>
      <c r="K182" s="29"/>
      <c r="L182" s="29"/>
      <c r="M182" s="29"/>
      <c r="N182" s="29"/>
      <c r="O182" s="29"/>
      <c r="P182" s="29"/>
      <c r="Q182" s="29"/>
      <c r="S182" s="5" t="s">
        <v>154</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155</v>
      </c>
      <c r="T183" s="5">
        <v>7</v>
      </c>
      <c r="U183" s="5" t="s">
        <v>89</v>
      </c>
    </row>
    <row r="184" spans="1:32" x14ac:dyDescent="0.25">
      <c r="A184" s="29"/>
      <c r="B184" s="29"/>
      <c r="C184" s="29"/>
      <c r="D184" s="29"/>
      <c r="E184" s="29"/>
      <c r="F184" s="29"/>
      <c r="G184" s="29"/>
      <c r="H184" s="29"/>
      <c r="I184" s="29"/>
      <c r="J184" s="29"/>
      <c r="K184" s="29"/>
      <c r="L184" s="29"/>
      <c r="M184" s="29"/>
      <c r="N184" s="29"/>
      <c r="O184" s="29"/>
      <c r="P184" s="29"/>
      <c r="Q184" s="29"/>
      <c r="S184" s="5" t="s">
        <v>156</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157</v>
      </c>
      <c r="T185" s="5">
        <f>-T183</f>
        <v>-7</v>
      </c>
      <c r="U185" s="5" t="s">
        <v>89</v>
      </c>
    </row>
    <row r="186" spans="1:32" x14ac:dyDescent="0.25">
      <c r="A186" s="29"/>
      <c r="B186" s="29"/>
      <c r="C186" s="29"/>
      <c r="D186" s="29"/>
      <c r="E186" s="29"/>
      <c r="F186" s="29"/>
      <c r="G186" s="29"/>
      <c r="H186" s="29"/>
      <c r="I186" s="29"/>
      <c r="J186" s="29"/>
      <c r="K186" s="29"/>
      <c r="L186" s="29"/>
      <c r="M186" s="29"/>
      <c r="N186" s="29"/>
      <c r="O186" s="29"/>
      <c r="P186" s="29"/>
      <c r="Q186" s="29"/>
      <c r="S186" s="3" t="s">
        <v>158</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159</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160</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287</v>
      </c>
      <c r="T190" s="96" t="s">
        <v>288</v>
      </c>
      <c r="U190" s="97" t="s">
        <v>326</v>
      </c>
      <c r="V190" s="29"/>
      <c r="W190" s="29"/>
      <c r="X190" s="29"/>
      <c r="Y190" s="29"/>
      <c r="Z190" s="29"/>
      <c r="AA190" s="29"/>
      <c r="AB190" s="29"/>
      <c r="AC190" s="29"/>
      <c r="AD190" s="29"/>
      <c r="AE190" s="29"/>
      <c r="AF190" s="29"/>
    </row>
    <row r="191" spans="1:32" x14ac:dyDescent="0.25">
      <c r="S191" s="75"/>
      <c r="T191" s="75"/>
      <c r="U191" s="92"/>
    </row>
    <row r="192" spans="1:32" x14ac:dyDescent="0.25">
      <c r="S192" s="75" t="s">
        <v>266</v>
      </c>
      <c r="T192" s="75">
        <v>50</v>
      </c>
      <c r="U192" s="92" t="s">
        <v>44</v>
      </c>
    </row>
    <row r="193" spans="1:46" x14ac:dyDescent="0.25">
      <c r="S193" s="79" t="s">
        <v>267</v>
      </c>
      <c r="T193" s="79">
        <v>50</v>
      </c>
      <c r="U193" s="92" t="s">
        <v>44</v>
      </c>
    </row>
    <row r="195" spans="1:46" x14ac:dyDescent="0.25">
      <c r="A195" s="58" t="s">
        <v>124</v>
      </c>
      <c r="B195" s="2" t="s">
        <v>300</v>
      </c>
      <c r="C195" s="58" t="s">
        <v>123</v>
      </c>
      <c r="D195" s="2" t="s">
        <v>329</v>
      </c>
      <c r="E195" s="29"/>
      <c r="F195" s="29"/>
      <c r="G195" s="29"/>
      <c r="H195" s="29"/>
      <c r="I195" s="29"/>
      <c r="J195" s="29"/>
      <c r="K195" s="29"/>
      <c r="L195" s="29"/>
      <c r="M195" s="29"/>
      <c r="N195" s="29"/>
      <c r="O195" s="29"/>
      <c r="P195" s="29"/>
      <c r="AO195" t="s">
        <v>125</v>
      </c>
      <c r="AP195" t="s">
        <v>301</v>
      </c>
      <c r="AQ195" t="s">
        <v>124</v>
      </c>
      <c r="AR195" t="s">
        <v>300</v>
      </c>
      <c r="AS195" t="s">
        <v>123</v>
      </c>
      <c r="AT195" t="s">
        <v>329</v>
      </c>
    </row>
    <row r="196" spans="1:46" x14ac:dyDescent="0.25">
      <c r="A196" s="40" t="s">
        <v>0</v>
      </c>
      <c r="B196" s="41"/>
      <c r="C196" s="18"/>
      <c r="D196" s="18"/>
      <c r="E196" s="18"/>
      <c r="F196" s="18"/>
      <c r="G196" s="18"/>
      <c r="H196" s="18"/>
      <c r="I196" s="18"/>
      <c r="J196" s="18"/>
      <c r="K196" s="18"/>
      <c r="L196" s="18"/>
      <c r="M196" s="18"/>
      <c r="N196" s="18"/>
      <c r="O196" s="18"/>
      <c r="P196" s="18"/>
      <c r="Q196" s="58" t="s">
        <v>284</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297</v>
      </c>
      <c r="S197" s="95" t="s">
        <v>40</v>
      </c>
      <c r="T197" s="3"/>
      <c r="U197" s="5"/>
    </row>
    <row r="198" spans="1:46" x14ac:dyDescent="0.25">
      <c r="A198" s="20">
        <v>2</v>
      </c>
      <c r="B198" s="8" t="s">
        <v>9</v>
      </c>
      <c r="C198" s="8" t="s">
        <v>97</v>
      </c>
      <c r="D198" s="8" t="s">
        <v>97</v>
      </c>
      <c r="E198" s="8" t="s">
        <v>112</v>
      </c>
      <c r="F198" s="8" t="s">
        <v>103</v>
      </c>
      <c r="G198" s="8">
        <v>0</v>
      </c>
      <c r="H198" s="8" t="s">
        <v>20</v>
      </c>
      <c r="I198" s="8">
        <v>0.6</v>
      </c>
      <c r="J198" s="8">
        <v>0.2</v>
      </c>
      <c r="K198" s="8"/>
      <c r="L198" s="8"/>
      <c r="M198" s="8"/>
      <c r="N198" s="8"/>
      <c r="O198" s="8"/>
      <c r="P198" s="8"/>
      <c r="Q198" s="9" t="s">
        <v>297</v>
      </c>
      <c r="S198" s="5" t="s">
        <v>95</v>
      </c>
      <c r="T198" s="5">
        <v>0.2</v>
      </c>
      <c r="U198" s="5" t="s">
        <v>44</v>
      </c>
    </row>
    <row r="199" spans="1:46" x14ac:dyDescent="0.25">
      <c r="A199" s="20">
        <v>3</v>
      </c>
      <c r="B199" s="8" t="s">
        <v>1</v>
      </c>
      <c r="C199" s="8" t="s">
        <v>18</v>
      </c>
      <c r="D199" s="8" t="s">
        <v>97</v>
      </c>
      <c r="E199" s="8" t="s">
        <v>97</v>
      </c>
      <c r="F199" s="8" t="s">
        <v>97</v>
      </c>
      <c r="G199" s="8">
        <v>40</v>
      </c>
      <c r="H199" s="8">
        <v>50</v>
      </c>
      <c r="I199" s="8">
        <v>0</v>
      </c>
      <c r="J199" s="8" t="s">
        <v>19</v>
      </c>
      <c r="K199" s="8">
        <v>0.6</v>
      </c>
      <c r="L199" s="8">
        <v>0.2</v>
      </c>
      <c r="M199" s="8"/>
      <c r="N199" s="8"/>
      <c r="O199" s="8"/>
      <c r="P199" s="8"/>
      <c r="Q199" s="9" t="s">
        <v>297</v>
      </c>
      <c r="S199" s="5" t="s">
        <v>86</v>
      </c>
      <c r="T199" s="5">
        <v>1</v>
      </c>
      <c r="U199" s="5" t="s">
        <v>88</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291</v>
      </c>
      <c r="S200" s="5" t="s">
        <v>87</v>
      </c>
      <c r="T200" s="5">
        <v>1</v>
      </c>
      <c r="U200" s="5" t="s">
        <v>88</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292</v>
      </c>
      <c r="S201" s="5" t="s">
        <v>188</v>
      </c>
      <c r="T201" s="5" t="s">
        <v>199</v>
      </c>
      <c r="U201" s="5"/>
    </row>
    <row r="202" spans="1:46" x14ac:dyDescent="0.25">
      <c r="A202" s="20">
        <v>6</v>
      </c>
      <c r="B202" s="42" t="s">
        <v>52</v>
      </c>
      <c r="C202" s="42">
        <v>5</v>
      </c>
      <c r="D202" s="42">
        <v>4</v>
      </c>
      <c r="E202" s="42">
        <v>1</v>
      </c>
      <c r="F202" s="42" t="e">
        <f>Layers</f>
        <v>#NAME?</v>
      </c>
      <c r="G202" s="42" t="s">
        <v>133</v>
      </c>
      <c r="H202" s="42">
        <v>0</v>
      </c>
      <c r="I202" s="47" t="s">
        <v>110</v>
      </c>
      <c r="J202" s="47" t="s">
        <v>135</v>
      </c>
      <c r="K202" s="42" t="s">
        <v>115</v>
      </c>
      <c r="L202" s="42" t="s">
        <v>115</v>
      </c>
      <c r="M202" s="42"/>
      <c r="N202" s="42"/>
      <c r="O202" s="42"/>
      <c r="P202" s="42"/>
      <c r="Q202" s="4" t="s">
        <v>324</v>
      </c>
      <c r="S202" s="5" t="s">
        <v>189</v>
      </c>
      <c r="T202" s="5">
        <v>0</v>
      </c>
      <c r="U202" s="5"/>
    </row>
    <row r="203" spans="1:46" x14ac:dyDescent="0.25">
      <c r="A203" s="20">
        <v>7</v>
      </c>
      <c r="B203" s="111" t="s">
        <v>289</v>
      </c>
      <c r="C203" s="42" t="s">
        <v>122</v>
      </c>
      <c r="D203" s="42" t="s">
        <v>165</v>
      </c>
      <c r="E203" s="42">
        <f>C200</f>
        <v>50</v>
      </c>
      <c r="F203" s="42">
        <f>D200</f>
        <v>50</v>
      </c>
      <c r="G203" s="42">
        <v>0</v>
      </c>
      <c r="H203" s="42">
        <v>0</v>
      </c>
      <c r="I203" s="42" t="s">
        <v>256</v>
      </c>
      <c r="J203" s="42" t="s">
        <v>115</v>
      </c>
      <c r="K203" s="42" t="s">
        <v>115</v>
      </c>
      <c r="L203" s="42"/>
      <c r="M203" s="42"/>
      <c r="N203" s="42"/>
      <c r="O203" s="42"/>
      <c r="P203" s="42"/>
      <c r="Q203" s="4" t="s">
        <v>324</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333</v>
      </c>
      <c r="T204" s="5">
        <v>60</v>
      </c>
      <c r="U204" s="5" t="s">
        <v>43</v>
      </c>
      <c r="V204" s="1"/>
    </row>
    <row r="205" spans="1:46" x14ac:dyDescent="0.25">
      <c r="A205" s="20">
        <v>9</v>
      </c>
      <c r="B205" s="20"/>
      <c r="C205" s="21" t="s">
        <v>323</v>
      </c>
      <c r="D205" s="21"/>
      <c r="E205" s="21"/>
      <c r="F205" s="21"/>
      <c r="G205" s="21"/>
      <c r="H205" s="21"/>
      <c r="I205" s="21"/>
      <c r="J205" s="20"/>
      <c r="K205" s="20"/>
      <c r="L205" s="20"/>
      <c r="M205" s="20"/>
      <c r="N205" s="20"/>
      <c r="O205" s="20"/>
      <c r="P205" s="20"/>
      <c r="Q205" s="20"/>
      <c r="S205" s="5" t="s">
        <v>84</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85</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89</v>
      </c>
    </row>
    <row r="210" spans="1:32" x14ac:dyDescent="0.25">
      <c r="A210" s="29"/>
      <c r="B210" s="29"/>
      <c r="C210" s="29"/>
      <c r="D210" s="29"/>
      <c r="E210" s="29"/>
      <c r="F210" s="29"/>
      <c r="G210" s="29"/>
      <c r="H210" s="29"/>
      <c r="I210" s="29"/>
      <c r="J210" s="29"/>
      <c r="K210" s="29"/>
      <c r="L210" s="29"/>
      <c r="M210" s="29"/>
      <c r="N210" s="29"/>
      <c r="O210" s="29"/>
      <c r="P210" s="29"/>
      <c r="Q210" s="29"/>
      <c r="S210" s="5" t="s">
        <v>105</v>
      </c>
      <c r="T210" s="5" t="s">
        <v>148</v>
      </c>
      <c r="U210" s="5"/>
    </row>
    <row r="211" spans="1:32" x14ac:dyDescent="0.25">
      <c r="A211" s="29"/>
      <c r="B211" s="29"/>
      <c r="C211" s="29"/>
      <c r="D211" s="29"/>
      <c r="E211" s="29"/>
      <c r="F211" s="29"/>
      <c r="G211" s="29"/>
      <c r="H211" s="29"/>
      <c r="I211" s="29"/>
      <c r="J211" s="29"/>
      <c r="K211" s="29"/>
      <c r="L211" s="29"/>
      <c r="M211" s="29"/>
      <c r="N211" s="29"/>
      <c r="O211" s="29"/>
      <c r="P211" s="29"/>
      <c r="Q211" s="29"/>
      <c r="S211" s="5" t="s">
        <v>147</v>
      </c>
      <c r="T211" s="5" t="s">
        <v>120</v>
      </c>
      <c r="U211" s="5"/>
    </row>
    <row r="212" spans="1:32" x14ac:dyDescent="0.25">
      <c r="A212" s="29"/>
      <c r="B212" s="29"/>
      <c r="C212" s="29"/>
      <c r="D212" s="29"/>
      <c r="E212" s="29"/>
      <c r="F212" s="29"/>
      <c r="G212" s="29"/>
      <c r="H212" s="29"/>
      <c r="I212" s="29"/>
      <c r="J212" s="29"/>
      <c r="K212" s="29"/>
      <c r="L212" s="29"/>
      <c r="M212" s="29"/>
      <c r="N212" s="29"/>
      <c r="O212" s="29"/>
      <c r="P212" s="29"/>
      <c r="Q212" s="29"/>
      <c r="S212" s="5" t="s">
        <v>162</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163</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164</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334</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149</v>
      </c>
      <c r="T216" s="5" t="s">
        <v>161</v>
      </c>
      <c r="U216" s="5" t="s">
        <v>153</v>
      </c>
    </row>
    <row r="217" spans="1:32" x14ac:dyDescent="0.25">
      <c r="A217" s="29"/>
      <c r="B217" s="29"/>
      <c r="C217" s="29"/>
      <c r="D217" s="29"/>
      <c r="E217" s="29"/>
      <c r="F217" s="29"/>
      <c r="G217" s="29"/>
      <c r="H217" s="29"/>
      <c r="I217" s="29"/>
      <c r="J217" s="29"/>
      <c r="K217" s="29"/>
      <c r="L217" s="29"/>
      <c r="M217" s="29"/>
      <c r="N217" s="29"/>
      <c r="O217" s="29"/>
      <c r="P217" s="29"/>
      <c r="Q217" s="29"/>
      <c r="S217" s="5" t="s">
        <v>154</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155</v>
      </c>
      <c r="T218" s="5">
        <v>7</v>
      </c>
      <c r="U218" s="5" t="s">
        <v>89</v>
      </c>
    </row>
    <row r="219" spans="1:32" x14ac:dyDescent="0.25">
      <c r="A219" s="29"/>
      <c r="B219" s="29"/>
      <c r="C219" s="29"/>
      <c r="D219" s="29"/>
      <c r="E219" s="29"/>
      <c r="F219" s="29"/>
      <c r="G219" s="29"/>
      <c r="H219" s="29"/>
      <c r="I219" s="29"/>
      <c r="J219" s="29"/>
      <c r="K219" s="29"/>
      <c r="L219" s="29"/>
      <c r="M219" s="29"/>
      <c r="N219" s="29"/>
      <c r="O219" s="29"/>
      <c r="P219" s="29"/>
      <c r="Q219" s="29"/>
      <c r="S219" s="5" t="s">
        <v>156</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157</v>
      </c>
      <c r="T220" s="5">
        <f>-T218</f>
        <v>-7</v>
      </c>
      <c r="U220" s="5" t="s">
        <v>89</v>
      </c>
    </row>
    <row r="221" spans="1:32" x14ac:dyDescent="0.25">
      <c r="A221" s="29"/>
      <c r="B221" s="29"/>
      <c r="C221" s="29"/>
      <c r="D221" s="29"/>
      <c r="E221" s="29"/>
      <c r="F221" s="29"/>
      <c r="G221" s="29"/>
      <c r="H221" s="29"/>
      <c r="I221" s="29"/>
      <c r="J221" s="29"/>
      <c r="K221" s="29"/>
      <c r="L221" s="29"/>
      <c r="M221" s="29"/>
      <c r="N221" s="29"/>
      <c r="O221" s="29"/>
      <c r="P221" s="29"/>
      <c r="Q221" s="29"/>
      <c r="S221" s="3" t="s">
        <v>158</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159</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160</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287</v>
      </c>
      <c r="T225" s="96" t="s">
        <v>288</v>
      </c>
      <c r="U225" s="97" t="s">
        <v>326</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290</v>
      </c>
      <c r="T227" s="75">
        <v>12</v>
      </c>
      <c r="U227" s="92" t="s">
        <v>88</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293</v>
      </c>
      <c r="T228" s="75">
        <v>100</v>
      </c>
      <c r="U228" s="92" t="s">
        <v>88</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124</v>
      </c>
      <c r="B230" s="2" t="s">
        <v>382</v>
      </c>
      <c r="C230" s="58" t="s">
        <v>123</v>
      </c>
      <c r="D230" s="2" t="s">
        <v>329</v>
      </c>
      <c r="E230" s="29"/>
      <c r="F230" s="29"/>
      <c r="G230" s="29"/>
      <c r="H230" s="29"/>
      <c r="I230" s="29"/>
      <c r="J230" s="29"/>
      <c r="K230" s="29"/>
      <c r="L230" s="29"/>
      <c r="M230" s="29"/>
      <c r="N230" s="29"/>
      <c r="O230" s="29"/>
      <c r="P230" s="29"/>
      <c r="AO230" t="s">
        <v>125</v>
      </c>
      <c r="AP230" t="s">
        <v>383</v>
      </c>
      <c r="AQ230" t="s">
        <v>124</v>
      </c>
      <c r="AR230" t="s">
        <v>382</v>
      </c>
      <c r="AS230" t="s">
        <v>123</v>
      </c>
      <c r="AT230" t="s">
        <v>329</v>
      </c>
    </row>
    <row r="231" spans="1:46" x14ac:dyDescent="0.25">
      <c r="A231" s="40" t="s">
        <v>0</v>
      </c>
      <c r="B231" s="41"/>
      <c r="C231" s="18"/>
      <c r="D231" s="18"/>
      <c r="E231" s="18"/>
      <c r="F231" s="18"/>
      <c r="G231" s="18"/>
      <c r="H231" s="18"/>
      <c r="I231" s="18"/>
      <c r="J231" s="18"/>
      <c r="K231" s="18"/>
      <c r="L231" s="18"/>
      <c r="M231" s="18"/>
      <c r="N231" s="18"/>
      <c r="O231" s="18"/>
      <c r="P231" s="18"/>
      <c r="Q231" s="58" t="s">
        <v>284</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95</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86</v>
      </c>
      <c r="T234" s="5">
        <v>1</v>
      </c>
      <c r="U234" s="5" t="s">
        <v>88</v>
      </c>
    </row>
    <row r="235" spans="1:46" x14ac:dyDescent="0.25">
      <c r="A235" s="20">
        <v>4</v>
      </c>
      <c r="B235" s="20"/>
      <c r="C235" s="20"/>
      <c r="D235" s="20"/>
      <c r="E235" s="20"/>
      <c r="F235" s="20"/>
      <c r="G235" s="20"/>
      <c r="H235" s="20"/>
      <c r="I235" s="20"/>
      <c r="J235" s="20"/>
      <c r="K235" s="20"/>
      <c r="L235" s="20"/>
      <c r="M235" s="20"/>
      <c r="N235" s="20"/>
      <c r="O235" s="20"/>
      <c r="P235" s="20"/>
      <c r="Q235" s="20"/>
      <c r="S235" s="5" t="s">
        <v>87</v>
      </c>
      <c r="T235" s="5">
        <v>1</v>
      </c>
      <c r="U235" s="5" t="s">
        <v>88</v>
      </c>
    </row>
    <row r="236" spans="1:46" x14ac:dyDescent="0.25">
      <c r="A236" s="20">
        <v>5</v>
      </c>
      <c r="B236" s="20"/>
      <c r="C236" s="20"/>
      <c r="D236" s="20"/>
      <c r="E236" s="20"/>
      <c r="F236" s="20"/>
      <c r="G236" s="20"/>
      <c r="H236" s="20"/>
      <c r="I236" s="20"/>
      <c r="J236" s="20"/>
      <c r="K236" s="20"/>
      <c r="L236" s="20"/>
      <c r="M236" s="20"/>
      <c r="N236" s="20"/>
      <c r="O236" s="20"/>
      <c r="P236" s="20"/>
      <c r="Q236" s="20"/>
      <c r="S236" s="5" t="s">
        <v>188</v>
      </c>
      <c r="T236" s="5" t="s">
        <v>199</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189</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333</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84</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85</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89</v>
      </c>
    </row>
    <row r="245" spans="1:22" x14ac:dyDescent="0.25">
      <c r="A245" s="29"/>
      <c r="B245" s="29"/>
      <c r="C245" s="29"/>
      <c r="D245" s="29"/>
      <c r="E245" s="29"/>
      <c r="F245" s="29"/>
      <c r="G245" s="29"/>
      <c r="H245" s="29"/>
      <c r="I245" s="29"/>
      <c r="J245" s="29"/>
      <c r="K245" s="29"/>
      <c r="L245" s="29"/>
      <c r="M245" s="29"/>
      <c r="N245" s="29"/>
      <c r="O245" s="29"/>
      <c r="P245" s="29"/>
      <c r="Q245" s="29"/>
      <c r="S245" s="5" t="s">
        <v>105</v>
      </c>
      <c r="T245" s="5" t="s">
        <v>148</v>
      </c>
      <c r="U245" s="5"/>
    </row>
    <row r="246" spans="1:22" x14ac:dyDescent="0.25">
      <c r="A246" s="29"/>
      <c r="B246" s="29"/>
      <c r="C246" s="29"/>
      <c r="D246" s="29"/>
      <c r="E246" s="29"/>
      <c r="F246" s="29"/>
      <c r="G246" s="29"/>
      <c r="H246" s="29"/>
      <c r="I246" s="29"/>
      <c r="J246" s="29"/>
      <c r="K246" s="29"/>
      <c r="L246" s="29"/>
      <c r="M246" s="29"/>
      <c r="N246" s="29"/>
      <c r="O246" s="29"/>
      <c r="P246" s="29"/>
      <c r="Q246" s="29"/>
      <c r="S246" s="5" t="s">
        <v>147</v>
      </c>
      <c r="T246" s="5" t="s">
        <v>120</v>
      </c>
      <c r="U246" s="5"/>
    </row>
    <row r="247" spans="1:22" x14ac:dyDescent="0.25">
      <c r="A247" s="29"/>
      <c r="B247" s="29"/>
      <c r="C247" s="29"/>
      <c r="D247" s="29"/>
      <c r="E247" s="29"/>
      <c r="F247" s="29"/>
      <c r="G247" s="29"/>
      <c r="H247" s="29"/>
      <c r="I247" s="29"/>
      <c r="J247" s="29"/>
      <c r="K247" s="29"/>
      <c r="L247" s="29"/>
      <c r="M247" s="29"/>
      <c r="N247" s="29"/>
      <c r="O247" s="29"/>
      <c r="P247" s="29"/>
      <c r="Q247" s="29"/>
      <c r="S247" s="5" t="s">
        <v>162</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163</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164</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334</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149</v>
      </c>
      <c r="T251" s="5" t="s">
        <v>161</v>
      </c>
      <c r="U251" s="5" t="s">
        <v>153</v>
      </c>
    </row>
    <row r="252" spans="1:22" x14ac:dyDescent="0.25">
      <c r="A252" s="29"/>
      <c r="B252" s="29"/>
      <c r="C252" s="29"/>
      <c r="D252" s="29"/>
      <c r="E252" s="29"/>
      <c r="F252" s="29"/>
      <c r="G252" s="29"/>
      <c r="H252" s="29"/>
      <c r="I252" s="29"/>
      <c r="J252" s="29"/>
      <c r="K252" s="29"/>
      <c r="L252" s="29"/>
      <c r="M252" s="29"/>
      <c r="N252" s="29"/>
      <c r="O252" s="29"/>
      <c r="P252" s="29"/>
      <c r="Q252" s="29"/>
      <c r="S252" s="5" t="s">
        <v>154</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155</v>
      </c>
      <c r="T253" s="5">
        <v>7</v>
      </c>
      <c r="U253" s="5" t="s">
        <v>89</v>
      </c>
    </row>
    <row r="254" spans="1:22" x14ac:dyDescent="0.25">
      <c r="A254" s="29"/>
      <c r="B254" s="29"/>
      <c r="C254" s="29"/>
      <c r="D254" s="29"/>
      <c r="E254" s="29"/>
      <c r="F254" s="29"/>
      <c r="G254" s="29"/>
      <c r="H254" s="29"/>
      <c r="I254" s="29"/>
      <c r="J254" s="29"/>
      <c r="K254" s="29"/>
      <c r="L254" s="29"/>
      <c r="M254" s="29"/>
      <c r="N254" s="29"/>
      <c r="O254" s="29"/>
      <c r="P254" s="29"/>
      <c r="Q254" s="29"/>
      <c r="S254" s="5" t="s">
        <v>156</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157</v>
      </c>
      <c r="T255" s="5">
        <f>-T253</f>
        <v>-7</v>
      </c>
      <c r="U255" s="5" t="s">
        <v>89</v>
      </c>
    </row>
    <row r="256" spans="1:22" x14ac:dyDescent="0.25">
      <c r="A256" s="29"/>
      <c r="B256" s="29"/>
      <c r="C256" s="29"/>
      <c r="D256" s="29"/>
      <c r="E256" s="29"/>
      <c r="F256" s="29"/>
      <c r="G256" s="29"/>
      <c r="H256" s="29"/>
      <c r="I256" s="29"/>
      <c r="J256" s="29"/>
      <c r="K256" s="29"/>
      <c r="L256" s="29"/>
      <c r="M256" s="29"/>
      <c r="N256" s="29"/>
      <c r="O256" s="29"/>
      <c r="P256" s="29"/>
      <c r="Q256" s="29"/>
      <c r="S256" s="3" t="s">
        <v>158</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159</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160</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287</v>
      </c>
      <c r="T260" s="96" t="s">
        <v>288</v>
      </c>
      <c r="U260" s="97" t="s">
        <v>326</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304</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302</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303</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261</v>
      </c>
      <c r="B1" s="71" t="s">
        <v>264</v>
      </c>
      <c r="C1" s="71" t="s">
        <v>262</v>
      </c>
      <c r="D1" s="60" t="s">
        <v>263</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124</v>
      </c>
      <c r="B3" s="2" t="s">
        <v>484</v>
      </c>
      <c r="C3" s="58" t="s">
        <v>123</v>
      </c>
      <c r="D3" s="2" t="s">
        <v>483</v>
      </c>
      <c r="G3" s="58" t="s">
        <v>124</v>
      </c>
      <c r="H3" s="2" t="s">
        <v>453</v>
      </c>
      <c r="I3" s="58" t="s">
        <v>123</v>
      </c>
      <c r="J3" s="2" t="s">
        <v>455</v>
      </c>
      <c r="U3" s="89"/>
      <c r="AO3" t="s">
        <v>125</v>
      </c>
      <c r="AP3" t="s">
        <v>485</v>
      </c>
      <c r="AQ3" t="s">
        <v>124</v>
      </c>
      <c r="AR3" t="s">
        <v>484</v>
      </c>
      <c r="AS3" t="s">
        <v>123</v>
      </c>
      <c r="AT3" t="s">
        <v>483</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452</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0.25</v>
      </c>
      <c r="U6" s="5" t="s">
        <v>44</v>
      </c>
    </row>
    <row r="7" spans="1:46" x14ac:dyDescent="0.25">
      <c r="A7" s="2">
        <v>3</v>
      </c>
      <c r="B7" s="2" t="s">
        <v>454</v>
      </c>
      <c r="C7" s="2"/>
      <c r="D7" s="2"/>
      <c r="E7" s="2"/>
      <c r="F7" s="2"/>
      <c r="G7" s="2"/>
      <c r="H7" s="2"/>
      <c r="I7" s="2"/>
      <c r="J7" s="2"/>
      <c r="K7" s="2"/>
      <c r="L7" s="2"/>
      <c r="M7" s="2"/>
      <c r="N7" s="2"/>
      <c r="O7" s="2"/>
      <c r="P7" s="2"/>
      <c r="Q7" s="2"/>
      <c r="S7" s="5" t="s">
        <v>86</v>
      </c>
      <c r="T7" s="5">
        <v>1</v>
      </c>
      <c r="U7" s="5" t="s">
        <v>88</v>
      </c>
    </row>
    <row r="8" spans="1:46" x14ac:dyDescent="0.25">
      <c r="A8" s="2">
        <v>4</v>
      </c>
      <c r="B8" s="2"/>
      <c r="C8" s="2"/>
      <c r="D8" s="2"/>
      <c r="E8" s="2"/>
      <c r="F8" s="2"/>
      <c r="G8" s="2"/>
      <c r="H8" s="2"/>
      <c r="I8" s="2"/>
      <c r="J8" s="2"/>
      <c r="K8" s="2"/>
      <c r="L8" s="2"/>
      <c r="M8" s="2"/>
      <c r="N8" s="2"/>
      <c r="O8" s="2"/>
      <c r="P8" s="2"/>
      <c r="Q8" s="2"/>
      <c r="S8" s="5" t="s">
        <v>87</v>
      </c>
      <c r="T8" s="5">
        <v>0.4</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1800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473</v>
      </c>
      <c r="U18" s="5"/>
      <c r="V18" s="122" t="s">
        <v>148</v>
      </c>
      <c r="W18" s="123" t="s">
        <v>389</v>
      </c>
      <c r="X18" s="137" t="s">
        <v>388</v>
      </c>
      <c r="Y18" s="24" t="s">
        <v>394</v>
      </c>
      <c r="Z18" s="126" t="s">
        <v>392</v>
      </c>
      <c r="AA18" s="127" t="s">
        <v>395</v>
      </c>
      <c r="AB18" s="127" t="s">
        <v>396</v>
      </c>
      <c r="AC18" s="134" t="s">
        <v>409</v>
      </c>
      <c r="AD18" s="135" t="s">
        <v>422</v>
      </c>
      <c r="AE18" s="136" t="s">
        <v>439</v>
      </c>
      <c r="AF18" s="138" t="s">
        <v>440</v>
      </c>
      <c r="AG18" s="132" t="s">
        <v>441</v>
      </c>
      <c r="AH18" s="139" t="s">
        <v>442</v>
      </c>
    </row>
    <row r="19" spans="1:34" x14ac:dyDescent="0.25">
      <c r="A19" s="2">
        <v>15</v>
      </c>
      <c r="B19" s="2"/>
      <c r="C19" s="2"/>
      <c r="D19" s="2"/>
      <c r="E19" s="2"/>
      <c r="F19" s="2"/>
      <c r="G19" s="2"/>
      <c r="H19" s="2"/>
      <c r="I19" s="2"/>
      <c r="J19" s="2"/>
      <c r="K19" s="2"/>
      <c r="L19" s="2"/>
      <c r="M19" s="2"/>
      <c r="N19" s="2"/>
      <c r="O19" s="2"/>
      <c r="P19" s="2"/>
      <c r="Q19" s="2"/>
      <c r="S19" s="5" t="s">
        <v>147</v>
      </c>
      <c r="T19" s="122" t="s">
        <v>473</v>
      </c>
      <c r="U19" s="5"/>
      <c r="V19" s="122" t="s">
        <v>120</v>
      </c>
      <c r="W19" s="123" t="s">
        <v>389</v>
      </c>
      <c r="X19" s="137" t="s">
        <v>388</v>
      </c>
      <c r="Y19" s="24" t="s">
        <v>394</v>
      </c>
      <c r="Z19" s="126" t="s">
        <v>392</v>
      </c>
      <c r="AA19" s="127" t="s">
        <v>395</v>
      </c>
      <c r="AB19" s="127" t="s">
        <v>396</v>
      </c>
      <c r="AC19" s="134" t="s">
        <v>409</v>
      </c>
      <c r="AD19" s="135" t="s">
        <v>422</v>
      </c>
      <c r="AE19" s="136" t="s">
        <v>439</v>
      </c>
      <c r="AF19" s="138" t="s">
        <v>440</v>
      </c>
      <c r="AG19" s="132" t="s">
        <v>441</v>
      </c>
      <c r="AH19" s="139" t="s">
        <v>442</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470</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481</v>
      </c>
      <c r="T34" s="75" t="s">
        <v>397</v>
      </c>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490</v>
      </c>
      <c r="C37" s="58" t="s">
        <v>123</v>
      </c>
      <c r="D37" s="2" t="s">
        <v>483</v>
      </c>
      <c r="G37" s="58" t="s">
        <v>124</v>
      </c>
      <c r="H37" s="2" t="s">
        <v>370</v>
      </c>
      <c r="I37" s="58" t="s">
        <v>123</v>
      </c>
      <c r="J37" s="2" t="s">
        <v>455</v>
      </c>
      <c r="U37" s="89"/>
      <c r="AO37" t="s">
        <v>125</v>
      </c>
      <c r="AP37" t="s">
        <v>491</v>
      </c>
      <c r="AQ37" t="s">
        <v>124</v>
      </c>
      <c r="AR37" t="s">
        <v>490</v>
      </c>
      <c r="AS37" t="s">
        <v>123</v>
      </c>
      <c r="AT37" t="s">
        <v>483</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2" t="s">
        <v>1</v>
      </c>
      <c r="C39" s="2" t="s">
        <v>18</v>
      </c>
      <c r="D39" s="2">
        <v>50</v>
      </c>
      <c r="E39" s="2">
        <v>50</v>
      </c>
      <c r="F39" s="2">
        <v>0</v>
      </c>
      <c r="G39" s="2" t="s">
        <v>338</v>
      </c>
      <c r="H39" s="2" t="s">
        <v>97</v>
      </c>
      <c r="I39" s="2" t="s">
        <v>97</v>
      </c>
      <c r="J39" s="2" t="s">
        <v>19</v>
      </c>
      <c r="K39" s="2">
        <v>0.4</v>
      </c>
      <c r="L39" s="2">
        <v>0.2</v>
      </c>
      <c r="M39" s="2"/>
      <c r="N39" s="2"/>
      <c r="O39" s="2"/>
      <c r="P39" s="2"/>
      <c r="Q39" s="2"/>
      <c r="S39" s="95" t="s">
        <v>40</v>
      </c>
      <c r="T39" s="3"/>
      <c r="U39" s="5"/>
    </row>
    <row r="40" spans="1:46" x14ac:dyDescent="0.25">
      <c r="A40" s="2">
        <v>2</v>
      </c>
      <c r="B40" s="2" t="s">
        <v>1</v>
      </c>
      <c r="C40" s="2" t="s">
        <v>18</v>
      </c>
      <c r="D40" s="2" t="s">
        <v>97</v>
      </c>
      <c r="E40" s="2" t="s">
        <v>97</v>
      </c>
      <c r="F40" s="2" t="s">
        <v>97</v>
      </c>
      <c r="G40" s="2" t="s">
        <v>97</v>
      </c>
      <c r="H40" s="2" t="s">
        <v>338</v>
      </c>
      <c r="I40" s="2" t="s">
        <v>97</v>
      </c>
      <c r="J40" s="2" t="s">
        <v>19</v>
      </c>
      <c r="K40" s="2">
        <v>0.4</v>
      </c>
      <c r="L40" s="2">
        <v>0.2</v>
      </c>
      <c r="M40" s="2"/>
      <c r="N40" s="2"/>
      <c r="O40" s="2"/>
      <c r="P40" s="2"/>
      <c r="Q40" s="2"/>
      <c r="S40" s="5" t="s">
        <v>95</v>
      </c>
      <c r="T40" s="5">
        <v>0.2</v>
      </c>
      <c r="U40" s="5" t="s">
        <v>44</v>
      </c>
    </row>
    <row r="41" spans="1:46" x14ac:dyDescent="0.25">
      <c r="A41" s="2">
        <v>3</v>
      </c>
      <c r="B41" s="2" t="s">
        <v>1</v>
      </c>
      <c r="C41" s="2" t="s">
        <v>18</v>
      </c>
      <c r="D41" s="2" t="s">
        <v>97</v>
      </c>
      <c r="E41" s="2" t="s">
        <v>97</v>
      </c>
      <c r="F41" s="2" t="s">
        <v>97</v>
      </c>
      <c r="G41" s="2" t="s">
        <v>339</v>
      </c>
      <c r="H41" s="2" t="s">
        <v>97</v>
      </c>
      <c r="I41" s="2" t="s">
        <v>97</v>
      </c>
      <c r="J41" s="2" t="s">
        <v>19</v>
      </c>
      <c r="K41" s="2">
        <v>0.4</v>
      </c>
      <c r="L41" s="2">
        <v>0.2</v>
      </c>
      <c r="M41" s="2"/>
      <c r="N41" s="2"/>
      <c r="O41" s="2"/>
      <c r="P41" s="2"/>
      <c r="Q41" s="2"/>
      <c r="S41" s="5" t="s">
        <v>86</v>
      </c>
      <c r="T41" s="5">
        <v>1</v>
      </c>
      <c r="U41" s="5" t="s">
        <v>88</v>
      </c>
    </row>
    <row r="42" spans="1:46" x14ac:dyDescent="0.25">
      <c r="A42" s="2">
        <v>4</v>
      </c>
      <c r="B42" s="2" t="s">
        <v>1</v>
      </c>
      <c r="C42" s="2" t="s">
        <v>18</v>
      </c>
      <c r="D42" s="2" t="s">
        <v>97</v>
      </c>
      <c r="E42" s="2" t="s">
        <v>97</v>
      </c>
      <c r="F42" s="2" t="s">
        <v>97</v>
      </c>
      <c r="G42" s="2" t="s">
        <v>97</v>
      </c>
      <c r="H42" s="2" t="s">
        <v>339</v>
      </c>
      <c r="I42" s="2" t="s">
        <v>97</v>
      </c>
      <c r="J42" s="2" t="s">
        <v>19</v>
      </c>
      <c r="K42" s="2">
        <v>0.4</v>
      </c>
      <c r="L42" s="2">
        <v>0.2</v>
      </c>
      <c r="M42" s="2"/>
      <c r="N42" s="2"/>
      <c r="O42" s="2"/>
      <c r="P42" s="2"/>
      <c r="Q42" s="2"/>
      <c r="S42" s="5" t="s">
        <v>87</v>
      </c>
      <c r="T42" s="5">
        <v>1</v>
      </c>
      <c r="U42" s="5" t="s">
        <v>88</v>
      </c>
    </row>
    <row r="43" spans="1:46" x14ac:dyDescent="0.25">
      <c r="A43" s="2">
        <v>5</v>
      </c>
      <c r="B43" s="2" t="s">
        <v>55</v>
      </c>
      <c r="C43" s="98" t="s">
        <v>265</v>
      </c>
      <c r="D43" s="2">
        <v>0</v>
      </c>
      <c r="E43" s="2">
        <v>0</v>
      </c>
      <c r="F43" s="2">
        <v>0.2</v>
      </c>
      <c r="G43" s="2">
        <v>250</v>
      </c>
      <c r="H43" s="2"/>
      <c r="I43" s="2"/>
      <c r="J43" s="2"/>
      <c r="K43" s="2"/>
      <c r="L43" s="2"/>
      <c r="M43" s="2"/>
      <c r="N43" s="2"/>
      <c r="O43" s="2"/>
      <c r="P43" s="2"/>
      <c r="Q43" s="2"/>
      <c r="S43" s="5" t="s">
        <v>188</v>
      </c>
      <c r="T43" s="5" t="s">
        <v>199</v>
      </c>
      <c r="U43" s="5"/>
    </row>
    <row r="44" spans="1:46" x14ac:dyDescent="0.25">
      <c r="A44" s="2">
        <v>6</v>
      </c>
      <c r="B44" s="2"/>
      <c r="C44" s="2"/>
      <c r="D44" s="2"/>
      <c r="E44" s="2"/>
      <c r="F44" s="2"/>
      <c r="G44" s="2"/>
      <c r="H44" s="2"/>
      <c r="I44" s="2"/>
      <c r="J44" s="2"/>
      <c r="K44" s="2"/>
      <c r="L44" s="2"/>
      <c r="M44" s="2"/>
      <c r="N44" s="2"/>
      <c r="O44" s="2"/>
      <c r="P44" s="2"/>
      <c r="Q44" s="2"/>
      <c r="S44" s="5" t="s">
        <v>189</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333</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84</v>
      </c>
      <c r="T47" s="5">
        <v>1000</v>
      </c>
      <c r="U47" s="5" t="s">
        <v>45</v>
      </c>
    </row>
    <row r="48" spans="1:46" x14ac:dyDescent="0.25">
      <c r="A48" s="2">
        <v>10</v>
      </c>
      <c r="B48" s="2"/>
      <c r="C48" s="2"/>
      <c r="D48" s="2"/>
      <c r="E48" s="2"/>
      <c r="F48" s="2"/>
      <c r="G48" s="2"/>
      <c r="H48" s="2"/>
      <c r="I48" s="2"/>
      <c r="J48" s="2"/>
      <c r="K48" s="2"/>
      <c r="L48" s="2"/>
      <c r="M48" s="2"/>
      <c r="N48" s="2"/>
      <c r="O48" s="2"/>
      <c r="P48" s="2"/>
      <c r="Q48" s="2"/>
      <c r="S48" s="5" t="s">
        <v>85</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89</v>
      </c>
    </row>
    <row r="52" spans="1:22" x14ac:dyDescent="0.25">
      <c r="A52" s="2">
        <v>14</v>
      </c>
      <c r="B52" s="2"/>
      <c r="C52" s="2"/>
      <c r="D52" s="2"/>
      <c r="E52" s="2"/>
      <c r="F52" s="2"/>
      <c r="G52" s="2"/>
      <c r="H52" s="2"/>
      <c r="I52" s="2"/>
      <c r="J52" s="2"/>
      <c r="K52" s="2"/>
      <c r="L52" s="2"/>
      <c r="M52" s="2"/>
      <c r="N52" s="2"/>
      <c r="O52" s="2"/>
      <c r="P52" s="2"/>
      <c r="Q52" s="2"/>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492</v>
      </c>
      <c r="C71" s="58" t="s">
        <v>123</v>
      </c>
      <c r="D71" s="2" t="s">
        <v>483</v>
      </c>
      <c r="G71" s="58" t="s">
        <v>124</v>
      </c>
      <c r="H71" s="2" t="s">
        <v>486</v>
      </c>
      <c r="I71" s="58" t="s">
        <v>123</v>
      </c>
      <c r="J71" s="2" t="s">
        <v>455</v>
      </c>
      <c r="U71" s="89"/>
      <c r="AO71" t="s">
        <v>125</v>
      </c>
      <c r="AP71" t="s">
        <v>493</v>
      </c>
      <c r="AQ71" t="s">
        <v>124</v>
      </c>
      <c r="AR71" t="s">
        <v>492</v>
      </c>
      <c r="AS71" t="s">
        <v>123</v>
      </c>
      <c r="AT71" t="s">
        <v>483</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452</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95</v>
      </c>
      <c r="T74" s="5">
        <v>0.25</v>
      </c>
      <c r="U74" s="5" t="s">
        <v>44</v>
      </c>
    </row>
    <row r="75" spans="1:46" x14ac:dyDescent="0.25">
      <c r="A75" s="2">
        <v>3</v>
      </c>
      <c r="B75" s="2" t="s">
        <v>454</v>
      </c>
      <c r="C75" s="2"/>
      <c r="D75" s="2"/>
      <c r="E75" s="2"/>
      <c r="F75" s="2"/>
      <c r="G75" s="2"/>
      <c r="H75" s="2"/>
      <c r="I75" s="2"/>
      <c r="J75" s="2"/>
      <c r="K75" s="2"/>
      <c r="L75" s="2"/>
      <c r="M75" s="2"/>
      <c r="N75" s="2"/>
      <c r="O75" s="2"/>
      <c r="P75" s="2"/>
      <c r="Q75" s="2"/>
      <c r="S75" s="5" t="s">
        <v>86</v>
      </c>
      <c r="T75" s="5">
        <v>1</v>
      </c>
      <c r="U75" s="5" t="s">
        <v>88</v>
      </c>
    </row>
    <row r="76" spans="1:46" x14ac:dyDescent="0.25">
      <c r="A76" s="2">
        <v>4</v>
      </c>
      <c r="B76" s="2"/>
      <c r="C76" s="2"/>
      <c r="D76" s="2"/>
      <c r="E76" s="2"/>
      <c r="F76" s="2"/>
      <c r="G76" s="2"/>
      <c r="H76" s="2"/>
      <c r="I76" s="2"/>
      <c r="J76" s="2"/>
      <c r="K76" s="2"/>
      <c r="L76" s="2"/>
      <c r="M76" s="2"/>
      <c r="N76" s="2"/>
      <c r="O76" s="2"/>
      <c r="P76" s="2"/>
      <c r="Q76" s="2"/>
      <c r="S76" s="5" t="s">
        <v>87</v>
      </c>
      <c r="T76" s="5">
        <v>0.5</v>
      </c>
      <c r="U76" s="5" t="s">
        <v>88</v>
      </c>
    </row>
    <row r="77" spans="1:46" x14ac:dyDescent="0.25">
      <c r="A77" s="2">
        <v>5</v>
      </c>
      <c r="B77" s="2"/>
      <c r="C77" s="2"/>
      <c r="D77" s="2"/>
      <c r="E77" s="2"/>
      <c r="F77" s="2"/>
      <c r="G77" s="2"/>
      <c r="H77" s="2"/>
      <c r="I77" s="2"/>
      <c r="J77" s="2"/>
      <c r="K77" s="2"/>
      <c r="L77" s="2"/>
      <c r="M77" s="2"/>
      <c r="N77" s="2"/>
      <c r="O77" s="2"/>
      <c r="P77" s="2"/>
      <c r="Q77" s="2"/>
      <c r="S77" s="5" t="s">
        <v>188</v>
      </c>
      <c r="T77" s="5" t="s">
        <v>199</v>
      </c>
      <c r="U77" s="5"/>
      <c r="V77" s="5" t="s">
        <v>199</v>
      </c>
      <c r="W77" s="5" t="s">
        <v>199</v>
      </c>
      <c r="X77" s="5" t="s">
        <v>199</v>
      </c>
      <c r="Y77" s="5" t="s">
        <v>199</v>
      </c>
      <c r="Z77" s="5" t="s">
        <v>199</v>
      </c>
      <c r="AA77" s="5" t="s">
        <v>199</v>
      </c>
      <c r="AB77" s="127" t="s">
        <v>396</v>
      </c>
      <c r="AC77" s="128" t="s">
        <v>403</v>
      </c>
      <c r="AD77" s="5" t="s">
        <v>199</v>
      </c>
      <c r="AE77" s="5" t="s">
        <v>199</v>
      </c>
      <c r="AF77" s="5" t="s">
        <v>199</v>
      </c>
      <c r="AG77" s="5" t="s">
        <v>199</v>
      </c>
      <c r="AH77" s="5" t="s">
        <v>199</v>
      </c>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84</v>
      </c>
      <c r="T81" s="5">
        <v>1500</v>
      </c>
      <c r="U81" s="5" t="s">
        <v>45</v>
      </c>
    </row>
    <row r="82" spans="1:34" x14ac:dyDescent="0.25">
      <c r="A82" s="2">
        <v>10</v>
      </c>
      <c r="B82" s="2"/>
      <c r="C82" s="2"/>
      <c r="D82" s="2"/>
      <c r="E82" s="2"/>
      <c r="F82" s="2"/>
      <c r="G82" s="2"/>
      <c r="H82" s="2"/>
      <c r="I82" s="2"/>
      <c r="J82" s="2"/>
      <c r="K82" s="2"/>
      <c r="L82" s="2"/>
      <c r="M82" s="2"/>
      <c r="N82" s="2"/>
      <c r="O82" s="2"/>
      <c r="P82" s="2"/>
      <c r="Q82" s="2"/>
      <c r="S82" s="5" t="s">
        <v>85</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89</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105</v>
      </c>
      <c r="T86" s="122" t="s">
        <v>473</v>
      </c>
      <c r="U86" s="5"/>
      <c r="V86" s="122" t="s">
        <v>148</v>
      </c>
      <c r="W86" s="123" t="s">
        <v>389</v>
      </c>
      <c r="X86" s="137" t="s">
        <v>388</v>
      </c>
      <c r="Y86" s="24" t="s">
        <v>394</v>
      </c>
      <c r="Z86" s="126" t="s">
        <v>392</v>
      </c>
      <c r="AA86" s="127" t="s">
        <v>395</v>
      </c>
      <c r="AB86" s="127" t="s">
        <v>396</v>
      </c>
      <c r="AC86" s="134" t="s">
        <v>409</v>
      </c>
      <c r="AD86" s="135" t="s">
        <v>422</v>
      </c>
      <c r="AE86" s="136" t="s">
        <v>439</v>
      </c>
      <c r="AF86" s="138" t="s">
        <v>440</v>
      </c>
      <c r="AG86" s="132" t="s">
        <v>441</v>
      </c>
      <c r="AH86" s="139" t="s">
        <v>442</v>
      </c>
    </row>
    <row r="87" spans="1:34" x14ac:dyDescent="0.25">
      <c r="A87" s="2">
        <v>15</v>
      </c>
      <c r="B87" s="2"/>
      <c r="C87" s="2"/>
      <c r="D87" s="2"/>
      <c r="E87" s="2"/>
      <c r="F87" s="2"/>
      <c r="G87" s="2"/>
      <c r="H87" s="2"/>
      <c r="I87" s="2"/>
      <c r="J87" s="2"/>
      <c r="K87" s="2"/>
      <c r="L87" s="2"/>
      <c r="M87" s="2"/>
      <c r="N87" s="2"/>
      <c r="O87" s="2"/>
      <c r="P87" s="2"/>
      <c r="Q87" s="2"/>
      <c r="S87" s="5" t="s">
        <v>147</v>
      </c>
      <c r="T87" s="122" t="s">
        <v>473</v>
      </c>
      <c r="U87" s="5"/>
      <c r="V87" s="122" t="s">
        <v>120</v>
      </c>
      <c r="W87" s="123" t="s">
        <v>389</v>
      </c>
      <c r="X87" s="137" t="s">
        <v>388</v>
      </c>
      <c r="Y87" s="24" t="s">
        <v>394</v>
      </c>
      <c r="Z87" s="126" t="s">
        <v>392</v>
      </c>
      <c r="AA87" s="127" t="s">
        <v>395</v>
      </c>
      <c r="AB87" s="127" t="s">
        <v>396</v>
      </c>
      <c r="AC87" s="134" t="s">
        <v>409</v>
      </c>
      <c r="AD87" s="135" t="s">
        <v>422</v>
      </c>
      <c r="AE87" s="136" t="s">
        <v>439</v>
      </c>
      <c r="AF87" s="138" t="s">
        <v>440</v>
      </c>
      <c r="AG87" s="132" t="s">
        <v>441</v>
      </c>
      <c r="AH87" s="139" t="s">
        <v>442</v>
      </c>
    </row>
    <row r="88" spans="1:34"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334</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149</v>
      </c>
      <c r="T92" s="5" t="s">
        <v>470</v>
      </c>
      <c r="U92" s="5" t="s">
        <v>153</v>
      </c>
    </row>
    <row r="93" spans="1:34" x14ac:dyDescent="0.25">
      <c r="A93" s="29"/>
      <c r="B93" s="29"/>
      <c r="C93" s="29"/>
      <c r="D93" s="29"/>
      <c r="E93" s="29"/>
      <c r="F93" s="29"/>
      <c r="G93" s="29"/>
      <c r="H93" s="29"/>
      <c r="I93" s="29"/>
      <c r="J93" s="29"/>
      <c r="K93" s="29"/>
      <c r="L93" s="29"/>
      <c r="M93" s="29"/>
      <c r="N93" s="29"/>
      <c r="O93" s="29"/>
      <c r="P93" s="29"/>
      <c r="Q93" s="29"/>
      <c r="S93" s="5" t="s">
        <v>154</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155</v>
      </c>
      <c r="T94" s="5">
        <v>1.25</v>
      </c>
      <c r="U94" s="5" t="s">
        <v>89</v>
      </c>
    </row>
    <row r="95" spans="1:34"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157</v>
      </c>
      <c r="T96" s="5">
        <v>0</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481</v>
      </c>
      <c r="T102" s="75" t="s">
        <v>397</v>
      </c>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494</v>
      </c>
      <c r="C105" s="58" t="s">
        <v>123</v>
      </c>
      <c r="D105" s="2" t="s">
        <v>483</v>
      </c>
      <c r="G105" s="58" t="s">
        <v>124</v>
      </c>
      <c r="H105" s="2" t="s">
        <v>486</v>
      </c>
      <c r="I105" s="58" t="s">
        <v>123</v>
      </c>
      <c r="J105" s="2" t="s">
        <v>455</v>
      </c>
      <c r="U105" s="89"/>
      <c r="AO105" t="s">
        <v>125</v>
      </c>
      <c r="AP105" t="s">
        <v>495</v>
      </c>
      <c r="AQ105" t="s">
        <v>124</v>
      </c>
      <c r="AR105" t="s">
        <v>494</v>
      </c>
      <c r="AS105" t="s">
        <v>123</v>
      </c>
      <c r="AT105" t="s">
        <v>483</v>
      </c>
    </row>
    <row r="106" spans="1:46" x14ac:dyDescent="0.25">
      <c r="A106" s="40" t="s">
        <v>0</v>
      </c>
      <c r="B106" s="2"/>
      <c r="C106" s="2"/>
      <c r="D106" s="2"/>
      <c r="E106" s="2"/>
      <c r="F106" s="2"/>
      <c r="G106" s="2"/>
      <c r="H106" s="2"/>
      <c r="I106" s="2"/>
      <c r="J106" s="2"/>
      <c r="K106" s="2"/>
      <c r="L106" s="2"/>
      <c r="M106" s="2"/>
      <c r="N106" s="2"/>
      <c r="O106" s="2"/>
      <c r="P106" s="2"/>
      <c r="Q106" s="58" t="s">
        <v>284</v>
      </c>
      <c r="U106" s="89"/>
    </row>
    <row r="107" spans="1:46" x14ac:dyDescent="0.25">
      <c r="A107" s="2">
        <v>1</v>
      </c>
      <c r="B107" s="2" t="s">
        <v>452</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95</v>
      </c>
      <c r="T108" s="5">
        <v>0.25</v>
      </c>
      <c r="U108" s="5" t="s">
        <v>44</v>
      </c>
    </row>
    <row r="109" spans="1:46" x14ac:dyDescent="0.25">
      <c r="A109" s="2">
        <v>3</v>
      </c>
      <c r="B109" s="2" t="s">
        <v>454</v>
      </c>
      <c r="C109" s="2"/>
      <c r="D109" s="2"/>
      <c r="E109" s="2"/>
      <c r="F109" s="2"/>
      <c r="G109" s="2"/>
      <c r="H109" s="2"/>
      <c r="I109" s="2"/>
      <c r="J109" s="2"/>
      <c r="K109" s="2"/>
      <c r="L109" s="2"/>
      <c r="M109" s="2"/>
      <c r="N109" s="2"/>
      <c r="O109" s="2"/>
      <c r="P109" s="2"/>
      <c r="Q109" s="2"/>
      <c r="S109" s="5" t="s">
        <v>86</v>
      </c>
      <c r="T109" s="5">
        <v>1</v>
      </c>
      <c r="U109" s="5" t="s">
        <v>88</v>
      </c>
    </row>
    <row r="110" spans="1:46" x14ac:dyDescent="0.25">
      <c r="A110" s="2">
        <v>4</v>
      </c>
      <c r="B110" s="2"/>
      <c r="C110" s="2"/>
      <c r="D110" s="2"/>
      <c r="E110" s="2"/>
      <c r="F110" s="2"/>
      <c r="G110" s="2"/>
      <c r="H110" s="2"/>
      <c r="I110" s="2"/>
      <c r="J110" s="2"/>
      <c r="K110" s="2"/>
      <c r="L110" s="2"/>
      <c r="M110" s="2"/>
      <c r="N110" s="2"/>
      <c r="O110" s="2"/>
      <c r="P110" s="2"/>
      <c r="Q110" s="2"/>
      <c r="S110" s="5" t="s">
        <v>87</v>
      </c>
      <c r="T110" s="5">
        <v>0.5</v>
      </c>
      <c r="U110" s="5" t="s">
        <v>88</v>
      </c>
    </row>
    <row r="111" spans="1:46" x14ac:dyDescent="0.25">
      <c r="A111" s="2">
        <v>5</v>
      </c>
      <c r="B111" s="2"/>
      <c r="C111" s="2"/>
      <c r="D111" s="2"/>
      <c r="E111" s="2"/>
      <c r="F111" s="2"/>
      <c r="G111" s="2"/>
      <c r="H111" s="2"/>
      <c r="I111" s="2"/>
      <c r="J111" s="2"/>
      <c r="K111" s="2"/>
      <c r="L111" s="2"/>
      <c r="M111" s="2"/>
      <c r="N111" s="2"/>
      <c r="O111" s="2"/>
      <c r="P111" s="2"/>
      <c r="Q111" s="2"/>
      <c r="S111" s="5" t="s">
        <v>188</v>
      </c>
      <c r="T111" s="5" t="s">
        <v>199</v>
      </c>
      <c r="U111" s="5"/>
      <c r="V111" s="5" t="s">
        <v>199</v>
      </c>
      <c r="W111" s="5" t="s">
        <v>199</v>
      </c>
      <c r="X111" s="5" t="s">
        <v>199</v>
      </c>
      <c r="Y111" s="5" t="s">
        <v>199</v>
      </c>
      <c r="Z111" s="5" t="s">
        <v>199</v>
      </c>
      <c r="AA111" s="5" t="s">
        <v>199</v>
      </c>
      <c r="AB111" s="127" t="s">
        <v>396</v>
      </c>
      <c r="AC111" s="128" t="s">
        <v>403</v>
      </c>
      <c r="AD111" s="5" t="s">
        <v>199</v>
      </c>
      <c r="AE111" s="5" t="s">
        <v>199</v>
      </c>
      <c r="AF111" s="5" t="s">
        <v>199</v>
      </c>
      <c r="AG111" s="5" t="s">
        <v>199</v>
      </c>
      <c r="AH111" s="5" t="s">
        <v>199</v>
      </c>
    </row>
    <row r="112" spans="1:46" x14ac:dyDescent="0.25">
      <c r="A112" s="2">
        <v>6</v>
      </c>
      <c r="B112" s="2"/>
      <c r="C112" s="2"/>
      <c r="D112" s="2"/>
      <c r="E112" s="2"/>
      <c r="F112" s="2"/>
      <c r="G112" s="2"/>
      <c r="H112" s="2"/>
      <c r="I112" s="2"/>
      <c r="J112" s="2"/>
      <c r="K112" s="2"/>
      <c r="L112" s="2"/>
      <c r="M112" s="2"/>
      <c r="N112" s="2"/>
      <c r="O112" s="2"/>
      <c r="P112" s="2"/>
      <c r="Q112" s="2"/>
      <c r="S112" s="5" t="s">
        <v>189</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333</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84</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85</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89</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105</v>
      </c>
      <c r="T120" s="122" t="s">
        <v>473</v>
      </c>
      <c r="U120" s="5"/>
      <c r="V120" s="122" t="s">
        <v>148</v>
      </c>
      <c r="W120" s="123" t="s">
        <v>389</v>
      </c>
      <c r="X120" s="137" t="s">
        <v>388</v>
      </c>
      <c r="Y120" s="24" t="s">
        <v>394</v>
      </c>
      <c r="Z120" s="126" t="s">
        <v>392</v>
      </c>
      <c r="AA120" s="127" t="s">
        <v>395</v>
      </c>
      <c r="AB120" s="127" t="s">
        <v>396</v>
      </c>
      <c r="AC120" s="134" t="s">
        <v>409</v>
      </c>
      <c r="AD120" s="135" t="s">
        <v>422</v>
      </c>
      <c r="AE120" s="136" t="s">
        <v>439</v>
      </c>
      <c r="AF120" s="138" t="s">
        <v>440</v>
      </c>
      <c r="AG120" s="132" t="s">
        <v>441</v>
      </c>
      <c r="AH120" s="139" t="s">
        <v>442</v>
      </c>
    </row>
    <row r="121" spans="1:34" x14ac:dyDescent="0.25">
      <c r="A121" s="2">
        <v>15</v>
      </c>
      <c r="B121" s="2"/>
      <c r="C121" s="2"/>
      <c r="D121" s="2"/>
      <c r="E121" s="2"/>
      <c r="F121" s="2"/>
      <c r="G121" s="2"/>
      <c r="H121" s="2"/>
      <c r="I121" s="2"/>
      <c r="J121" s="2"/>
      <c r="K121" s="2"/>
      <c r="L121" s="2"/>
      <c r="M121" s="2"/>
      <c r="N121" s="2"/>
      <c r="O121" s="2"/>
      <c r="P121" s="2"/>
      <c r="Q121" s="2"/>
      <c r="S121" s="5" t="s">
        <v>147</v>
      </c>
      <c r="T121" s="122" t="s">
        <v>473</v>
      </c>
      <c r="U121" s="5"/>
      <c r="V121" s="122" t="s">
        <v>120</v>
      </c>
      <c r="W121" s="123" t="s">
        <v>389</v>
      </c>
      <c r="X121" s="137" t="s">
        <v>388</v>
      </c>
      <c r="Y121" s="24" t="s">
        <v>394</v>
      </c>
      <c r="Z121" s="126" t="s">
        <v>392</v>
      </c>
      <c r="AA121" s="127" t="s">
        <v>395</v>
      </c>
      <c r="AB121" s="127" t="s">
        <v>396</v>
      </c>
      <c r="AC121" s="134" t="s">
        <v>409</v>
      </c>
      <c r="AD121" s="135" t="s">
        <v>422</v>
      </c>
      <c r="AE121" s="136" t="s">
        <v>439</v>
      </c>
      <c r="AF121" s="138" t="s">
        <v>440</v>
      </c>
      <c r="AG121" s="132" t="s">
        <v>441</v>
      </c>
      <c r="AH121" s="139" t="s">
        <v>442</v>
      </c>
    </row>
    <row r="122" spans="1:34" x14ac:dyDescent="0.25">
      <c r="A122" s="29"/>
      <c r="B122" s="29"/>
      <c r="C122" s="29"/>
      <c r="D122" s="29"/>
      <c r="E122" s="29"/>
      <c r="F122" s="29"/>
      <c r="G122" s="29"/>
      <c r="H122" s="29"/>
      <c r="I122" s="29"/>
      <c r="J122" s="29"/>
      <c r="K122" s="29"/>
      <c r="L122" s="29"/>
      <c r="M122" s="29"/>
      <c r="N122" s="29"/>
      <c r="O122" s="29"/>
      <c r="P122" s="29"/>
      <c r="Q122" s="29"/>
      <c r="S122" s="5" t="s">
        <v>162</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163</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164</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334</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149</v>
      </c>
      <c r="T126" s="5" t="s">
        <v>470</v>
      </c>
      <c r="U126" s="5" t="s">
        <v>153</v>
      </c>
    </row>
    <row r="127" spans="1:34" x14ac:dyDescent="0.25">
      <c r="A127" s="29"/>
      <c r="B127" s="29"/>
      <c r="C127" s="29"/>
      <c r="D127" s="29"/>
      <c r="E127" s="29"/>
      <c r="F127" s="29"/>
      <c r="G127" s="29"/>
      <c r="H127" s="29"/>
      <c r="I127" s="29"/>
      <c r="J127" s="29"/>
      <c r="K127" s="29"/>
      <c r="L127" s="29"/>
      <c r="M127" s="29"/>
      <c r="N127" s="29"/>
      <c r="O127" s="29"/>
      <c r="P127" s="29"/>
      <c r="Q127" s="29"/>
      <c r="S127" s="5" t="s">
        <v>154</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155</v>
      </c>
      <c r="T128" s="5">
        <v>1.25</v>
      </c>
      <c r="U128" s="5" t="s">
        <v>89</v>
      </c>
    </row>
    <row r="129" spans="1:46"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157</v>
      </c>
      <c r="T130" s="5">
        <v>0</v>
      </c>
      <c r="U130" s="5" t="s">
        <v>89</v>
      </c>
    </row>
    <row r="131" spans="1:46"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159</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160</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287</v>
      </c>
      <c r="T135" s="96" t="s">
        <v>288</v>
      </c>
      <c r="U135" s="97" t="s">
        <v>326</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106</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106</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124</v>
      </c>
      <c r="B139" s="2" t="s">
        <v>519</v>
      </c>
      <c r="C139" s="58" t="s">
        <v>123</v>
      </c>
      <c r="D139" s="2" t="s">
        <v>483</v>
      </c>
      <c r="G139" s="58" t="s">
        <v>124</v>
      </c>
      <c r="H139" s="2" t="s">
        <v>517</v>
      </c>
      <c r="I139" s="58" t="s">
        <v>123</v>
      </c>
      <c r="J139" s="2" t="s">
        <v>455</v>
      </c>
      <c r="U139" s="89"/>
      <c r="AO139" t="s">
        <v>125</v>
      </c>
      <c r="AP139" t="s">
        <v>520</v>
      </c>
      <c r="AQ139" t="s">
        <v>124</v>
      </c>
      <c r="AR139" t="s">
        <v>519</v>
      </c>
      <c r="AS139" t="s">
        <v>123</v>
      </c>
      <c r="AT139" t="s">
        <v>483</v>
      </c>
    </row>
    <row r="140" spans="1:46" x14ac:dyDescent="0.25">
      <c r="A140" s="40" t="s">
        <v>0</v>
      </c>
      <c r="B140" s="2"/>
      <c r="C140" s="2"/>
      <c r="D140" s="2"/>
      <c r="E140" s="2"/>
      <c r="F140" s="2"/>
      <c r="G140" s="2"/>
      <c r="H140" s="2"/>
      <c r="I140" s="2"/>
      <c r="J140" s="2"/>
      <c r="K140" s="2"/>
      <c r="L140" s="2"/>
      <c r="M140" s="2"/>
      <c r="N140" s="2"/>
      <c r="O140" s="2"/>
      <c r="P140" s="2"/>
      <c r="Q140" s="58" t="s">
        <v>284</v>
      </c>
      <c r="U140" s="89"/>
    </row>
    <row r="141" spans="1:46" x14ac:dyDescent="0.25">
      <c r="A141" s="2">
        <v>1</v>
      </c>
      <c r="B141" s="142" t="s">
        <v>496</v>
      </c>
      <c r="C141" s="2" t="s">
        <v>18</v>
      </c>
      <c r="D141" s="2" t="s">
        <v>3</v>
      </c>
      <c r="E141" s="2" t="s">
        <v>4</v>
      </c>
      <c r="F141" s="2" t="s">
        <v>33</v>
      </c>
      <c r="G141" s="2" t="s">
        <v>5</v>
      </c>
      <c r="H141" s="2" t="s">
        <v>6</v>
      </c>
      <c r="I141" s="2" t="s">
        <v>34</v>
      </c>
      <c r="J141" s="2" t="s">
        <v>77</v>
      </c>
      <c r="K141" s="2" t="s">
        <v>15</v>
      </c>
      <c r="L141" s="2" t="s">
        <v>11</v>
      </c>
      <c r="M141" s="2" t="s">
        <v>176</v>
      </c>
      <c r="N141" s="2"/>
      <c r="O141" s="2"/>
      <c r="P141" s="2"/>
      <c r="Q141" s="2"/>
      <c r="S141" s="95" t="s">
        <v>40</v>
      </c>
      <c r="T141" s="3"/>
      <c r="U141" s="5"/>
    </row>
    <row r="142" spans="1:46" x14ac:dyDescent="0.25">
      <c r="A142" s="2">
        <v>2</v>
      </c>
      <c r="B142" s="142" t="s">
        <v>501</v>
      </c>
      <c r="C142" s="2" t="s">
        <v>198</v>
      </c>
      <c r="D142" s="2">
        <v>0</v>
      </c>
      <c r="E142" s="2"/>
      <c r="F142" s="2"/>
      <c r="G142" s="2"/>
      <c r="H142" s="2"/>
      <c r="I142" s="2"/>
      <c r="J142" s="2"/>
      <c r="K142" s="2"/>
      <c r="L142" s="2"/>
      <c r="M142" s="2"/>
      <c r="N142" s="2"/>
      <c r="O142" s="2"/>
      <c r="P142" s="2"/>
      <c r="Q142" s="2" t="s">
        <v>498</v>
      </c>
      <c r="S142" s="5" t="s">
        <v>95</v>
      </c>
      <c r="T142" s="5">
        <v>0.55000000000000004</v>
      </c>
      <c r="U142" s="5" t="s">
        <v>44</v>
      </c>
    </row>
    <row r="143" spans="1:46" x14ac:dyDescent="0.25">
      <c r="A143" s="2">
        <v>3</v>
      </c>
      <c r="B143" s="142" t="s">
        <v>496</v>
      </c>
      <c r="C143" s="2" t="s">
        <v>18</v>
      </c>
      <c r="D143" s="2" t="s">
        <v>97</v>
      </c>
      <c r="E143" s="2" t="s">
        <v>97</v>
      </c>
      <c r="F143" s="2" t="s">
        <v>97</v>
      </c>
      <c r="G143" s="2">
        <v>50</v>
      </c>
      <c r="H143" s="2">
        <v>50</v>
      </c>
      <c r="I143" s="2">
        <v>0.55000000000000004</v>
      </c>
      <c r="J143" s="2" t="s">
        <v>23</v>
      </c>
      <c r="K143" s="2"/>
      <c r="L143" s="2"/>
      <c r="M143" s="2"/>
      <c r="N143" s="2"/>
      <c r="O143" s="2"/>
      <c r="P143" s="2"/>
      <c r="Q143" s="2"/>
      <c r="S143" s="5" t="s">
        <v>86</v>
      </c>
      <c r="T143" s="5">
        <v>0.83</v>
      </c>
      <c r="U143" s="5" t="s">
        <v>88</v>
      </c>
    </row>
    <row r="144" spans="1:46" x14ac:dyDescent="0.25">
      <c r="A144" s="2">
        <v>4</v>
      </c>
      <c r="B144" s="2" t="s">
        <v>1</v>
      </c>
      <c r="C144" s="2" t="s">
        <v>18</v>
      </c>
      <c r="D144" s="2" cm="1">
        <f t="array" ref="D144">StartX</f>
        <v>15</v>
      </c>
      <c r="E144" s="2">
        <f>StartY</f>
        <v>75</v>
      </c>
      <c r="F144" s="2">
        <v>0</v>
      </c>
      <c r="G144" s="2" t="str">
        <f>CONCATENATE("R", 3*ExtrusionSpacing_L1)</f>
        <v>R5.25</v>
      </c>
      <c r="H144" s="2" t="s">
        <v>97</v>
      </c>
      <c r="I144" s="2" t="s">
        <v>97</v>
      </c>
      <c r="J144" s="2" t="s">
        <v>19</v>
      </c>
      <c r="K144" s="2">
        <f>ExtrusionWidth</f>
        <v>1.524</v>
      </c>
      <c r="L144" s="2">
        <f>ExtrusionHeight</f>
        <v>1</v>
      </c>
      <c r="M144" s="2"/>
      <c r="N144" s="2"/>
      <c r="O144" s="2"/>
      <c r="P144" s="2"/>
      <c r="Q144" s="2"/>
      <c r="S144" s="5" t="s">
        <v>87</v>
      </c>
      <c r="T144" s="5">
        <v>0.85</v>
      </c>
      <c r="U144" s="5" t="s">
        <v>88</v>
      </c>
    </row>
    <row r="145" spans="1:34" x14ac:dyDescent="0.25">
      <c r="A145" s="2">
        <v>5</v>
      </c>
      <c r="B145" s="2" t="s">
        <v>1</v>
      </c>
      <c r="C145" s="2" t="s">
        <v>18</v>
      </c>
      <c r="D145" s="2" t="s">
        <v>97</v>
      </c>
      <c r="E145" s="2" t="s">
        <v>97</v>
      </c>
      <c r="F145" s="2" t="s">
        <v>97</v>
      </c>
      <c r="G145" s="2" t="s">
        <v>97</v>
      </c>
      <c r="H145" s="2" t="str" cm="1">
        <f t="array" ref="H145">CONCATENATE("R", Length)</f>
        <v>R120</v>
      </c>
      <c r="I145" s="2" t="s">
        <v>97</v>
      </c>
      <c r="J145" s="2" t="s">
        <v>19</v>
      </c>
      <c r="K145" s="2">
        <f>ExtrusionWidth</f>
        <v>1.524</v>
      </c>
      <c r="L145" s="2">
        <f>ExtrusionHeight</f>
        <v>1</v>
      </c>
      <c r="M145" s="2"/>
      <c r="N145" s="2"/>
      <c r="O145" s="2"/>
      <c r="P145" s="2"/>
      <c r="Q145" s="2"/>
      <c r="S145" s="5" t="s">
        <v>188</v>
      </c>
      <c r="T145" s="5" t="s">
        <v>199</v>
      </c>
      <c r="U145" s="5"/>
      <c r="V145" s="5" t="s">
        <v>199</v>
      </c>
      <c r="W145" s="5" t="s">
        <v>199</v>
      </c>
      <c r="X145" s="5" t="s">
        <v>199</v>
      </c>
      <c r="Y145" s="5" t="s">
        <v>199</v>
      </c>
      <c r="Z145" s="5" t="s">
        <v>199</v>
      </c>
      <c r="AA145" s="5" t="s">
        <v>199</v>
      </c>
      <c r="AB145" s="127" t="s">
        <v>396</v>
      </c>
      <c r="AC145" s="128" t="s">
        <v>403</v>
      </c>
      <c r="AD145" s="5" t="s">
        <v>199</v>
      </c>
      <c r="AE145" s="5" t="s">
        <v>199</v>
      </c>
      <c r="AF145" s="5" t="s">
        <v>199</v>
      </c>
      <c r="AG145" s="5" t="s">
        <v>199</v>
      </c>
      <c r="AH145" s="5" t="s">
        <v>199</v>
      </c>
    </row>
    <row r="146" spans="1:34" x14ac:dyDescent="0.25">
      <c r="A146" s="2">
        <v>6</v>
      </c>
      <c r="B146" s="2" t="s">
        <v>1</v>
      </c>
      <c r="C146" s="2" t="s">
        <v>18</v>
      </c>
      <c r="D146" s="2" t="s">
        <v>97</v>
      </c>
      <c r="E146" s="2" t="s">
        <v>97</v>
      </c>
      <c r="F146" s="2" t="s">
        <v>97</v>
      </c>
      <c r="G146" s="2" t="str">
        <f>CONCATENATE("R", ExtrusionSpacing_L1)</f>
        <v>R1.75</v>
      </c>
      <c r="H146" s="2" t="s">
        <v>97</v>
      </c>
      <c r="I146" s="2" t="s">
        <v>97</v>
      </c>
      <c r="J146" s="2" t="s">
        <v>19</v>
      </c>
      <c r="K146" s="2">
        <f>ExtrusionWidth</f>
        <v>1.524</v>
      </c>
      <c r="L146" s="2">
        <f>ExtrusionHeight</f>
        <v>1</v>
      </c>
      <c r="M146" s="2"/>
      <c r="N146" s="2"/>
      <c r="O146" s="2"/>
      <c r="P146" s="2"/>
      <c r="Q146" s="2"/>
      <c r="S146" s="5" t="s">
        <v>189</v>
      </c>
      <c r="T146" s="5">
        <v>0</v>
      </c>
      <c r="U146" s="5"/>
    </row>
    <row r="147" spans="1:34" x14ac:dyDescent="0.25">
      <c r="A147" s="2">
        <v>7</v>
      </c>
      <c r="B147" s="2" t="s">
        <v>1</v>
      </c>
      <c r="C147" s="2" t="s">
        <v>18</v>
      </c>
      <c r="D147" s="2" t="s">
        <v>97</v>
      </c>
      <c r="E147" s="2" t="s">
        <v>97</v>
      </c>
      <c r="F147" s="2" t="s">
        <v>97</v>
      </c>
      <c r="G147" s="2" t="s">
        <v>97</v>
      </c>
      <c r="H147" s="2" t="str">
        <f>CONCATENATE("R-", Length)</f>
        <v>R-120</v>
      </c>
      <c r="I147" s="2" t="s">
        <v>97</v>
      </c>
      <c r="J147" s="2" t="s">
        <v>19</v>
      </c>
      <c r="K147" s="2">
        <f>ExtrusionWidth</f>
        <v>1.524</v>
      </c>
      <c r="L147" s="2">
        <f>ExtrusionHeight</f>
        <v>1</v>
      </c>
      <c r="M147" s="2"/>
      <c r="N147" s="2"/>
      <c r="O147" s="2"/>
      <c r="P147" s="2"/>
      <c r="Q147" s="2"/>
      <c r="S147" s="57"/>
      <c r="T147" s="57"/>
      <c r="U147" s="90"/>
    </row>
    <row r="148" spans="1:34" x14ac:dyDescent="0.25">
      <c r="A148" s="2">
        <v>8</v>
      </c>
      <c r="B148" s="2" t="s">
        <v>55</v>
      </c>
      <c r="C148" s="98" t="s">
        <v>503</v>
      </c>
      <c r="D148" s="2">
        <f>4*ExtrusionSpacing_L1</f>
        <v>7</v>
      </c>
      <c r="E148" s="2">
        <v>0</v>
      </c>
      <c r="F148" s="2">
        <v>0</v>
      </c>
      <c r="G148" s="2">
        <v>20</v>
      </c>
      <c r="H148" s="2"/>
      <c r="I148" s="2"/>
      <c r="J148" s="2"/>
      <c r="K148" s="2"/>
      <c r="L148" s="2"/>
      <c r="M148" s="2"/>
      <c r="N148" s="2"/>
      <c r="O148" s="2"/>
      <c r="P148" s="2"/>
      <c r="Q148" s="2"/>
      <c r="S148" s="5" t="s">
        <v>333</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511</v>
      </c>
      <c r="D149" s="2"/>
      <c r="E149" s="2"/>
      <c r="F149" s="2"/>
      <c r="G149" s="2"/>
      <c r="H149" s="2"/>
      <c r="I149" s="2"/>
      <c r="J149" s="2"/>
      <c r="K149" s="2"/>
      <c r="L149" s="2"/>
      <c r="M149" s="2"/>
      <c r="N149" s="2"/>
      <c r="O149" s="2"/>
      <c r="P149" s="2"/>
      <c r="Q149" s="2"/>
      <c r="S149" s="5" t="s">
        <v>84</v>
      </c>
      <c r="T149" s="5">
        <v>1500</v>
      </c>
      <c r="U149" s="5" t="s">
        <v>45</v>
      </c>
    </row>
    <row r="150" spans="1:34" x14ac:dyDescent="0.25">
      <c r="A150" s="2">
        <v>10</v>
      </c>
      <c r="B150" s="143" t="s">
        <v>49</v>
      </c>
      <c r="C150" s="2" t="s">
        <v>198</v>
      </c>
      <c r="D150" s="2">
        <v>1</v>
      </c>
      <c r="E150" s="2"/>
      <c r="F150" s="2"/>
      <c r="G150" s="2"/>
      <c r="H150" s="2"/>
      <c r="I150" s="2"/>
      <c r="J150" s="2"/>
      <c r="K150" s="2"/>
      <c r="L150" s="2"/>
      <c r="M150" s="2"/>
      <c r="N150" s="2"/>
      <c r="O150" s="2"/>
      <c r="P150" s="2"/>
      <c r="Q150" s="2"/>
      <c r="S150" s="5" t="s">
        <v>85</v>
      </c>
      <c r="T150" s="5">
        <v>48000</v>
      </c>
      <c r="U150" s="5" t="s">
        <v>45</v>
      </c>
    </row>
    <row r="151" spans="1:34" x14ac:dyDescent="0.25">
      <c r="A151" s="2">
        <v>11</v>
      </c>
      <c r="B151" s="143" t="s">
        <v>49</v>
      </c>
      <c r="C151" s="2" t="s">
        <v>472</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496</v>
      </c>
      <c r="C152" s="2" t="s">
        <v>18</v>
      </c>
      <c r="D152" s="2" t="s">
        <v>97</v>
      </c>
      <c r="E152" s="2" t="s">
        <v>97</v>
      </c>
      <c r="F152" s="2" t="s">
        <v>97</v>
      </c>
      <c r="G152" s="2">
        <f>50+ExtrusionSpacing_L1</f>
        <v>51.75</v>
      </c>
      <c r="H152" s="2">
        <f>50+Length+ExtrusionSpacing_L1</f>
        <v>171.75</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16.75</v>
      </c>
      <c r="E153" s="2">
        <f>StartY+Length+ExtrusionSpacing_L1</f>
        <v>196.75</v>
      </c>
      <c r="F153" s="2">
        <v>1E-4</v>
      </c>
      <c r="G153" s="2" t="s">
        <v>97</v>
      </c>
      <c r="H153" s="2" t="str">
        <f>CONCATENATE("R-", Length)</f>
        <v>R-120</v>
      </c>
      <c r="I153" s="2" t="s">
        <v>97</v>
      </c>
      <c r="J153" s="2" t="s">
        <v>19</v>
      </c>
      <c r="K153" s="2">
        <f>ExtrusionWidth</f>
        <v>1.524</v>
      </c>
      <c r="L153" s="2">
        <f>ExtrusionHeight</f>
        <v>1</v>
      </c>
      <c r="M153" s="2"/>
      <c r="N153" s="2"/>
      <c r="O153" s="2"/>
      <c r="P153" s="2"/>
      <c r="Q153" s="2"/>
      <c r="S153" s="5" t="s">
        <v>46</v>
      </c>
      <c r="T153" s="122">
        <v>33</v>
      </c>
      <c r="U153" s="5" t="s">
        <v>89</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97</v>
      </c>
      <c r="E154" s="2" t="s">
        <v>97</v>
      </c>
      <c r="F154" s="2" t="s">
        <v>97</v>
      </c>
      <c r="G154" s="2" t="str">
        <f>CONCATENATE("R", ExtrusionSpacing_L1)</f>
        <v>R1.75</v>
      </c>
      <c r="H154" s="2" t="s">
        <v>97</v>
      </c>
      <c r="I154" s="2" t="s">
        <v>97</v>
      </c>
      <c r="J154" s="2" t="s">
        <v>19</v>
      </c>
      <c r="K154" s="2">
        <f>ExtrusionWidth</f>
        <v>1.524</v>
      </c>
      <c r="L154" s="2">
        <f>ExtrusionHeight</f>
        <v>1</v>
      </c>
      <c r="M154" s="2"/>
      <c r="N154" s="2"/>
      <c r="O154" s="2"/>
      <c r="P154" s="2"/>
      <c r="Q154" s="2"/>
      <c r="S154" s="5" t="s">
        <v>105</v>
      </c>
      <c r="T154" s="122" t="s">
        <v>473</v>
      </c>
      <c r="U154" s="5"/>
      <c r="V154" s="122" t="s">
        <v>148</v>
      </c>
      <c r="W154" s="123" t="s">
        <v>389</v>
      </c>
      <c r="X154" s="137" t="s">
        <v>388</v>
      </c>
      <c r="Y154" s="24" t="s">
        <v>394</v>
      </c>
      <c r="Z154" s="126" t="s">
        <v>392</v>
      </c>
      <c r="AA154" s="127" t="s">
        <v>395</v>
      </c>
      <c r="AB154" s="127" t="s">
        <v>396</v>
      </c>
      <c r="AC154" s="134" t="s">
        <v>409</v>
      </c>
      <c r="AD154" s="135" t="s">
        <v>422</v>
      </c>
      <c r="AE154" s="136" t="s">
        <v>439</v>
      </c>
      <c r="AF154" s="138" t="s">
        <v>440</v>
      </c>
      <c r="AG154" s="132" t="s">
        <v>441</v>
      </c>
      <c r="AH154" s="139" t="s">
        <v>442</v>
      </c>
    </row>
    <row r="155" spans="1:34" x14ac:dyDescent="0.25">
      <c r="A155" s="2">
        <v>15</v>
      </c>
      <c r="B155" s="143" t="s">
        <v>1</v>
      </c>
      <c r="C155" s="2" t="s">
        <v>18</v>
      </c>
      <c r="D155" s="2" t="s">
        <v>97</v>
      </c>
      <c r="E155" s="2" t="s">
        <v>97</v>
      </c>
      <c r="F155" s="2" t="s">
        <v>97</v>
      </c>
      <c r="G155" s="2" t="s">
        <v>97</v>
      </c>
      <c r="H155" s="2" t="str" cm="1">
        <f t="array" ref="H155">CONCATENATE("R", Length)</f>
        <v>R120</v>
      </c>
      <c r="I155" s="2" t="s">
        <v>97</v>
      </c>
      <c r="J155" s="2" t="s">
        <v>19</v>
      </c>
      <c r="K155" s="2">
        <f>ExtrusionWidth</f>
        <v>1.524</v>
      </c>
      <c r="L155" s="2">
        <f>ExtrusionHeight</f>
        <v>1</v>
      </c>
      <c r="M155" s="2"/>
      <c r="N155" s="2"/>
      <c r="O155" s="2"/>
      <c r="P155" s="2"/>
      <c r="Q155" s="2"/>
      <c r="S155" s="5" t="s">
        <v>147</v>
      </c>
      <c r="T155" s="122" t="s">
        <v>473</v>
      </c>
      <c r="U155" s="5"/>
      <c r="V155" s="122" t="s">
        <v>120</v>
      </c>
      <c r="W155" s="123" t="s">
        <v>389</v>
      </c>
      <c r="X155" s="137" t="s">
        <v>388</v>
      </c>
      <c r="Y155" s="24" t="s">
        <v>394</v>
      </c>
      <c r="Z155" s="126" t="s">
        <v>392</v>
      </c>
      <c r="AA155" s="127" t="s">
        <v>395</v>
      </c>
      <c r="AB155" s="127" t="s">
        <v>396</v>
      </c>
      <c r="AC155" s="134" t="s">
        <v>409</v>
      </c>
      <c r="AD155" s="135" t="s">
        <v>422</v>
      </c>
      <c r="AE155" s="136" t="s">
        <v>439</v>
      </c>
      <c r="AF155" s="138" t="s">
        <v>440</v>
      </c>
      <c r="AG155" s="132" t="s">
        <v>441</v>
      </c>
      <c r="AH155" s="139" t="s">
        <v>442</v>
      </c>
    </row>
    <row r="156" spans="1:34" x14ac:dyDescent="0.25">
      <c r="A156" s="2">
        <v>16</v>
      </c>
      <c r="B156" s="143" t="s">
        <v>1</v>
      </c>
      <c r="C156" s="2" t="s">
        <v>18</v>
      </c>
      <c r="D156" s="2" t="s">
        <v>97</v>
      </c>
      <c r="E156" s="2" t="s">
        <v>97</v>
      </c>
      <c r="F156" s="2" t="s">
        <v>97</v>
      </c>
      <c r="G156" s="2" t="str">
        <f>CONCATENATE("R", 3*ExtrusionSpacing_L1)</f>
        <v>R5.25</v>
      </c>
      <c r="H156" s="2" t="s">
        <v>97</v>
      </c>
      <c r="I156" s="2" t="s">
        <v>97</v>
      </c>
      <c r="J156" s="2" t="s">
        <v>19</v>
      </c>
      <c r="K156" s="2">
        <f>ExtrusionWidth</f>
        <v>1.524</v>
      </c>
      <c r="L156" s="2">
        <f>ExtrusionHeight</f>
        <v>1</v>
      </c>
      <c r="M156" s="2"/>
      <c r="N156" s="2"/>
      <c r="O156" s="2"/>
      <c r="P156" s="2"/>
      <c r="Q156" s="2"/>
      <c r="S156" s="5" t="s">
        <v>162</v>
      </c>
      <c r="T156" s="5">
        <v>20</v>
      </c>
      <c r="U156" s="5" t="s">
        <v>44</v>
      </c>
    </row>
    <row r="157" spans="1:34" x14ac:dyDescent="0.25">
      <c r="A157" s="2">
        <v>17</v>
      </c>
      <c r="B157" s="143" t="s">
        <v>55</v>
      </c>
      <c r="C157" s="98" t="s">
        <v>502</v>
      </c>
      <c r="D157" s="2">
        <f>4*ExtrusionSpacing_L1</f>
        <v>7</v>
      </c>
      <c r="E157" s="2">
        <v>0</v>
      </c>
      <c r="F157" s="2">
        <v>0</v>
      </c>
      <c r="G157" s="2">
        <v>20</v>
      </c>
      <c r="H157" s="2"/>
      <c r="I157" s="2"/>
      <c r="J157" s="2"/>
      <c r="K157" s="2"/>
      <c r="L157" s="2"/>
      <c r="M157" s="2"/>
      <c r="N157" s="2"/>
      <c r="O157" s="2"/>
      <c r="P157" s="2"/>
      <c r="Q157" s="2"/>
      <c r="S157" s="5" t="s">
        <v>163</v>
      </c>
      <c r="T157" s="5">
        <v>10</v>
      </c>
      <c r="U157" s="5" t="s">
        <v>44</v>
      </c>
    </row>
    <row r="158" spans="1:34" x14ac:dyDescent="0.25">
      <c r="A158" s="2">
        <v>18</v>
      </c>
      <c r="B158" s="143" t="s">
        <v>39</v>
      </c>
      <c r="C158" s="2">
        <v>1.25</v>
      </c>
      <c r="D158" s="2">
        <v>2100</v>
      </c>
      <c r="E158" s="2">
        <f>LayerHeight</f>
        <v>1</v>
      </c>
      <c r="F158" s="2">
        <v>10000</v>
      </c>
      <c r="G158" s="2"/>
      <c r="H158" s="2"/>
      <c r="I158" s="2"/>
      <c r="J158" s="2"/>
      <c r="K158" s="2"/>
      <c r="L158" s="2"/>
      <c r="M158" s="2"/>
      <c r="N158" s="2"/>
      <c r="O158" s="2"/>
      <c r="P158" s="2"/>
      <c r="Q158" s="2"/>
      <c r="S158" s="5" t="s">
        <v>164</v>
      </c>
      <c r="T158" s="5">
        <v>0.3</v>
      </c>
      <c r="U158" s="5" t="s">
        <v>44</v>
      </c>
    </row>
    <row r="159" spans="1:34" x14ac:dyDescent="0.25">
      <c r="A159" s="2">
        <v>19</v>
      </c>
      <c r="B159" s="142" t="s">
        <v>496</v>
      </c>
      <c r="C159" s="2" t="s">
        <v>18</v>
      </c>
      <c r="D159" s="2" t="s">
        <v>97</v>
      </c>
      <c r="E159" s="2" t="s">
        <v>97</v>
      </c>
      <c r="F159" s="2" t="s">
        <v>97</v>
      </c>
      <c r="G159" s="2">
        <f>50+ExtrusionSpacing_L1</f>
        <v>51.75</v>
      </c>
      <c r="H159" s="2">
        <f>50+Length+ExtrusionSpacing_L1</f>
        <v>171.75</v>
      </c>
      <c r="I159" s="2"/>
      <c r="J159" s="2" t="s">
        <v>23</v>
      </c>
      <c r="K159" s="2"/>
      <c r="L159" s="2"/>
      <c r="M159" s="2"/>
      <c r="N159" s="2"/>
      <c r="O159" s="2"/>
      <c r="P159" s="2"/>
      <c r="Q159" s="2"/>
      <c r="S159" s="78" t="s">
        <v>334</v>
      </c>
      <c r="T159" s="5">
        <v>0</v>
      </c>
      <c r="U159" s="5"/>
      <c r="V159" s="1"/>
    </row>
    <row r="160" spans="1:34" x14ac:dyDescent="0.25">
      <c r="A160" s="2">
        <v>20</v>
      </c>
      <c r="B160" s="2" t="s">
        <v>1</v>
      </c>
      <c r="C160" s="2" t="s">
        <v>18</v>
      </c>
      <c r="D160" s="2" cm="1">
        <f t="array" ref="D160">StartX</f>
        <v>15</v>
      </c>
      <c r="E160" s="2">
        <f>StartY</f>
        <v>75</v>
      </c>
      <c r="F160" s="2" t="s">
        <v>97</v>
      </c>
      <c r="G160" s="2" t="str">
        <f>CONCATENATE("R", 3*ExtrusionSpacing_L1)</f>
        <v>R5.25</v>
      </c>
      <c r="H160" s="2" t="s">
        <v>97</v>
      </c>
      <c r="I160" s="2" t="s">
        <v>97</v>
      </c>
      <c r="J160" s="2" t="s">
        <v>19</v>
      </c>
      <c r="K160" s="2">
        <f>ExtrusionWidth</f>
        <v>1.524</v>
      </c>
      <c r="L160" s="2">
        <f>ExtrusionHeight</f>
        <v>1</v>
      </c>
      <c r="M160" s="2"/>
      <c r="N160" s="2"/>
      <c r="O160" s="2"/>
      <c r="P160" s="2"/>
      <c r="Q160" s="2"/>
      <c r="S160" s="5" t="s">
        <v>149</v>
      </c>
      <c r="T160" s="5" t="s">
        <v>161</v>
      </c>
      <c r="U160" s="5" t="s">
        <v>153</v>
      </c>
    </row>
    <row r="161" spans="1:40" x14ac:dyDescent="0.25">
      <c r="A161" s="2">
        <v>21</v>
      </c>
      <c r="B161" s="2" t="s">
        <v>1</v>
      </c>
      <c r="C161" s="2" t="s">
        <v>18</v>
      </c>
      <c r="D161" s="2" t="s">
        <v>97</v>
      </c>
      <c r="E161" s="2" t="s">
        <v>97</v>
      </c>
      <c r="F161" s="2" t="s">
        <v>97</v>
      </c>
      <c r="G161" s="2" t="s">
        <v>97</v>
      </c>
      <c r="H161" s="2" t="str" cm="1">
        <f t="array" ref="H161">CONCATENATE("R", Length)</f>
        <v>R120</v>
      </c>
      <c r="I161" s="2" t="s">
        <v>97</v>
      </c>
      <c r="J161" s="2" t="s">
        <v>19</v>
      </c>
      <c r="K161" s="2">
        <f>ExtrusionWidth</f>
        <v>1.524</v>
      </c>
      <c r="L161" s="2">
        <f>ExtrusionHeight</f>
        <v>1</v>
      </c>
      <c r="M161" s="2"/>
      <c r="N161" s="2"/>
      <c r="O161" s="2"/>
      <c r="P161" s="2"/>
      <c r="Q161" s="2"/>
      <c r="S161" s="5" t="s">
        <v>154</v>
      </c>
      <c r="T161" s="5">
        <v>2</v>
      </c>
      <c r="U161" s="5" t="s">
        <v>44</v>
      </c>
      <c r="V161" s="1"/>
    </row>
    <row r="162" spans="1:40" x14ac:dyDescent="0.25">
      <c r="A162" s="2">
        <v>22</v>
      </c>
      <c r="B162" s="2" t="s">
        <v>1</v>
      </c>
      <c r="C162" s="2" t="s">
        <v>18</v>
      </c>
      <c r="D162" s="2" t="s">
        <v>97</v>
      </c>
      <c r="E162" s="2" t="s">
        <v>97</v>
      </c>
      <c r="F162" s="2" t="s">
        <v>97</v>
      </c>
      <c r="G162" s="2" t="str">
        <f>CONCATENATE("R", ExtrusionSpacing_L1)</f>
        <v>R1.75</v>
      </c>
      <c r="H162" s="2" t="s">
        <v>97</v>
      </c>
      <c r="I162" s="2" t="s">
        <v>97</v>
      </c>
      <c r="J162" s="2" t="s">
        <v>19</v>
      </c>
      <c r="K162" s="2">
        <f>ExtrusionWidth</f>
        <v>1.524</v>
      </c>
      <c r="L162" s="2">
        <f>ExtrusionHeight</f>
        <v>1</v>
      </c>
      <c r="M162" s="2"/>
      <c r="N162" s="2"/>
      <c r="O162" s="2"/>
      <c r="P162" s="2"/>
      <c r="Q162" s="2"/>
      <c r="S162" s="5" t="s">
        <v>155</v>
      </c>
      <c r="T162" s="5">
        <v>1.25</v>
      </c>
      <c r="U162" s="5" t="s">
        <v>89</v>
      </c>
    </row>
    <row r="163" spans="1:40" x14ac:dyDescent="0.25">
      <c r="A163" s="2">
        <v>23</v>
      </c>
      <c r="B163" s="2" t="s">
        <v>1</v>
      </c>
      <c r="C163" s="2" t="s">
        <v>18</v>
      </c>
      <c r="D163" s="2" t="s">
        <v>97</v>
      </c>
      <c r="E163" s="2" t="s">
        <v>97</v>
      </c>
      <c r="F163" s="2" t="s">
        <v>97</v>
      </c>
      <c r="G163" s="2" t="s">
        <v>97</v>
      </c>
      <c r="H163" s="2" t="str">
        <f>CONCATENATE("R-", Length)</f>
        <v>R-120</v>
      </c>
      <c r="I163" s="2" t="s">
        <v>97</v>
      </c>
      <c r="J163" s="2" t="s">
        <v>19</v>
      </c>
      <c r="K163" s="2">
        <f>ExtrusionWidth</f>
        <v>1.524</v>
      </c>
      <c r="L163" s="2">
        <f>ExtrusionHeight</f>
        <v>1</v>
      </c>
      <c r="M163" s="2"/>
      <c r="N163" s="2"/>
      <c r="O163" s="2"/>
      <c r="P163" s="2"/>
      <c r="Q163" s="2"/>
      <c r="S163" s="5" t="s">
        <v>156</v>
      </c>
      <c r="T163" s="5">
        <v>2500</v>
      </c>
      <c r="U163" s="5" t="s">
        <v>45</v>
      </c>
    </row>
    <row r="164" spans="1:40" x14ac:dyDescent="0.25">
      <c r="A164" s="2">
        <v>24</v>
      </c>
      <c r="B164" s="143" t="s">
        <v>55</v>
      </c>
      <c r="C164" s="98" t="s">
        <v>510</v>
      </c>
      <c r="D164" s="2">
        <f>4*ExtrusionSpacing_L1</f>
        <v>7</v>
      </c>
      <c r="E164" s="2">
        <v>0</v>
      </c>
      <c r="F164" s="2">
        <v>0</v>
      </c>
      <c r="G164" s="2">
        <v>20</v>
      </c>
      <c r="H164" s="2"/>
      <c r="I164" s="2"/>
      <c r="J164" s="2"/>
      <c r="K164" s="2"/>
      <c r="L164" s="2"/>
      <c r="M164" s="2"/>
      <c r="N164" s="2"/>
      <c r="O164" s="2"/>
      <c r="P164" s="2"/>
      <c r="Q164" s="2"/>
      <c r="S164" s="5" t="s">
        <v>157</v>
      </c>
      <c r="T164" s="5">
        <v>0</v>
      </c>
      <c r="U164" s="5" t="s">
        <v>89</v>
      </c>
    </row>
    <row r="165" spans="1:40" x14ac:dyDescent="0.25">
      <c r="A165" s="2">
        <v>25</v>
      </c>
      <c r="B165" s="143" t="s">
        <v>49</v>
      </c>
      <c r="C165" s="2" t="s">
        <v>511</v>
      </c>
      <c r="D165" s="2"/>
      <c r="E165" s="2"/>
      <c r="F165" s="2"/>
      <c r="G165" s="2"/>
      <c r="H165" s="2"/>
      <c r="I165" s="2"/>
      <c r="J165" s="2"/>
      <c r="K165" s="2"/>
      <c r="L165" s="2"/>
      <c r="M165" s="2"/>
      <c r="N165" s="2"/>
      <c r="O165" s="2"/>
      <c r="P165" s="2"/>
      <c r="Q165" s="2"/>
      <c r="S165" s="3" t="s">
        <v>158</v>
      </c>
      <c r="T165" s="3">
        <f>T163</f>
        <v>2500</v>
      </c>
      <c r="U165" s="5" t="s">
        <v>45</v>
      </c>
    </row>
    <row r="166" spans="1:40" x14ac:dyDescent="0.25">
      <c r="A166" s="2">
        <v>26</v>
      </c>
      <c r="B166" s="143" t="s">
        <v>49</v>
      </c>
      <c r="C166" s="2" t="s">
        <v>198</v>
      </c>
      <c r="D166" s="2">
        <v>0</v>
      </c>
      <c r="E166" s="2"/>
      <c r="F166" s="2"/>
      <c r="G166" s="2"/>
      <c r="H166" s="143"/>
      <c r="I166" s="2"/>
      <c r="J166" s="2"/>
      <c r="K166" s="2"/>
      <c r="L166" s="2"/>
      <c r="M166" s="2"/>
      <c r="N166" s="2"/>
      <c r="O166" s="2"/>
      <c r="P166" s="2"/>
      <c r="Q166" s="2"/>
      <c r="S166" s="3" t="s">
        <v>159</v>
      </c>
      <c r="T166" s="3">
        <v>0.65</v>
      </c>
      <c r="U166" s="5" t="s">
        <v>44</v>
      </c>
    </row>
    <row r="167" spans="1:40" x14ac:dyDescent="0.25">
      <c r="A167" s="2">
        <v>27</v>
      </c>
      <c r="B167" s="143" t="s">
        <v>49</v>
      </c>
      <c r="C167" s="2" t="s">
        <v>472</v>
      </c>
      <c r="D167" s="2"/>
      <c r="E167" s="2"/>
      <c r="F167" s="2"/>
      <c r="G167" s="2"/>
      <c r="H167" s="2"/>
      <c r="I167" s="2"/>
      <c r="J167" s="2"/>
      <c r="K167" s="2"/>
      <c r="L167" s="2"/>
      <c r="M167" s="2"/>
      <c r="N167" s="2"/>
      <c r="O167" s="2"/>
      <c r="P167" s="2"/>
      <c r="Q167" s="2"/>
      <c r="S167" s="3" t="s">
        <v>160</v>
      </c>
      <c r="T167" s="3">
        <v>10000</v>
      </c>
      <c r="U167" s="5" t="s">
        <v>45</v>
      </c>
    </row>
    <row r="168" spans="1:40" x14ac:dyDescent="0.25">
      <c r="A168" s="2">
        <v>28</v>
      </c>
      <c r="B168" s="142" t="s">
        <v>496</v>
      </c>
      <c r="C168" s="2" t="s">
        <v>18</v>
      </c>
      <c r="D168" s="2" t="s">
        <v>97</v>
      </c>
      <c r="E168" s="2" t="s">
        <v>97</v>
      </c>
      <c r="F168" s="2" t="s">
        <v>97</v>
      </c>
      <c r="G168" s="2">
        <v>50</v>
      </c>
      <c r="H168" s="2">
        <v>50</v>
      </c>
      <c r="I168" s="2">
        <f>LayerHeight</f>
        <v>1</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16.75</v>
      </c>
      <c r="E169" s="2">
        <f>StartY+Length+ExtrusionSpacing_L1</f>
        <v>196.75</v>
      </c>
      <c r="F169" s="2">
        <v>0.9</v>
      </c>
      <c r="G169" s="2" t="s">
        <v>97</v>
      </c>
      <c r="H169" s="2" t="str">
        <f>CONCATENATE("R-", Length)</f>
        <v>R-120</v>
      </c>
      <c r="I169" s="2" t="s">
        <v>97</v>
      </c>
      <c r="J169" s="2" t="s">
        <v>19</v>
      </c>
      <c r="K169" s="2">
        <f>ExtrusionWidth</f>
        <v>1.524</v>
      </c>
      <c r="L169" s="2">
        <f>ExtrusionHeight</f>
        <v>1</v>
      </c>
      <c r="M169" s="2"/>
      <c r="N169" s="2"/>
      <c r="O169" s="143"/>
      <c r="P169" s="2"/>
      <c r="Q169" s="2"/>
      <c r="S169" s="96" t="s">
        <v>287</v>
      </c>
      <c r="T169" s="96" t="s">
        <v>288</v>
      </c>
      <c r="U169" s="97" t="s">
        <v>326</v>
      </c>
      <c r="V169" s="29"/>
      <c r="W169" s="29"/>
      <c r="X169" s="29"/>
      <c r="Y169" s="29"/>
      <c r="Z169" s="29"/>
      <c r="AA169" s="29"/>
      <c r="AB169" s="29"/>
      <c r="AC169" s="29"/>
      <c r="AD169" s="29"/>
      <c r="AE169" s="29"/>
      <c r="AF169" s="29"/>
    </row>
    <row r="170" spans="1:40" x14ac:dyDescent="0.25">
      <c r="A170" s="2">
        <v>30</v>
      </c>
      <c r="B170" s="143" t="s">
        <v>1</v>
      </c>
      <c r="C170" s="2" t="s">
        <v>18</v>
      </c>
      <c r="D170" s="2" t="s">
        <v>97</v>
      </c>
      <c r="E170" s="2" t="s">
        <v>97</v>
      </c>
      <c r="F170" s="2" t="s">
        <v>97</v>
      </c>
      <c r="G170" s="2" t="str">
        <f>CONCATENATE("R", ExtrusionSpacing_L1)</f>
        <v>R1.75</v>
      </c>
      <c r="H170" s="2" t="s">
        <v>97</v>
      </c>
      <c r="I170" s="2" t="s">
        <v>97</v>
      </c>
      <c r="J170" s="2" t="s">
        <v>19</v>
      </c>
      <c r="K170" s="2">
        <f>ExtrusionWidth</f>
        <v>1.524</v>
      </c>
      <c r="L170" s="2">
        <f>ExtrusionHeight</f>
        <v>1</v>
      </c>
      <c r="M170" s="2"/>
      <c r="N170" s="2"/>
      <c r="O170" s="2"/>
      <c r="P170" s="2"/>
      <c r="Q170" s="2"/>
      <c r="R170" s="29"/>
      <c r="S170" s="75" t="s">
        <v>500</v>
      </c>
      <c r="T170" s="75">
        <v>1.35</v>
      </c>
      <c r="U170" s="92" t="s">
        <v>106</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97</v>
      </c>
      <c r="E171" s="2" t="s">
        <v>97</v>
      </c>
      <c r="F171" s="2" t="s">
        <v>97</v>
      </c>
      <c r="G171" s="2" t="s">
        <v>97</v>
      </c>
      <c r="H171" s="2" t="str" cm="1">
        <f t="array" ref="H171">CONCATENATE("R", Length)</f>
        <v>R120</v>
      </c>
      <c r="I171" s="2" t="s">
        <v>97</v>
      </c>
      <c r="J171" s="2" t="s">
        <v>19</v>
      </c>
      <c r="K171" s="2">
        <f>ExtrusionWidth</f>
        <v>1.524</v>
      </c>
      <c r="L171" s="2">
        <f>ExtrusionHeight</f>
        <v>1</v>
      </c>
      <c r="M171" s="2"/>
      <c r="N171" s="2"/>
      <c r="O171" s="2"/>
      <c r="P171" s="2"/>
      <c r="Q171" s="2"/>
      <c r="R171" s="29"/>
      <c r="S171" s="75" t="s">
        <v>499</v>
      </c>
      <c r="T171" s="75">
        <v>1.1000000000000001</v>
      </c>
      <c r="U171" s="92" t="s">
        <v>106</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97</v>
      </c>
      <c r="E172" s="2" t="s">
        <v>97</v>
      </c>
      <c r="F172" s="2" t="s">
        <v>97</v>
      </c>
      <c r="G172" s="2" t="str">
        <f>CONCATENATE("R", 3*ExtrusionSpacing_L1)</f>
        <v>R5.25</v>
      </c>
      <c r="H172" s="2" t="s">
        <v>97</v>
      </c>
      <c r="I172" s="2" t="s">
        <v>97</v>
      </c>
      <c r="J172" s="2" t="s">
        <v>19</v>
      </c>
      <c r="K172" s="2">
        <f>ExtrusionWidth</f>
        <v>1.524</v>
      </c>
      <c r="L172" s="2">
        <f>ExtrusionHeight</f>
        <v>1</v>
      </c>
      <c r="M172" s="2"/>
      <c r="N172" s="2"/>
      <c r="O172" s="2"/>
      <c r="P172" s="2"/>
      <c r="Q172" s="2"/>
      <c r="S172" s="75" t="s">
        <v>508</v>
      </c>
      <c r="T172" s="75">
        <v>1.2</v>
      </c>
      <c r="U172" s="92" t="s">
        <v>106</v>
      </c>
    </row>
    <row r="173" spans="1:40" x14ac:dyDescent="0.25">
      <c r="A173" s="2">
        <v>33</v>
      </c>
      <c r="B173" s="2" t="s">
        <v>55</v>
      </c>
      <c r="C173" s="98" t="s">
        <v>512</v>
      </c>
      <c r="D173" s="2">
        <f>4*ExtrusionSpacing_L1</f>
        <v>7</v>
      </c>
      <c r="E173" s="2">
        <v>0</v>
      </c>
      <c r="F173" s="2">
        <v>0</v>
      </c>
      <c r="G173" s="2">
        <v>20</v>
      </c>
      <c r="H173" s="2"/>
      <c r="I173" s="2"/>
      <c r="J173" s="2"/>
      <c r="K173" s="2"/>
      <c r="L173" s="2"/>
      <c r="M173" s="2"/>
      <c r="N173" s="2"/>
      <c r="O173" s="2"/>
      <c r="P173" s="2"/>
      <c r="Q173" s="2"/>
      <c r="S173" s="75" t="s">
        <v>509</v>
      </c>
      <c r="T173" s="75">
        <v>0.9</v>
      </c>
      <c r="U173" s="92" t="s">
        <v>106</v>
      </c>
    </row>
    <row r="174" spans="1:40" x14ac:dyDescent="0.25">
      <c r="A174" s="2">
        <v>34</v>
      </c>
      <c r="B174" s="143" t="s">
        <v>39</v>
      </c>
      <c r="C174" s="2">
        <v>1.25</v>
      </c>
      <c r="D174" s="2">
        <v>2100</v>
      </c>
      <c r="E174" s="2">
        <f>LayerHeight</f>
        <v>1</v>
      </c>
      <c r="F174" s="2">
        <v>10000</v>
      </c>
      <c r="G174" s="2"/>
      <c r="H174" s="2"/>
      <c r="I174" s="2"/>
      <c r="J174" s="2"/>
      <c r="K174" s="2"/>
      <c r="L174" s="2"/>
      <c r="M174" s="2"/>
      <c r="N174" s="2"/>
      <c r="O174" s="2"/>
      <c r="P174" s="2"/>
      <c r="Q174" s="2"/>
      <c r="S174" s="75" t="s">
        <v>481</v>
      </c>
      <c r="T174" s="75" t="s">
        <v>397</v>
      </c>
      <c r="U174" s="92" t="s">
        <v>106</v>
      </c>
    </row>
    <row r="175" spans="1:40" x14ac:dyDescent="0.25">
      <c r="A175" s="2">
        <v>35</v>
      </c>
      <c r="B175" s="143" t="s">
        <v>55</v>
      </c>
      <c r="C175" s="2" t="s">
        <v>513</v>
      </c>
      <c r="D175" s="2">
        <v>0</v>
      </c>
      <c r="E175" s="2">
        <v>0</v>
      </c>
      <c r="F175" s="2">
        <f>2*LayerHeight</f>
        <v>2</v>
      </c>
      <c r="G175" s="2">
        <v>15</v>
      </c>
      <c r="H175" s="2"/>
      <c r="I175" s="2"/>
      <c r="J175" s="2"/>
      <c r="K175" s="2"/>
      <c r="L175" s="2"/>
      <c r="M175" s="2"/>
      <c r="N175" s="2"/>
      <c r="O175" s="2"/>
      <c r="P175" s="2"/>
      <c r="Q175" s="2"/>
      <c r="R175" s="80"/>
      <c r="S175" s="75" t="s">
        <v>304</v>
      </c>
      <c r="T175" s="75">
        <v>0.9</v>
      </c>
      <c r="U175" s="92" t="s">
        <v>106</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514</v>
      </c>
      <c r="T176" s="75">
        <v>50</v>
      </c>
      <c r="U176" s="92" t="s">
        <v>106</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266</v>
      </c>
      <c r="T177" s="75">
        <v>50</v>
      </c>
      <c r="U177" s="92" t="s">
        <v>106</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267</v>
      </c>
      <c r="T178" s="75">
        <v>75</v>
      </c>
      <c r="U178" s="92" t="s">
        <v>106</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336</v>
      </c>
      <c r="I1"/>
    </row>
    <row r="2" spans="1:21" x14ac:dyDescent="0.25">
      <c r="B2" s="44" t="s">
        <v>140</v>
      </c>
      <c r="C2" s="30" t="s">
        <v>18</v>
      </c>
      <c r="D2" s="30" t="s">
        <v>3</v>
      </c>
      <c r="E2" s="30" t="s">
        <v>4</v>
      </c>
      <c r="F2" s="30" t="s">
        <v>33</v>
      </c>
      <c r="G2" s="30" t="s">
        <v>5</v>
      </c>
      <c r="H2" s="30" t="s">
        <v>6</v>
      </c>
      <c r="I2" s="1" t="s">
        <v>34</v>
      </c>
      <c r="J2" s="30" t="s">
        <v>77</v>
      </c>
      <c r="K2" s="30" t="s">
        <v>15</v>
      </c>
      <c r="L2" s="30" t="s">
        <v>11</v>
      </c>
      <c r="M2" s="30" t="s">
        <v>176</v>
      </c>
      <c r="N2" s="30"/>
      <c r="O2" s="30"/>
      <c r="P2" s="30"/>
      <c r="Q2" s="30"/>
      <c r="R2" s="29"/>
      <c r="S2" s="29"/>
    </row>
    <row r="3" spans="1:21" ht="14.45" customHeight="1" x14ac:dyDescent="0.25">
      <c r="B3" s="44" t="s">
        <v>141</v>
      </c>
      <c r="C3" s="30" t="s">
        <v>2</v>
      </c>
      <c r="D3" s="30" t="s">
        <v>73</v>
      </c>
      <c r="E3" s="30" t="s">
        <v>74</v>
      </c>
      <c r="F3" s="30" t="s">
        <v>76</v>
      </c>
      <c r="G3" s="30" t="s">
        <v>69</v>
      </c>
      <c r="H3" s="30" t="s">
        <v>33</v>
      </c>
      <c r="I3" s="1" t="s">
        <v>420</v>
      </c>
      <c r="J3" s="30" t="s">
        <v>72</v>
      </c>
      <c r="K3" s="30" t="s">
        <v>34</v>
      </c>
      <c r="L3" s="30" t="s">
        <v>77</v>
      </c>
      <c r="M3" s="30" t="s">
        <v>15</v>
      </c>
      <c r="N3" s="30" t="s">
        <v>11</v>
      </c>
      <c r="O3" s="30" t="s">
        <v>176</v>
      </c>
      <c r="P3" s="30"/>
      <c r="Q3" s="30"/>
      <c r="R3" s="29"/>
      <c r="S3" s="29"/>
    </row>
    <row r="4" spans="1:21" ht="14.45" customHeight="1" x14ac:dyDescent="0.25">
      <c r="B4" s="32" t="s">
        <v>167</v>
      </c>
      <c r="C4" s="32" t="s">
        <v>90</v>
      </c>
      <c r="D4" s="32" t="s">
        <v>91</v>
      </c>
      <c r="E4" s="32" t="s">
        <v>92</v>
      </c>
      <c r="F4" s="32" t="s">
        <v>93</v>
      </c>
      <c r="G4" s="32" t="s">
        <v>94</v>
      </c>
      <c r="H4" s="32" t="s">
        <v>109</v>
      </c>
      <c r="I4" s="1" t="s">
        <v>15</v>
      </c>
      <c r="J4" s="32" t="s">
        <v>11</v>
      </c>
      <c r="K4" s="30" t="s">
        <v>240</v>
      </c>
      <c r="L4" s="32" t="s">
        <v>186</v>
      </c>
      <c r="M4" s="32" t="s">
        <v>187</v>
      </c>
      <c r="O4" s="61" t="s">
        <v>145</v>
      </c>
      <c r="P4" s="66" t="s">
        <v>245</v>
      </c>
      <c r="Q4" s="66"/>
      <c r="R4" s="66"/>
      <c r="S4" s="66"/>
      <c r="T4" s="66"/>
    </row>
    <row r="5" spans="1:21" ht="14.45" customHeight="1" x14ac:dyDescent="0.25">
      <c r="B5" s="32" t="s">
        <v>168</v>
      </c>
      <c r="C5" s="30" t="s">
        <v>73</v>
      </c>
      <c r="D5" s="30" t="s">
        <v>74</v>
      </c>
      <c r="E5" s="32" t="s">
        <v>170</v>
      </c>
      <c r="F5" s="32" t="s">
        <v>169</v>
      </c>
      <c r="G5" s="32" t="s">
        <v>92</v>
      </c>
      <c r="H5" s="32" t="s">
        <v>93</v>
      </c>
      <c r="I5" s="1" t="s">
        <v>94</v>
      </c>
      <c r="J5" s="32" t="s">
        <v>109</v>
      </c>
      <c r="K5" s="32" t="s">
        <v>15</v>
      </c>
      <c r="L5" s="32" t="s">
        <v>11</v>
      </c>
      <c r="M5" s="30" t="s">
        <v>240</v>
      </c>
      <c r="N5" s="32" t="s">
        <v>186</v>
      </c>
      <c r="O5" s="1" t="s">
        <v>384</v>
      </c>
      <c r="P5" s="66" t="s">
        <v>246</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268</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268</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268</v>
      </c>
      <c r="M8" s="30"/>
      <c r="N8" s="30"/>
      <c r="O8" s="30"/>
    </row>
    <row r="9" spans="1:21" x14ac:dyDescent="0.25">
      <c r="B9" s="30" t="s">
        <v>106</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142</v>
      </c>
      <c r="C12" s="30" t="s">
        <v>12</v>
      </c>
      <c r="D12" s="30" t="s">
        <v>117</v>
      </c>
      <c r="E12" s="30" t="s">
        <v>3</v>
      </c>
      <c r="F12" s="30" t="s">
        <v>4</v>
      </c>
      <c r="G12" s="30" t="s">
        <v>5</v>
      </c>
      <c r="H12" s="30" t="s">
        <v>6</v>
      </c>
      <c r="I12"/>
    </row>
    <row r="13" spans="1:21" s="29" customFormat="1" x14ac:dyDescent="0.25">
      <c r="B13" s="30" t="s">
        <v>143</v>
      </c>
      <c r="C13" s="30" t="s">
        <v>12</v>
      </c>
      <c r="D13" s="30" t="s">
        <v>2</v>
      </c>
      <c r="E13" s="30" t="s">
        <v>7</v>
      </c>
      <c r="F13" s="30" t="s">
        <v>8</v>
      </c>
      <c r="G13" s="30" t="s">
        <v>118</v>
      </c>
      <c r="H13" s="30"/>
      <c r="I13" s="1" t="s">
        <v>421</v>
      </c>
    </row>
    <row r="14" spans="1:21" s="29" customFormat="1" x14ac:dyDescent="0.25">
      <c r="B14" s="30" t="s">
        <v>171</v>
      </c>
      <c r="C14" s="30" t="s">
        <v>12</v>
      </c>
      <c r="D14" s="30" t="s">
        <v>37</v>
      </c>
      <c r="E14" s="30" t="s">
        <v>172</v>
      </c>
      <c r="F14" s="30"/>
      <c r="G14" s="55" t="s">
        <v>173</v>
      </c>
      <c r="H14" s="30"/>
      <c r="I14" s="1"/>
    </row>
    <row r="15" spans="1:21" s="29" customFormat="1" x14ac:dyDescent="0.25">
      <c r="B15" s="30" t="s">
        <v>146</v>
      </c>
      <c r="C15" s="30" t="s">
        <v>12</v>
      </c>
      <c r="D15" s="30" t="s">
        <v>32</v>
      </c>
      <c r="E15" s="30" t="s">
        <v>21</v>
      </c>
      <c r="F15" s="30" t="s">
        <v>13</v>
      </c>
      <c r="I15"/>
      <c r="J15" s="55" t="s">
        <v>81</v>
      </c>
    </row>
    <row r="16" spans="1:21" s="29" customFormat="1" x14ac:dyDescent="0.25">
      <c r="B16" s="30" t="s">
        <v>260</v>
      </c>
      <c r="C16" s="30" t="s">
        <v>12</v>
      </c>
      <c r="D16" s="30" t="s">
        <v>21</v>
      </c>
      <c r="E16" s="30" t="s">
        <v>78</v>
      </c>
      <c r="F16" s="30" t="s">
        <v>79</v>
      </c>
      <c r="G16" s="30" t="s">
        <v>80</v>
      </c>
      <c r="H16" s="30" t="s">
        <v>73</v>
      </c>
      <c r="I16" s="1" t="s">
        <v>74</v>
      </c>
      <c r="J16" s="30" t="s">
        <v>58</v>
      </c>
      <c r="K16" s="30" t="s">
        <v>259</v>
      </c>
      <c r="M16" s="69" t="s">
        <v>258</v>
      </c>
      <c r="N16" s="68" t="s">
        <v>257</v>
      </c>
      <c r="O16" s="51" t="s">
        <v>460</v>
      </c>
      <c r="P16" s="51" t="s">
        <v>461</v>
      </c>
    </row>
    <row r="17" spans="1:30" s="29" customFormat="1" x14ac:dyDescent="0.25">
      <c r="B17" s="30" t="s">
        <v>106</v>
      </c>
      <c r="C17" s="30"/>
      <c r="D17" s="30"/>
      <c r="E17" s="30"/>
      <c r="F17" s="30"/>
      <c r="G17" s="30"/>
      <c r="H17" s="30"/>
      <c r="I17" s="1"/>
    </row>
    <row r="18" spans="1:30" s="29" customFormat="1" x14ac:dyDescent="0.25">
      <c r="B18" s="30" t="s">
        <v>39</v>
      </c>
      <c r="C18" s="30" t="s">
        <v>61</v>
      </c>
      <c r="D18" s="30" t="s">
        <v>150</v>
      </c>
      <c r="E18" s="30" t="s">
        <v>152</v>
      </c>
      <c r="F18" s="30" t="s">
        <v>151</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335</v>
      </c>
    </row>
    <row r="20" spans="1:30" s="34" customFormat="1" ht="54.75" customHeight="1" x14ac:dyDescent="0.25">
      <c r="B20" s="34" t="s">
        <v>106</v>
      </c>
      <c r="I20" s="129"/>
    </row>
    <row r="21" spans="1:30" s="29" customFormat="1" ht="132.6" customHeight="1" x14ac:dyDescent="0.25">
      <c r="B21" s="51" t="s">
        <v>52</v>
      </c>
      <c r="C21" s="52" t="s">
        <v>137</v>
      </c>
      <c r="D21" s="52" t="s">
        <v>138</v>
      </c>
      <c r="E21" s="52" t="s">
        <v>139</v>
      </c>
      <c r="F21" s="53" t="s">
        <v>53</v>
      </c>
      <c r="G21" s="149" t="s">
        <v>136</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179</v>
      </c>
      <c r="K23" s="51"/>
      <c r="L23" s="51"/>
      <c r="M23" s="51"/>
      <c r="Q23" s="51"/>
      <c r="R23" s="51"/>
      <c r="S23" s="51"/>
    </row>
    <row r="24" spans="1:30" s="29" customFormat="1" x14ac:dyDescent="0.25">
      <c r="B24" s="51"/>
      <c r="C24" s="51"/>
      <c r="D24" s="51"/>
      <c r="E24" s="51"/>
      <c r="F24" s="51"/>
      <c r="G24" s="51" t="s">
        <v>24</v>
      </c>
      <c r="H24" s="51" t="s">
        <v>27</v>
      </c>
      <c r="I24"/>
      <c r="J24" s="54" t="s">
        <v>180</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181</v>
      </c>
      <c r="K25" s="51"/>
      <c r="L25" s="51"/>
      <c r="M25" s="51"/>
      <c r="R25" s="51"/>
      <c r="S25" s="51"/>
      <c r="AC25" s="51"/>
      <c r="AD25" s="51"/>
    </row>
    <row r="26" spans="1:30" s="29" customFormat="1" x14ac:dyDescent="0.25">
      <c r="B26" s="51"/>
      <c r="C26" s="51"/>
      <c r="D26" s="51"/>
      <c r="E26" s="51"/>
      <c r="F26" s="51"/>
      <c r="G26" s="51" t="s">
        <v>129</v>
      </c>
      <c r="H26" s="51" t="s">
        <v>27</v>
      </c>
      <c r="I26"/>
      <c r="J26" s="51" t="s">
        <v>182</v>
      </c>
      <c r="K26" s="51"/>
      <c r="L26" s="51"/>
      <c r="M26" s="51"/>
      <c r="N26" s="51"/>
      <c r="O26" s="51"/>
    </row>
    <row r="27" spans="1:30" s="29" customFormat="1" x14ac:dyDescent="0.25">
      <c r="B27" s="51"/>
      <c r="C27" s="51"/>
      <c r="D27" s="51"/>
      <c r="E27" s="51"/>
      <c r="F27" s="51"/>
      <c r="G27" s="51" t="s">
        <v>128</v>
      </c>
      <c r="H27" s="51" t="s">
        <v>27</v>
      </c>
      <c r="I27"/>
      <c r="J27" s="51" t="s">
        <v>183</v>
      </c>
      <c r="K27" s="51"/>
      <c r="L27" s="51"/>
      <c r="M27" s="51"/>
      <c r="N27" s="51"/>
    </row>
    <row r="28" spans="1:30" s="29" customFormat="1" x14ac:dyDescent="0.25">
      <c r="B28" s="51"/>
      <c r="C28" s="51"/>
      <c r="D28" s="51"/>
      <c r="E28" s="51"/>
      <c r="F28" s="51"/>
      <c r="G28" s="51" t="s">
        <v>127</v>
      </c>
      <c r="H28" s="51" t="s">
        <v>27</v>
      </c>
      <c r="I28"/>
      <c r="J28" s="54" t="s">
        <v>184</v>
      </c>
      <c r="K28" s="51"/>
      <c r="L28" s="51"/>
      <c r="M28" s="51"/>
      <c r="N28" s="51"/>
    </row>
    <row r="29" spans="1:30" s="29" customFormat="1" x14ac:dyDescent="0.25">
      <c r="A29" s="30"/>
      <c r="B29" s="51"/>
      <c r="C29" s="51"/>
      <c r="D29" s="51"/>
      <c r="E29" s="51"/>
      <c r="F29" s="51"/>
      <c r="G29" s="51" t="s">
        <v>25</v>
      </c>
      <c r="H29" s="51" t="s">
        <v>73</v>
      </c>
      <c r="I29" s="130" t="s">
        <v>74</v>
      </c>
      <c r="J29" s="51" t="s">
        <v>254</v>
      </c>
      <c r="K29" s="51" t="s">
        <v>248</v>
      </c>
      <c r="L29" s="51" t="s">
        <v>113</v>
      </c>
      <c r="M29" s="51" t="s">
        <v>114</v>
      </c>
      <c r="N29" s="51"/>
      <c r="O29" s="55" t="s">
        <v>243</v>
      </c>
    </row>
    <row r="30" spans="1:30" s="29" customFormat="1" ht="14.45" customHeight="1" x14ac:dyDescent="0.25">
      <c r="A30" s="30"/>
      <c r="B30" s="51"/>
      <c r="C30" s="51"/>
      <c r="D30" s="51"/>
      <c r="E30" s="51"/>
      <c r="F30" s="51"/>
      <c r="G30" s="51" t="s">
        <v>26</v>
      </c>
      <c r="H30" s="51" t="s">
        <v>73</v>
      </c>
      <c r="I30" s="130" t="s">
        <v>74</v>
      </c>
      <c r="J30" s="51" t="s">
        <v>254</v>
      </c>
      <c r="K30" s="51" t="s">
        <v>248</v>
      </c>
      <c r="L30" s="51" t="s">
        <v>113</v>
      </c>
      <c r="M30" s="51" t="s">
        <v>114</v>
      </c>
      <c r="N30" s="51"/>
      <c r="O30" s="55" t="s">
        <v>185</v>
      </c>
      <c r="P30" s="51"/>
    </row>
    <row r="31" spans="1:30" s="29" customFormat="1" ht="14.45" customHeight="1" x14ac:dyDescent="0.25">
      <c r="B31" s="51"/>
      <c r="C31" s="51"/>
      <c r="D31" s="51"/>
      <c r="E31" s="51"/>
      <c r="F31" s="51"/>
      <c r="G31" s="51" t="s">
        <v>165</v>
      </c>
      <c r="H31" s="51" t="s">
        <v>73</v>
      </c>
      <c r="I31" s="130" t="s">
        <v>74</v>
      </c>
      <c r="J31" s="51" t="s">
        <v>255</v>
      </c>
      <c r="K31" s="51" t="s">
        <v>166</v>
      </c>
      <c r="L31" s="56" t="s">
        <v>253</v>
      </c>
      <c r="M31" s="51" t="s">
        <v>113</v>
      </c>
      <c r="N31" s="51" t="s">
        <v>114</v>
      </c>
      <c r="O31" s="51"/>
      <c r="P31" s="55" t="s">
        <v>244</v>
      </c>
      <c r="R31" s="66" t="s">
        <v>247</v>
      </c>
    </row>
    <row r="32" spans="1:30" s="29" customFormat="1" ht="14.45" customHeight="1" x14ac:dyDescent="0.25">
      <c r="A32" s="34"/>
      <c r="B32" s="51"/>
      <c r="C32" s="51"/>
      <c r="D32" s="51"/>
      <c r="E32" s="51"/>
      <c r="F32" s="51"/>
      <c r="G32" s="51" t="s">
        <v>29</v>
      </c>
      <c r="H32" s="51" t="s">
        <v>30</v>
      </c>
      <c r="I32" s="130" t="s">
        <v>31</v>
      </c>
      <c r="J32" s="51" t="s">
        <v>95</v>
      </c>
      <c r="K32" s="51" t="s">
        <v>113</v>
      </c>
      <c r="L32" s="51" t="s">
        <v>114</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95</v>
      </c>
      <c r="K33" s="51" t="s">
        <v>113</v>
      </c>
      <c r="L33" s="51" t="s">
        <v>114</v>
      </c>
      <c r="M33" s="51"/>
      <c r="N33" s="51"/>
      <c r="O33" s="51"/>
      <c r="P33" s="51"/>
      <c r="Q33" s="51"/>
      <c r="R33" s="51"/>
      <c r="S33" s="51"/>
    </row>
    <row r="34" spans="1:21" s="33" customFormat="1" ht="14.45" customHeight="1" x14ac:dyDescent="0.25">
      <c r="B34" s="56"/>
      <c r="C34" s="56"/>
      <c r="D34" s="56"/>
      <c r="E34" s="56"/>
      <c r="F34" s="56"/>
      <c r="G34" s="51" t="s">
        <v>119</v>
      </c>
      <c r="H34" s="51" t="s">
        <v>30</v>
      </c>
      <c r="I34" s="130" t="s">
        <v>31</v>
      </c>
      <c r="J34" s="51" t="s">
        <v>95</v>
      </c>
      <c r="K34" s="51" t="s">
        <v>113</v>
      </c>
      <c r="L34" s="51" t="s">
        <v>114</v>
      </c>
      <c r="M34" s="51"/>
      <c r="N34" s="29"/>
      <c r="O34" s="51"/>
      <c r="P34" s="51"/>
      <c r="Q34" s="29"/>
      <c r="R34" s="29"/>
      <c r="S34" s="29"/>
      <c r="T34" s="29"/>
      <c r="U34" s="29"/>
    </row>
    <row r="35" spans="1:21" s="29" customFormat="1" ht="15" customHeight="1" x14ac:dyDescent="0.25">
      <c r="B35" s="51"/>
      <c r="C35" s="51"/>
      <c r="D35" s="51"/>
      <c r="E35" s="51"/>
      <c r="F35" s="51"/>
      <c r="G35" s="56" t="s">
        <v>133</v>
      </c>
      <c r="H35" s="56" t="s">
        <v>251</v>
      </c>
      <c r="I35" s="130" t="s">
        <v>252</v>
      </c>
      <c r="J35" s="56" t="s">
        <v>253</v>
      </c>
      <c r="K35" s="56" t="s">
        <v>113</v>
      </c>
      <c r="L35" s="56" t="s">
        <v>114</v>
      </c>
      <c r="M35" s="67" t="s">
        <v>144</v>
      </c>
      <c r="O35" s="33"/>
      <c r="P35" s="33"/>
      <c r="Q35" s="66" t="s">
        <v>134</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177</v>
      </c>
      <c r="H38" s="51" t="s">
        <v>27</v>
      </c>
      <c r="I38" s="131" t="s">
        <v>178</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241</v>
      </c>
      <c r="C42" s="63" t="s">
        <v>12</v>
      </c>
      <c r="D42" s="150" t="s">
        <v>242</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95</v>
      </c>
      <c r="H44" s="63" t="s">
        <v>113</v>
      </c>
      <c r="I44" s="64" t="s">
        <v>114</v>
      </c>
      <c r="J44" s="64"/>
      <c r="K44" s="64"/>
      <c r="L44" s="64"/>
      <c r="M44" s="64"/>
      <c r="N44" s="64"/>
      <c r="O44" s="64"/>
    </row>
    <row r="45" spans="1:21" ht="15" customHeight="1" x14ac:dyDescent="0.25">
      <c r="B45" s="64"/>
      <c r="C45" s="64"/>
      <c r="D45" s="64" t="s">
        <v>133</v>
      </c>
      <c r="E45" s="65" t="s">
        <v>90</v>
      </c>
      <c r="F45" s="65" t="s">
        <v>91</v>
      </c>
      <c r="G45" s="65" t="s">
        <v>92</v>
      </c>
      <c r="H45" s="63" t="s">
        <v>113</v>
      </c>
      <c r="I45" s="64" t="s">
        <v>114</v>
      </c>
      <c r="J45" s="64"/>
      <c r="K45" s="64"/>
      <c r="L45" s="64"/>
      <c r="M45" s="140" t="s">
        <v>144</v>
      </c>
      <c r="N45" s="29"/>
      <c r="O45" s="33"/>
      <c r="P45" s="66" t="s">
        <v>457</v>
      </c>
      <c r="Q45" s="121"/>
      <c r="R45" s="121"/>
      <c r="S45" s="121"/>
      <c r="T45" s="121"/>
    </row>
    <row r="46" spans="1:21" x14ac:dyDescent="0.25">
      <c r="B46" s="64"/>
      <c r="C46" s="64"/>
      <c r="D46" s="64" t="s">
        <v>25</v>
      </c>
      <c r="E46" s="63" t="s">
        <v>73</v>
      </c>
      <c r="F46" s="63" t="s">
        <v>74</v>
      </c>
      <c r="G46" s="63" t="s">
        <v>249</v>
      </c>
      <c r="H46" s="63" t="s">
        <v>248</v>
      </c>
      <c r="I46" s="64" t="s">
        <v>113</v>
      </c>
      <c r="J46" s="63" t="s">
        <v>114</v>
      </c>
      <c r="K46" s="64"/>
      <c r="L46" s="64"/>
      <c r="M46" s="64"/>
      <c r="N46" s="64"/>
      <c r="O46" s="54" t="s">
        <v>243</v>
      </c>
    </row>
    <row r="47" spans="1:21" ht="14.45" customHeight="1" x14ac:dyDescent="0.25">
      <c r="B47" s="64"/>
      <c r="C47" s="64"/>
      <c r="D47" s="64" t="s">
        <v>165</v>
      </c>
      <c r="E47" s="63" t="s">
        <v>73</v>
      </c>
      <c r="F47" s="63" t="s">
        <v>74</v>
      </c>
      <c r="G47" s="63" t="s">
        <v>250</v>
      </c>
      <c r="H47" s="63" t="s">
        <v>166</v>
      </c>
      <c r="I47" s="64" t="s">
        <v>253</v>
      </c>
      <c r="J47" s="63" t="s">
        <v>113</v>
      </c>
      <c r="K47" s="63" t="s">
        <v>114</v>
      </c>
      <c r="L47" s="64"/>
      <c r="M47" s="64"/>
      <c r="N47" s="64"/>
      <c r="O47" s="54" t="s">
        <v>244</v>
      </c>
      <c r="P47" s="66" t="s">
        <v>456</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56"/>
  <sheetViews>
    <sheetView zoomScale="75" zoomScaleNormal="85" workbookViewId="0">
      <selection activeCell="O1" sqref="O1:O56"/>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96</v>
      </c>
      <c r="L1" t="s">
        <v>198</v>
      </c>
      <c r="M1" t="s">
        <v>59</v>
      </c>
      <c r="N1" t="s">
        <v>35</v>
      </c>
      <c r="O1" s="60" t="s">
        <v>130</v>
      </c>
      <c r="P1" t="s">
        <v>36</v>
      </c>
    </row>
    <row r="2" spans="1:17" x14ac:dyDescent="0.25">
      <c r="A2" t="s">
        <v>23</v>
      </c>
      <c r="B2">
        <v>20</v>
      </c>
      <c r="C2">
        <v>10</v>
      </c>
      <c r="D2">
        <v>0.3</v>
      </c>
      <c r="E2">
        <v>100</v>
      </c>
      <c r="F2">
        <v>100</v>
      </c>
      <c r="G2">
        <v>0</v>
      </c>
      <c r="H2">
        <v>0</v>
      </c>
      <c r="I2">
        <v>0</v>
      </c>
      <c r="K2">
        <v>2000</v>
      </c>
      <c r="N2">
        <v>0</v>
      </c>
      <c r="O2" s="60">
        <v>0</v>
      </c>
      <c r="P2" t="s">
        <v>497</v>
      </c>
      <c r="Q2" t="s">
        <v>526</v>
      </c>
    </row>
    <row r="3" spans="1:17" x14ac:dyDescent="0.25">
      <c r="A3" t="s">
        <v>19</v>
      </c>
      <c r="B3">
        <v>100</v>
      </c>
      <c r="C3">
        <v>100</v>
      </c>
      <c r="D3">
        <v>0</v>
      </c>
      <c r="E3">
        <v>100</v>
      </c>
      <c r="F3">
        <v>150</v>
      </c>
      <c r="G3">
        <v>0</v>
      </c>
      <c r="H3">
        <v>1.524</v>
      </c>
      <c r="I3">
        <v>1</v>
      </c>
      <c r="J3">
        <v>6.0638033318012194E-2</v>
      </c>
      <c r="K3">
        <v>1200</v>
      </c>
      <c r="L3">
        <v>0</v>
      </c>
      <c r="N3">
        <v>1</v>
      </c>
      <c r="O3" s="60" t="s">
        <v>285</v>
      </c>
      <c r="P3" t="s">
        <v>527</v>
      </c>
      <c r="Q3" t="s">
        <v>528</v>
      </c>
    </row>
    <row r="4" spans="1:17" x14ac:dyDescent="0.25">
      <c r="A4" t="s">
        <v>19</v>
      </c>
      <c r="B4">
        <v>100</v>
      </c>
      <c r="C4">
        <v>150</v>
      </c>
      <c r="D4">
        <v>0</v>
      </c>
      <c r="E4">
        <v>150</v>
      </c>
      <c r="F4">
        <v>150</v>
      </c>
      <c r="G4">
        <v>0</v>
      </c>
      <c r="H4">
        <v>1.524</v>
      </c>
      <c r="I4">
        <v>1</v>
      </c>
      <c r="J4">
        <v>6.0638033318012194E-2</v>
      </c>
      <c r="K4">
        <v>1200</v>
      </c>
      <c r="L4">
        <v>0</v>
      </c>
      <c r="N4">
        <v>1</v>
      </c>
      <c r="O4" s="60" t="s">
        <v>285</v>
      </c>
      <c r="P4" t="s">
        <v>527</v>
      </c>
      <c r="Q4" t="s">
        <v>529</v>
      </c>
    </row>
    <row r="5" spans="1:17" x14ac:dyDescent="0.25">
      <c r="A5" t="s">
        <v>19</v>
      </c>
      <c r="B5">
        <v>150</v>
      </c>
      <c r="C5">
        <v>150</v>
      </c>
      <c r="D5">
        <v>0</v>
      </c>
      <c r="E5">
        <v>150</v>
      </c>
      <c r="F5">
        <v>100</v>
      </c>
      <c r="G5">
        <v>0</v>
      </c>
      <c r="H5">
        <v>1.524</v>
      </c>
      <c r="I5">
        <v>1</v>
      </c>
      <c r="J5">
        <v>6.0638033318012194E-2</v>
      </c>
      <c r="K5">
        <v>1200</v>
      </c>
      <c r="L5">
        <v>0</v>
      </c>
      <c r="N5">
        <v>1</v>
      </c>
      <c r="O5" s="60" t="s">
        <v>285</v>
      </c>
      <c r="P5" t="s">
        <v>527</v>
      </c>
      <c r="Q5" t="s">
        <v>530</v>
      </c>
    </row>
    <row r="6" spans="1:17" x14ac:dyDescent="0.25">
      <c r="A6" t="s">
        <v>19</v>
      </c>
      <c r="B6">
        <v>150</v>
      </c>
      <c r="C6">
        <v>100</v>
      </c>
      <c r="D6">
        <v>0</v>
      </c>
      <c r="E6">
        <v>100</v>
      </c>
      <c r="F6">
        <v>100</v>
      </c>
      <c r="G6">
        <v>0</v>
      </c>
      <c r="H6">
        <v>1.524</v>
      </c>
      <c r="I6">
        <v>1</v>
      </c>
      <c r="J6">
        <v>6.0638033318012194E-2</v>
      </c>
      <c r="K6">
        <v>1200</v>
      </c>
      <c r="L6">
        <v>0</v>
      </c>
      <c r="N6">
        <v>1</v>
      </c>
      <c r="O6" s="60" t="s">
        <v>285</v>
      </c>
      <c r="P6" t="s">
        <v>527</v>
      </c>
      <c r="Q6" t="s">
        <v>531</v>
      </c>
    </row>
    <row r="7" spans="1:17" x14ac:dyDescent="0.25">
      <c r="A7" t="s">
        <v>23</v>
      </c>
      <c r="B7">
        <v>100</v>
      </c>
      <c r="C7">
        <v>100</v>
      </c>
      <c r="D7">
        <v>0</v>
      </c>
      <c r="E7">
        <v>100</v>
      </c>
      <c r="F7">
        <v>100</v>
      </c>
      <c r="G7">
        <v>1</v>
      </c>
      <c r="H7">
        <v>0</v>
      </c>
      <c r="I7">
        <v>0</v>
      </c>
      <c r="K7">
        <v>2000</v>
      </c>
      <c r="N7">
        <v>0</v>
      </c>
      <c r="O7" s="60">
        <v>0</v>
      </c>
      <c r="P7" t="s">
        <v>497</v>
      </c>
      <c r="Q7" t="s">
        <v>532</v>
      </c>
    </row>
    <row r="8" spans="1:17" x14ac:dyDescent="0.25">
      <c r="A8" t="s">
        <v>19</v>
      </c>
      <c r="B8">
        <v>100</v>
      </c>
      <c r="C8">
        <v>100</v>
      </c>
      <c r="D8">
        <v>1</v>
      </c>
      <c r="E8">
        <v>100</v>
      </c>
      <c r="F8">
        <v>150</v>
      </c>
      <c r="G8">
        <v>1</v>
      </c>
      <c r="H8">
        <v>1.524</v>
      </c>
      <c r="I8">
        <v>1</v>
      </c>
      <c r="J8">
        <v>6.0638033318012194E-2</v>
      </c>
      <c r="K8">
        <v>1200</v>
      </c>
      <c r="L8">
        <v>0</v>
      </c>
      <c r="N8">
        <v>2</v>
      </c>
      <c r="O8" s="60" t="s">
        <v>533</v>
      </c>
      <c r="P8" t="s">
        <v>534</v>
      </c>
      <c r="Q8" t="s">
        <v>528</v>
      </c>
    </row>
    <row r="9" spans="1:17" x14ac:dyDescent="0.25">
      <c r="A9" t="s">
        <v>19</v>
      </c>
      <c r="B9">
        <v>100</v>
      </c>
      <c r="C9">
        <v>150</v>
      </c>
      <c r="D9">
        <v>1</v>
      </c>
      <c r="E9">
        <v>150</v>
      </c>
      <c r="F9">
        <v>150</v>
      </c>
      <c r="G9">
        <v>1</v>
      </c>
      <c r="H9">
        <v>1.524</v>
      </c>
      <c r="I9">
        <v>1</v>
      </c>
      <c r="J9">
        <v>6.0638033318012194E-2</v>
      </c>
      <c r="K9">
        <v>1200</v>
      </c>
      <c r="L9">
        <v>0</v>
      </c>
      <c r="N9">
        <v>2</v>
      </c>
      <c r="O9" s="60" t="s">
        <v>533</v>
      </c>
      <c r="P9" t="s">
        <v>534</v>
      </c>
      <c r="Q9" t="s">
        <v>529</v>
      </c>
    </row>
    <row r="10" spans="1:17" x14ac:dyDescent="0.25">
      <c r="A10" t="s">
        <v>19</v>
      </c>
      <c r="B10">
        <v>150</v>
      </c>
      <c r="C10">
        <v>150</v>
      </c>
      <c r="D10">
        <v>1</v>
      </c>
      <c r="E10">
        <v>150</v>
      </c>
      <c r="F10">
        <v>100</v>
      </c>
      <c r="G10">
        <v>1</v>
      </c>
      <c r="H10">
        <v>1.524</v>
      </c>
      <c r="I10">
        <v>1</v>
      </c>
      <c r="J10">
        <v>6.0638033318012194E-2</v>
      </c>
      <c r="K10">
        <v>1200</v>
      </c>
      <c r="L10">
        <v>0</v>
      </c>
      <c r="N10">
        <v>2</v>
      </c>
      <c r="O10" s="60" t="s">
        <v>533</v>
      </c>
      <c r="P10" t="s">
        <v>534</v>
      </c>
      <c r="Q10" t="s">
        <v>530</v>
      </c>
    </row>
    <row r="11" spans="1:17" x14ac:dyDescent="0.25">
      <c r="A11" t="s">
        <v>19</v>
      </c>
      <c r="B11">
        <v>150</v>
      </c>
      <c r="C11">
        <v>100</v>
      </c>
      <c r="D11">
        <v>1</v>
      </c>
      <c r="E11">
        <v>100</v>
      </c>
      <c r="F11">
        <v>100</v>
      </c>
      <c r="G11">
        <v>1</v>
      </c>
      <c r="H11">
        <v>1.524</v>
      </c>
      <c r="I11">
        <v>1</v>
      </c>
      <c r="J11">
        <v>6.0638033318012194E-2</v>
      </c>
      <c r="K11">
        <v>1200</v>
      </c>
      <c r="L11">
        <v>0</v>
      </c>
      <c r="N11">
        <v>2</v>
      </c>
      <c r="O11" s="60" t="s">
        <v>533</v>
      </c>
      <c r="P11" t="s">
        <v>534</v>
      </c>
      <c r="Q11" t="s">
        <v>531</v>
      </c>
    </row>
    <row r="12" spans="1:17" x14ac:dyDescent="0.25">
      <c r="A12" t="s">
        <v>23</v>
      </c>
      <c r="B12">
        <v>100</v>
      </c>
      <c r="C12">
        <v>100</v>
      </c>
      <c r="D12">
        <v>1</v>
      </c>
      <c r="E12">
        <v>100</v>
      </c>
      <c r="F12">
        <v>100</v>
      </c>
      <c r="G12">
        <v>2</v>
      </c>
      <c r="H12">
        <v>0</v>
      </c>
      <c r="I12">
        <v>0</v>
      </c>
      <c r="K12">
        <v>2000</v>
      </c>
      <c r="N12">
        <v>0</v>
      </c>
      <c r="O12" s="60">
        <v>0</v>
      </c>
      <c r="P12" t="s">
        <v>497</v>
      </c>
      <c r="Q12" t="s">
        <v>535</v>
      </c>
    </row>
    <row r="13" spans="1:17" x14ac:dyDescent="0.25">
      <c r="A13" t="s">
        <v>19</v>
      </c>
      <c r="B13">
        <v>100</v>
      </c>
      <c r="C13">
        <v>100</v>
      </c>
      <c r="D13">
        <v>2</v>
      </c>
      <c r="E13">
        <v>100</v>
      </c>
      <c r="F13">
        <v>150</v>
      </c>
      <c r="G13">
        <v>2</v>
      </c>
      <c r="H13">
        <v>1.524</v>
      </c>
      <c r="I13">
        <v>1</v>
      </c>
      <c r="J13">
        <v>6.0638033318012194E-2</v>
      </c>
      <c r="K13">
        <v>1200</v>
      </c>
      <c r="L13">
        <v>0</v>
      </c>
      <c r="N13">
        <v>2</v>
      </c>
      <c r="O13" s="60" t="s">
        <v>536</v>
      </c>
      <c r="P13" t="s">
        <v>534</v>
      </c>
      <c r="Q13" t="s">
        <v>528</v>
      </c>
    </row>
    <row r="14" spans="1:17" x14ac:dyDescent="0.25">
      <c r="A14" t="s">
        <v>19</v>
      </c>
      <c r="B14">
        <v>100</v>
      </c>
      <c r="C14">
        <v>150</v>
      </c>
      <c r="D14">
        <v>2</v>
      </c>
      <c r="E14">
        <v>150</v>
      </c>
      <c r="F14">
        <v>150</v>
      </c>
      <c r="G14">
        <v>2</v>
      </c>
      <c r="H14">
        <v>1.524</v>
      </c>
      <c r="I14">
        <v>1</v>
      </c>
      <c r="J14">
        <v>6.0638033318012194E-2</v>
      </c>
      <c r="K14">
        <v>1200</v>
      </c>
      <c r="L14">
        <v>0</v>
      </c>
      <c r="N14">
        <v>2</v>
      </c>
      <c r="O14" s="60" t="s">
        <v>536</v>
      </c>
      <c r="P14" t="s">
        <v>534</v>
      </c>
      <c r="Q14" t="s">
        <v>529</v>
      </c>
    </row>
    <row r="15" spans="1:17" x14ac:dyDescent="0.25">
      <c r="A15" t="s">
        <v>19</v>
      </c>
      <c r="B15">
        <v>150</v>
      </c>
      <c r="C15">
        <v>150</v>
      </c>
      <c r="D15">
        <v>2</v>
      </c>
      <c r="E15">
        <v>150</v>
      </c>
      <c r="F15">
        <v>100</v>
      </c>
      <c r="G15">
        <v>2</v>
      </c>
      <c r="H15">
        <v>1.524</v>
      </c>
      <c r="I15">
        <v>1</v>
      </c>
      <c r="J15">
        <v>6.0638033318012194E-2</v>
      </c>
      <c r="K15">
        <v>1200</v>
      </c>
      <c r="L15">
        <v>0</v>
      </c>
      <c r="N15">
        <v>2</v>
      </c>
      <c r="O15" s="60" t="s">
        <v>536</v>
      </c>
      <c r="P15" t="s">
        <v>534</v>
      </c>
      <c r="Q15" t="s">
        <v>530</v>
      </c>
    </row>
    <row r="16" spans="1:17" x14ac:dyDescent="0.25">
      <c r="A16" t="s">
        <v>19</v>
      </c>
      <c r="B16">
        <v>150</v>
      </c>
      <c r="C16">
        <v>100</v>
      </c>
      <c r="D16">
        <v>2</v>
      </c>
      <c r="E16">
        <v>100</v>
      </c>
      <c r="F16">
        <v>100</v>
      </c>
      <c r="G16">
        <v>2</v>
      </c>
      <c r="H16">
        <v>1.524</v>
      </c>
      <c r="I16">
        <v>1</v>
      </c>
      <c r="J16">
        <v>6.0638033318012194E-2</v>
      </c>
      <c r="K16">
        <v>1200</v>
      </c>
      <c r="L16">
        <v>0</v>
      </c>
      <c r="N16">
        <v>2</v>
      </c>
      <c r="O16" s="60" t="s">
        <v>536</v>
      </c>
      <c r="P16" t="s">
        <v>534</v>
      </c>
      <c r="Q16" t="s">
        <v>531</v>
      </c>
    </row>
    <row r="17" spans="1:17" x14ac:dyDescent="0.25">
      <c r="A17" t="s">
        <v>23</v>
      </c>
      <c r="B17">
        <v>100</v>
      </c>
      <c r="C17">
        <v>100</v>
      </c>
      <c r="D17">
        <v>2</v>
      </c>
      <c r="E17">
        <v>100</v>
      </c>
      <c r="F17">
        <v>100</v>
      </c>
      <c r="G17">
        <v>3</v>
      </c>
      <c r="H17">
        <v>0</v>
      </c>
      <c r="I17">
        <v>0</v>
      </c>
      <c r="K17">
        <v>2000</v>
      </c>
      <c r="N17">
        <v>0</v>
      </c>
      <c r="O17" s="60">
        <v>0</v>
      </c>
      <c r="P17" t="s">
        <v>497</v>
      </c>
      <c r="Q17" t="s">
        <v>537</v>
      </c>
    </row>
    <row r="18" spans="1:17" x14ac:dyDescent="0.25">
      <c r="A18" t="s">
        <v>19</v>
      </c>
      <c r="B18">
        <v>100</v>
      </c>
      <c r="C18">
        <v>100</v>
      </c>
      <c r="D18">
        <v>3</v>
      </c>
      <c r="E18">
        <v>100</v>
      </c>
      <c r="F18">
        <v>150</v>
      </c>
      <c r="G18">
        <v>3</v>
      </c>
      <c r="H18">
        <v>1.524</v>
      </c>
      <c r="I18">
        <v>1</v>
      </c>
      <c r="J18">
        <v>6.0638033318012194E-2</v>
      </c>
      <c r="K18">
        <v>1200</v>
      </c>
      <c r="L18">
        <v>0</v>
      </c>
      <c r="N18">
        <v>2</v>
      </c>
      <c r="O18" s="60" t="s">
        <v>538</v>
      </c>
      <c r="P18" t="s">
        <v>534</v>
      </c>
      <c r="Q18" t="s">
        <v>528</v>
      </c>
    </row>
    <row r="19" spans="1:17" x14ac:dyDescent="0.25">
      <c r="A19" t="s">
        <v>19</v>
      </c>
      <c r="B19">
        <v>100</v>
      </c>
      <c r="C19">
        <v>150</v>
      </c>
      <c r="D19">
        <v>3</v>
      </c>
      <c r="E19">
        <v>150</v>
      </c>
      <c r="F19">
        <v>150</v>
      </c>
      <c r="G19">
        <v>3</v>
      </c>
      <c r="H19">
        <v>1.524</v>
      </c>
      <c r="I19">
        <v>1</v>
      </c>
      <c r="J19">
        <v>6.0638033318012194E-2</v>
      </c>
      <c r="K19">
        <v>1200</v>
      </c>
      <c r="L19">
        <v>0</v>
      </c>
      <c r="N19">
        <v>2</v>
      </c>
      <c r="O19" s="60" t="s">
        <v>538</v>
      </c>
      <c r="P19" t="s">
        <v>534</v>
      </c>
      <c r="Q19" t="s">
        <v>529</v>
      </c>
    </row>
    <row r="20" spans="1:17" x14ac:dyDescent="0.25">
      <c r="A20" t="s">
        <v>19</v>
      </c>
      <c r="B20">
        <v>150</v>
      </c>
      <c r="C20">
        <v>150</v>
      </c>
      <c r="D20">
        <v>3</v>
      </c>
      <c r="E20">
        <v>150</v>
      </c>
      <c r="F20">
        <v>100</v>
      </c>
      <c r="G20">
        <v>3</v>
      </c>
      <c r="H20">
        <v>1.524</v>
      </c>
      <c r="I20">
        <v>1</v>
      </c>
      <c r="J20">
        <v>6.0638033318012194E-2</v>
      </c>
      <c r="K20">
        <v>1200</v>
      </c>
      <c r="L20">
        <v>0</v>
      </c>
      <c r="N20">
        <v>2</v>
      </c>
      <c r="O20" s="60" t="s">
        <v>538</v>
      </c>
      <c r="P20" t="s">
        <v>534</v>
      </c>
      <c r="Q20" t="s">
        <v>530</v>
      </c>
    </row>
    <row r="21" spans="1:17" x14ac:dyDescent="0.25">
      <c r="A21" t="s">
        <v>19</v>
      </c>
      <c r="B21">
        <v>150</v>
      </c>
      <c r="C21">
        <v>100</v>
      </c>
      <c r="D21">
        <v>3</v>
      </c>
      <c r="E21">
        <v>100</v>
      </c>
      <c r="F21">
        <v>100</v>
      </c>
      <c r="G21">
        <v>3</v>
      </c>
      <c r="H21">
        <v>1.524</v>
      </c>
      <c r="I21">
        <v>1</v>
      </c>
      <c r="J21">
        <v>6.0638033318012194E-2</v>
      </c>
      <c r="K21">
        <v>1200</v>
      </c>
      <c r="L21">
        <v>0</v>
      </c>
      <c r="N21">
        <v>2</v>
      </c>
      <c r="O21" s="60" t="s">
        <v>538</v>
      </c>
      <c r="P21" t="s">
        <v>534</v>
      </c>
      <c r="Q21" t="s">
        <v>531</v>
      </c>
    </row>
    <row r="22" spans="1:17" x14ac:dyDescent="0.25">
      <c r="A22" t="s">
        <v>23</v>
      </c>
      <c r="B22">
        <v>100</v>
      </c>
      <c r="C22">
        <v>100</v>
      </c>
      <c r="D22">
        <v>3</v>
      </c>
      <c r="E22">
        <v>100</v>
      </c>
      <c r="F22">
        <v>100</v>
      </c>
      <c r="G22">
        <v>4</v>
      </c>
      <c r="H22">
        <v>0</v>
      </c>
      <c r="I22">
        <v>0</v>
      </c>
      <c r="K22">
        <v>2000</v>
      </c>
      <c r="N22">
        <v>0</v>
      </c>
      <c r="O22" s="60">
        <v>0</v>
      </c>
      <c r="P22" t="s">
        <v>497</v>
      </c>
      <c r="Q22" t="s">
        <v>539</v>
      </c>
    </row>
    <row r="23" spans="1:17" x14ac:dyDescent="0.25">
      <c r="A23" t="s">
        <v>19</v>
      </c>
      <c r="B23">
        <v>100</v>
      </c>
      <c r="C23">
        <v>100</v>
      </c>
      <c r="D23">
        <v>4</v>
      </c>
      <c r="E23">
        <v>100</v>
      </c>
      <c r="F23">
        <v>150</v>
      </c>
      <c r="G23">
        <v>4</v>
      </c>
      <c r="H23">
        <v>1.524</v>
      </c>
      <c r="I23">
        <v>1</v>
      </c>
      <c r="J23">
        <v>6.0638033318012194E-2</v>
      </c>
      <c r="K23">
        <v>1200</v>
      </c>
      <c r="L23">
        <v>0</v>
      </c>
      <c r="N23">
        <v>2</v>
      </c>
      <c r="O23" s="60" t="s">
        <v>540</v>
      </c>
      <c r="P23" t="s">
        <v>534</v>
      </c>
      <c r="Q23" t="s">
        <v>528</v>
      </c>
    </row>
    <row r="24" spans="1:17" x14ac:dyDescent="0.25">
      <c r="A24" t="s">
        <v>19</v>
      </c>
      <c r="B24">
        <v>100</v>
      </c>
      <c r="C24">
        <v>150</v>
      </c>
      <c r="D24">
        <v>4</v>
      </c>
      <c r="E24">
        <v>150</v>
      </c>
      <c r="F24">
        <v>150</v>
      </c>
      <c r="G24">
        <v>4</v>
      </c>
      <c r="H24">
        <v>1.524</v>
      </c>
      <c r="I24">
        <v>1</v>
      </c>
      <c r="J24">
        <v>6.0638033318012194E-2</v>
      </c>
      <c r="K24">
        <v>1200</v>
      </c>
      <c r="L24">
        <v>0</v>
      </c>
      <c r="N24">
        <v>2</v>
      </c>
      <c r="O24" s="60" t="s">
        <v>540</v>
      </c>
      <c r="P24" t="s">
        <v>534</v>
      </c>
      <c r="Q24" t="s">
        <v>529</v>
      </c>
    </row>
    <row r="25" spans="1:17" x14ac:dyDescent="0.25">
      <c r="A25" t="s">
        <v>19</v>
      </c>
      <c r="B25">
        <v>150</v>
      </c>
      <c r="C25">
        <v>150</v>
      </c>
      <c r="D25">
        <v>4</v>
      </c>
      <c r="E25">
        <v>150</v>
      </c>
      <c r="F25">
        <v>100</v>
      </c>
      <c r="G25">
        <v>4</v>
      </c>
      <c r="H25">
        <v>1.524</v>
      </c>
      <c r="I25">
        <v>1</v>
      </c>
      <c r="J25">
        <v>6.0638033318012194E-2</v>
      </c>
      <c r="K25">
        <v>1200</v>
      </c>
      <c r="L25">
        <v>0</v>
      </c>
      <c r="N25">
        <v>2</v>
      </c>
      <c r="O25" s="60" t="s">
        <v>540</v>
      </c>
      <c r="P25" t="s">
        <v>534</v>
      </c>
      <c r="Q25" t="s">
        <v>530</v>
      </c>
    </row>
    <row r="26" spans="1:17" x14ac:dyDescent="0.25">
      <c r="A26" t="s">
        <v>19</v>
      </c>
      <c r="B26">
        <v>150</v>
      </c>
      <c r="C26">
        <v>100</v>
      </c>
      <c r="D26">
        <v>4</v>
      </c>
      <c r="E26">
        <v>100</v>
      </c>
      <c r="F26">
        <v>100</v>
      </c>
      <c r="G26">
        <v>4</v>
      </c>
      <c r="H26">
        <v>1.524</v>
      </c>
      <c r="I26">
        <v>1</v>
      </c>
      <c r="J26">
        <v>6.0638033318012194E-2</v>
      </c>
      <c r="K26">
        <v>1200</v>
      </c>
      <c r="L26">
        <v>0</v>
      </c>
      <c r="N26">
        <v>2</v>
      </c>
      <c r="O26" s="60" t="s">
        <v>540</v>
      </c>
      <c r="P26" t="s">
        <v>534</v>
      </c>
      <c r="Q26" t="s">
        <v>531</v>
      </c>
    </row>
    <row r="27" spans="1:17" x14ac:dyDescent="0.25">
      <c r="A27" t="s">
        <v>23</v>
      </c>
      <c r="B27">
        <v>100</v>
      </c>
      <c r="C27">
        <v>100</v>
      </c>
      <c r="D27">
        <v>4</v>
      </c>
      <c r="E27">
        <v>100</v>
      </c>
      <c r="F27">
        <v>100</v>
      </c>
      <c r="G27">
        <v>5</v>
      </c>
      <c r="H27">
        <v>0</v>
      </c>
      <c r="I27">
        <v>0</v>
      </c>
      <c r="K27">
        <v>2000</v>
      </c>
      <c r="N27">
        <v>0</v>
      </c>
      <c r="O27" s="60">
        <v>0</v>
      </c>
      <c r="P27" t="s">
        <v>497</v>
      </c>
      <c r="Q27" t="s">
        <v>541</v>
      </c>
    </row>
    <row r="28" spans="1:17" x14ac:dyDescent="0.25">
      <c r="A28" t="s">
        <v>19</v>
      </c>
      <c r="B28">
        <v>100</v>
      </c>
      <c r="C28">
        <v>100</v>
      </c>
      <c r="D28">
        <v>5</v>
      </c>
      <c r="E28">
        <v>100</v>
      </c>
      <c r="F28">
        <v>150</v>
      </c>
      <c r="G28">
        <v>5</v>
      </c>
      <c r="H28">
        <v>1.524</v>
      </c>
      <c r="I28">
        <v>1</v>
      </c>
      <c r="J28">
        <v>6.0638033318012194E-2</v>
      </c>
      <c r="K28">
        <v>1200</v>
      </c>
      <c r="L28">
        <v>0</v>
      </c>
      <c r="N28">
        <v>2</v>
      </c>
      <c r="O28" s="60" t="s">
        <v>542</v>
      </c>
      <c r="P28" t="s">
        <v>534</v>
      </c>
      <c r="Q28" t="s">
        <v>528</v>
      </c>
    </row>
    <row r="29" spans="1:17" x14ac:dyDescent="0.25">
      <c r="A29" t="s">
        <v>19</v>
      </c>
      <c r="B29">
        <v>100</v>
      </c>
      <c r="C29">
        <v>150</v>
      </c>
      <c r="D29">
        <v>5</v>
      </c>
      <c r="E29">
        <v>150</v>
      </c>
      <c r="F29">
        <v>150</v>
      </c>
      <c r="G29">
        <v>5</v>
      </c>
      <c r="H29">
        <v>1.524</v>
      </c>
      <c r="I29">
        <v>1</v>
      </c>
      <c r="J29">
        <v>6.0638033318012194E-2</v>
      </c>
      <c r="K29">
        <v>1200</v>
      </c>
      <c r="L29">
        <v>0</v>
      </c>
      <c r="N29">
        <v>2</v>
      </c>
      <c r="O29" s="60" t="s">
        <v>542</v>
      </c>
      <c r="P29" t="s">
        <v>534</v>
      </c>
      <c r="Q29" t="s">
        <v>529</v>
      </c>
    </row>
    <row r="30" spans="1:17" x14ac:dyDescent="0.25">
      <c r="A30" t="s">
        <v>19</v>
      </c>
      <c r="B30">
        <v>150</v>
      </c>
      <c r="C30">
        <v>150</v>
      </c>
      <c r="D30">
        <v>5</v>
      </c>
      <c r="E30">
        <v>150</v>
      </c>
      <c r="F30">
        <v>100</v>
      </c>
      <c r="G30">
        <v>5</v>
      </c>
      <c r="H30">
        <v>1.524</v>
      </c>
      <c r="I30">
        <v>1</v>
      </c>
      <c r="J30">
        <v>6.0638033318012194E-2</v>
      </c>
      <c r="K30">
        <v>1200</v>
      </c>
      <c r="L30">
        <v>0</v>
      </c>
      <c r="N30">
        <v>2</v>
      </c>
      <c r="O30" s="60" t="s">
        <v>542</v>
      </c>
      <c r="P30" t="s">
        <v>534</v>
      </c>
      <c r="Q30" t="s">
        <v>530</v>
      </c>
    </row>
    <row r="31" spans="1:17" x14ac:dyDescent="0.25">
      <c r="A31" t="s">
        <v>19</v>
      </c>
      <c r="B31">
        <v>150</v>
      </c>
      <c r="C31">
        <v>100</v>
      </c>
      <c r="D31">
        <v>5</v>
      </c>
      <c r="E31">
        <v>100</v>
      </c>
      <c r="F31">
        <v>100</v>
      </c>
      <c r="G31">
        <v>5</v>
      </c>
      <c r="H31">
        <v>1.524</v>
      </c>
      <c r="I31">
        <v>1</v>
      </c>
      <c r="J31">
        <v>6.0638033318012194E-2</v>
      </c>
      <c r="K31">
        <v>1200</v>
      </c>
      <c r="L31">
        <v>0</v>
      </c>
      <c r="N31">
        <v>2</v>
      </c>
      <c r="O31" s="60" t="s">
        <v>542</v>
      </c>
      <c r="P31" t="s">
        <v>534</v>
      </c>
      <c r="Q31" t="s">
        <v>531</v>
      </c>
    </row>
    <row r="32" spans="1:17" x14ac:dyDescent="0.25">
      <c r="A32" t="s">
        <v>23</v>
      </c>
      <c r="B32">
        <v>100</v>
      </c>
      <c r="C32">
        <v>100</v>
      </c>
      <c r="D32">
        <v>5</v>
      </c>
      <c r="E32">
        <v>100</v>
      </c>
      <c r="F32">
        <v>100</v>
      </c>
      <c r="G32">
        <v>6</v>
      </c>
      <c r="H32">
        <v>0</v>
      </c>
      <c r="I32">
        <v>0</v>
      </c>
      <c r="K32">
        <v>2000</v>
      </c>
      <c r="N32">
        <v>0</v>
      </c>
      <c r="O32" s="60">
        <v>0</v>
      </c>
      <c r="P32" t="s">
        <v>497</v>
      </c>
      <c r="Q32" t="s">
        <v>543</v>
      </c>
    </row>
    <row r="33" spans="1:17" x14ac:dyDescent="0.25">
      <c r="A33" t="s">
        <v>19</v>
      </c>
      <c r="B33">
        <v>100</v>
      </c>
      <c r="C33">
        <v>100</v>
      </c>
      <c r="D33">
        <v>6</v>
      </c>
      <c r="E33">
        <v>100</v>
      </c>
      <c r="F33">
        <v>150</v>
      </c>
      <c r="G33">
        <v>6</v>
      </c>
      <c r="H33">
        <v>1.524</v>
      </c>
      <c r="I33">
        <v>1</v>
      </c>
      <c r="J33">
        <v>6.0638033318012194E-2</v>
      </c>
      <c r="K33">
        <v>1200</v>
      </c>
      <c r="L33">
        <v>0</v>
      </c>
      <c r="N33">
        <v>2</v>
      </c>
      <c r="O33" s="60" t="s">
        <v>544</v>
      </c>
      <c r="P33" t="s">
        <v>534</v>
      </c>
      <c r="Q33" t="s">
        <v>528</v>
      </c>
    </row>
    <row r="34" spans="1:17" x14ac:dyDescent="0.25">
      <c r="A34" t="s">
        <v>19</v>
      </c>
      <c r="B34">
        <v>100</v>
      </c>
      <c r="C34">
        <v>150</v>
      </c>
      <c r="D34">
        <v>6</v>
      </c>
      <c r="E34">
        <v>150</v>
      </c>
      <c r="F34">
        <v>150</v>
      </c>
      <c r="G34">
        <v>6</v>
      </c>
      <c r="H34">
        <v>1.524</v>
      </c>
      <c r="I34">
        <v>1</v>
      </c>
      <c r="J34">
        <v>6.0638033318012194E-2</v>
      </c>
      <c r="K34">
        <v>1200</v>
      </c>
      <c r="L34">
        <v>0</v>
      </c>
      <c r="N34">
        <v>2</v>
      </c>
      <c r="O34" s="60" t="s">
        <v>544</v>
      </c>
      <c r="P34" t="s">
        <v>534</v>
      </c>
      <c r="Q34" t="s">
        <v>529</v>
      </c>
    </row>
    <row r="35" spans="1:17" x14ac:dyDescent="0.25">
      <c r="A35" t="s">
        <v>19</v>
      </c>
      <c r="B35">
        <v>150</v>
      </c>
      <c r="C35">
        <v>150</v>
      </c>
      <c r="D35">
        <v>6</v>
      </c>
      <c r="E35">
        <v>150</v>
      </c>
      <c r="F35">
        <v>100</v>
      </c>
      <c r="G35">
        <v>6</v>
      </c>
      <c r="H35">
        <v>1.524</v>
      </c>
      <c r="I35">
        <v>1</v>
      </c>
      <c r="J35">
        <v>6.0638033318012194E-2</v>
      </c>
      <c r="K35">
        <v>1200</v>
      </c>
      <c r="L35">
        <v>0</v>
      </c>
      <c r="N35">
        <v>2</v>
      </c>
      <c r="O35" s="60" t="s">
        <v>544</v>
      </c>
      <c r="P35" t="s">
        <v>534</v>
      </c>
      <c r="Q35" t="s">
        <v>530</v>
      </c>
    </row>
    <row r="36" spans="1:17" x14ac:dyDescent="0.25">
      <c r="A36" t="s">
        <v>19</v>
      </c>
      <c r="B36">
        <v>150</v>
      </c>
      <c r="C36">
        <v>100</v>
      </c>
      <c r="D36">
        <v>6</v>
      </c>
      <c r="E36">
        <v>100</v>
      </c>
      <c r="F36">
        <v>100</v>
      </c>
      <c r="G36">
        <v>6</v>
      </c>
      <c r="H36">
        <v>1.524</v>
      </c>
      <c r="I36">
        <v>1</v>
      </c>
      <c r="J36">
        <v>6.0638033318012194E-2</v>
      </c>
      <c r="K36">
        <v>1200</v>
      </c>
      <c r="L36">
        <v>0</v>
      </c>
      <c r="N36">
        <v>2</v>
      </c>
      <c r="O36" s="60" t="s">
        <v>544</v>
      </c>
      <c r="P36" t="s">
        <v>534</v>
      </c>
      <c r="Q36" t="s">
        <v>531</v>
      </c>
    </row>
    <row r="37" spans="1:17" x14ac:dyDescent="0.25">
      <c r="A37" t="s">
        <v>23</v>
      </c>
      <c r="B37">
        <v>100</v>
      </c>
      <c r="C37">
        <v>100</v>
      </c>
      <c r="D37">
        <v>6</v>
      </c>
      <c r="E37">
        <v>100</v>
      </c>
      <c r="F37">
        <v>100</v>
      </c>
      <c r="G37">
        <v>7</v>
      </c>
      <c r="H37">
        <v>0</v>
      </c>
      <c r="I37">
        <v>0</v>
      </c>
      <c r="K37">
        <v>2000</v>
      </c>
      <c r="N37">
        <v>0</v>
      </c>
      <c r="O37" s="60">
        <v>0</v>
      </c>
      <c r="P37" t="s">
        <v>497</v>
      </c>
      <c r="Q37" t="s">
        <v>545</v>
      </c>
    </row>
    <row r="38" spans="1:17" x14ac:dyDescent="0.25">
      <c r="A38" t="s">
        <v>19</v>
      </c>
      <c r="B38">
        <v>100</v>
      </c>
      <c r="C38">
        <v>100</v>
      </c>
      <c r="D38">
        <v>7</v>
      </c>
      <c r="E38">
        <v>100</v>
      </c>
      <c r="F38">
        <v>150</v>
      </c>
      <c r="G38">
        <v>7</v>
      </c>
      <c r="H38">
        <v>1.524</v>
      </c>
      <c r="I38">
        <v>1</v>
      </c>
      <c r="J38">
        <v>6.0638033318012194E-2</v>
      </c>
      <c r="K38">
        <v>1200</v>
      </c>
      <c r="L38">
        <v>0</v>
      </c>
      <c r="N38">
        <v>2</v>
      </c>
      <c r="O38" s="60" t="s">
        <v>546</v>
      </c>
      <c r="P38" t="s">
        <v>534</v>
      </c>
      <c r="Q38" t="s">
        <v>528</v>
      </c>
    </row>
    <row r="39" spans="1:17" x14ac:dyDescent="0.25">
      <c r="A39" t="s">
        <v>19</v>
      </c>
      <c r="B39">
        <v>100</v>
      </c>
      <c r="C39">
        <v>150</v>
      </c>
      <c r="D39">
        <v>7</v>
      </c>
      <c r="E39">
        <v>150</v>
      </c>
      <c r="F39">
        <v>150</v>
      </c>
      <c r="G39">
        <v>7</v>
      </c>
      <c r="H39">
        <v>1.524</v>
      </c>
      <c r="I39">
        <v>1</v>
      </c>
      <c r="J39">
        <v>6.0638033318012194E-2</v>
      </c>
      <c r="K39">
        <v>1200</v>
      </c>
      <c r="L39">
        <v>0</v>
      </c>
      <c r="N39">
        <v>2</v>
      </c>
      <c r="O39" s="60" t="s">
        <v>546</v>
      </c>
      <c r="P39" t="s">
        <v>534</v>
      </c>
      <c r="Q39" t="s">
        <v>529</v>
      </c>
    </row>
    <row r="40" spans="1:17" x14ac:dyDescent="0.25">
      <c r="A40" t="s">
        <v>19</v>
      </c>
      <c r="B40">
        <v>150</v>
      </c>
      <c r="C40">
        <v>150</v>
      </c>
      <c r="D40">
        <v>7</v>
      </c>
      <c r="E40">
        <v>150</v>
      </c>
      <c r="F40">
        <v>100</v>
      </c>
      <c r="G40">
        <v>7</v>
      </c>
      <c r="H40">
        <v>1.524</v>
      </c>
      <c r="I40">
        <v>1</v>
      </c>
      <c r="J40">
        <v>6.0638033318012194E-2</v>
      </c>
      <c r="K40">
        <v>1200</v>
      </c>
      <c r="L40">
        <v>0</v>
      </c>
      <c r="N40">
        <v>2</v>
      </c>
      <c r="O40" s="60" t="s">
        <v>546</v>
      </c>
      <c r="P40" t="s">
        <v>534</v>
      </c>
      <c r="Q40" t="s">
        <v>530</v>
      </c>
    </row>
    <row r="41" spans="1:17" x14ac:dyDescent="0.25">
      <c r="A41" t="s">
        <v>19</v>
      </c>
      <c r="B41">
        <v>150</v>
      </c>
      <c r="C41">
        <v>100</v>
      </c>
      <c r="D41">
        <v>7</v>
      </c>
      <c r="E41">
        <v>100</v>
      </c>
      <c r="F41">
        <v>100</v>
      </c>
      <c r="G41">
        <v>7</v>
      </c>
      <c r="H41">
        <v>1.524</v>
      </c>
      <c r="I41">
        <v>1</v>
      </c>
      <c r="J41">
        <v>6.0638033318012194E-2</v>
      </c>
      <c r="K41">
        <v>1200</v>
      </c>
      <c r="L41">
        <v>0</v>
      </c>
      <c r="N41">
        <v>2</v>
      </c>
      <c r="O41" s="60" t="s">
        <v>546</v>
      </c>
      <c r="P41" t="s">
        <v>534</v>
      </c>
      <c r="Q41" t="s">
        <v>531</v>
      </c>
    </row>
    <row r="42" spans="1:17" x14ac:dyDescent="0.25">
      <c r="A42" t="s">
        <v>23</v>
      </c>
      <c r="B42">
        <v>100</v>
      </c>
      <c r="C42">
        <v>100</v>
      </c>
      <c r="D42">
        <v>7</v>
      </c>
      <c r="E42">
        <v>100</v>
      </c>
      <c r="F42">
        <v>100</v>
      </c>
      <c r="G42">
        <v>8</v>
      </c>
      <c r="H42">
        <v>0</v>
      </c>
      <c r="I42">
        <v>0</v>
      </c>
      <c r="K42">
        <v>2000</v>
      </c>
      <c r="N42">
        <v>0</v>
      </c>
      <c r="O42" s="60">
        <v>0</v>
      </c>
      <c r="P42" t="s">
        <v>497</v>
      </c>
      <c r="Q42" t="s">
        <v>547</v>
      </c>
    </row>
    <row r="43" spans="1:17" x14ac:dyDescent="0.25">
      <c r="A43" t="s">
        <v>19</v>
      </c>
      <c r="B43">
        <v>100</v>
      </c>
      <c r="C43">
        <v>100</v>
      </c>
      <c r="D43">
        <v>8</v>
      </c>
      <c r="E43">
        <v>100</v>
      </c>
      <c r="F43">
        <v>150</v>
      </c>
      <c r="G43">
        <v>8</v>
      </c>
      <c r="H43">
        <v>1.524</v>
      </c>
      <c r="I43">
        <v>1</v>
      </c>
      <c r="J43">
        <v>6.0638033318012194E-2</v>
      </c>
      <c r="K43">
        <v>1200</v>
      </c>
      <c r="L43">
        <v>0</v>
      </c>
      <c r="N43">
        <v>2</v>
      </c>
      <c r="O43" s="60" t="s">
        <v>548</v>
      </c>
      <c r="P43" t="s">
        <v>534</v>
      </c>
      <c r="Q43" t="s">
        <v>528</v>
      </c>
    </row>
    <row r="44" spans="1:17" x14ac:dyDescent="0.25">
      <c r="A44" t="s">
        <v>19</v>
      </c>
      <c r="B44">
        <v>100</v>
      </c>
      <c r="C44">
        <v>150</v>
      </c>
      <c r="D44">
        <v>8</v>
      </c>
      <c r="E44">
        <v>150</v>
      </c>
      <c r="F44">
        <v>150</v>
      </c>
      <c r="G44">
        <v>8</v>
      </c>
      <c r="H44">
        <v>1.524</v>
      </c>
      <c r="I44">
        <v>1</v>
      </c>
      <c r="J44">
        <v>6.0638033318012194E-2</v>
      </c>
      <c r="K44">
        <v>1200</v>
      </c>
      <c r="L44">
        <v>0</v>
      </c>
      <c r="N44">
        <v>2</v>
      </c>
      <c r="O44" s="60" t="s">
        <v>548</v>
      </c>
      <c r="P44" t="s">
        <v>534</v>
      </c>
      <c r="Q44" t="s">
        <v>529</v>
      </c>
    </row>
    <row r="45" spans="1:17" x14ac:dyDescent="0.25">
      <c r="A45" t="s">
        <v>19</v>
      </c>
      <c r="B45">
        <v>150</v>
      </c>
      <c r="C45">
        <v>150</v>
      </c>
      <c r="D45">
        <v>8</v>
      </c>
      <c r="E45">
        <v>150</v>
      </c>
      <c r="F45">
        <v>100</v>
      </c>
      <c r="G45">
        <v>8</v>
      </c>
      <c r="H45">
        <v>1.524</v>
      </c>
      <c r="I45">
        <v>1</v>
      </c>
      <c r="J45">
        <v>6.0638033318012194E-2</v>
      </c>
      <c r="K45">
        <v>1200</v>
      </c>
      <c r="L45">
        <v>0</v>
      </c>
      <c r="N45">
        <v>2</v>
      </c>
      <c r="O45" s="60" t="s">
        <v>548</v>
      </c>
      <c r="P45" t="s">
        <v>534</v>
      </c>
      <c r="Q45" t="s">
        <v>530</v>
      </c>
    </row>
    <row r="46" spans="1:17" x14ac:dyDescent="0.25">
      <c r="A46" t="s">
        <v>19</v>
      </c>
      <c r="B46">
        <v>150</v>
      </c>
      <c r="C46">
        <v>100</v>
      </c>
      <c r="D46">
        <v>8</v>
      </c>
      <c r="E46">
        <v>100</v>
      </c>
      <c r="F46">
        <v>100</v>
      </c>
      <c r="G46">
        <v>8</v>
      </c>
      <c r="H46">
        <v>1.524</v>
      </c>
      <c r="I46">
        <v>1</v>
      </c>
      <c r="J46">
        <v>6.0638033318012194E-2</v>
      </c>
      <c r="K46">
        <v>1200</v>
      </c>
      <c r="L46">
        <v>0</v>
      </c>
      <c r="N46">
        <v>2</v>
      </c>
      <c r="O46" s="60" t="s">
        <v>548</v>
      </c>
      <c r="P46" t="s">
        <v>534</v>
      </c>
      <c r="Q46" t="s">
        <v>531</v>
      </c>
    </row>
    <row r="47" spans="1:17" x14ac:dyDescent="0.25">
      <c r="A47" t="s">
        <v>23</v>
      </c>
      <c r="B47">
        <v>100</v>
      </c>
      <c r="C47">
        <v>100</v>
      </c>
      <c r="D47">
        <v>8</v>
      </c>
      <c r="E47">
        <v>100</v>
      </c>
      <c r="F47">
        <v>100</v>
      </c>
      <c r="G47">
        <v>9</v>
      </c>
      <c r="H47">
        <v>0</v>
      </c>
      <c r="I47">
        <v>0</v>
      </c>
      <c r="K47">
        <v>2000</v>
      </c>
      <c r="N47">
        <v>0</v>
      </c>
      <c r="O47" s="60">
        <v>0</v>
      </c>
      <c r="P47" t="s">
        <v>497</v>
      </c>
      <c r="Q47" t="s">
        <v>549</v>
      </c>
    </row>
    <row r="48" spans="1:17" x14ac:dyDescent="0.25">
      <c r="A48" t="s">
        <v>19</v>
      </c>
      <c r="B48">
        <v>100</v>
      </c>
      <c r="C48">
        <v>100</v>
      </c>
      <c r="D48">
        <v>9</v>
      </c>
      <c r="E48">
        <v>100</v>
      </c>
      <c r="F48">
        <v>150</v>
      </c>
      <c r="G48">
        <v>9</v>
      </c>
      <c r="H48">
        <v>1.524</v>
      </c>
      <c r="I48">
        <v>1</v>
      </c>
      <c r="J48">
        <v>6.0638033318012194E-2</v>
      </c>
      <c r="K48">
        <v>1200</v>
      </c>
      <c r="L48">
        <v>0</v>
      </c>
      <c r="N48">
        <v>2</v>
      </c>
      <c r="O48" s="60" t="s">
        <v>550</v>
      </c>
      <c r="P48" t="s">
        <v>534</v>
      </c>
      <c r="Q48" t="s">
        <v>528</v>
      </c>
    </row>
    <row r="49" spans="1:17" x14ac:dyDescent="0.25">
      <c r="A49" t="s">
        <v>19</v>
      </c>
      <c r="B49">
        <v>100</v>
      </c>
      <c r="C49">
        <v>150</v>
      </c>
      <c r="D49">
        <v>9</v>
      </c>
      <c r="E49">
        <v>150</v>
      </c>
      <c r="F49">
        <v>150</v>
      </c>
      <c r="G49">
        <v>9</v>
      </c>
      <c r="H49">
        <v>1.524</v>
      </c>
      <c r="I49">
        <v>1</v>
      </c>
      <c r="J49">
        <v>6.0638033318012194E-2</v>
      </c>
      <c r="K49">
        <v>1200</v>
      </c>
      <c r="L49">
        <v>0</v>
      </c>
      <c r="N49">
        <v>2</v>
      </c>
      <c r="O49" s="60" t="s">
        <v>550</v>
      </c>
      <c r="P49" t="s">
        <v>534</v>
      </c>
      <c r="Q49" t="s">
        <v>529</v>
      </c>
    </row>
    <row r="50" spans="1:17" x14ac:dyDescent="0.25">
      <c r="A50" t="s">
        <v>19</v>
      </c>
      <c r="B50">
        <v>150</v>
      </c>
      <c r="C50">
        <v>150</v>
      </c>
      <c r="D50">
        <v>9</v>
      </c>
      <c r="E50">
        <v>150</v>
      </c>
      <c r="F50">
        <v>100</v>
      </c>
      <c r="G50">
        <v>9</v>
      </c>
      <c r="H50">
        <v>1.524</v>
      </c>
      <c r="I50">
        <v>1</v>
      </c>
      <c r="J50">
        <v>6.0638033318012194E-2</v>
      </c>
      <c r="K50">
        <v>1200</v>
      </c>
      <c r="L50">
        <v>0</v>
      </c>
      <c r="N50">
        <v>2</v>
      </c>
      <c r="O50" s="60" t="s">
        <v>550</v>
      </c>
      <c r="P50" t="s">
        <v>534</v>
      </c>
      <c r="Q50" t="s">
        <v>530</v>
      </c>
    </row>
    <row r="51" spans="1:17" x14ac:dyDescent="0.25">
      <c r="A51" t="s">
        <v>19</v>
      </c>
      <c r="B51">
        <v>150</v>
      </c>
      <c r="C51">
        <v>100</v>
      </c>
      <c r="D51">
        <v>9</v>
      </c>
      <c r="E51">
        <v>100</v>
      </c>
      <c r="F51">
        <v>100</v>
      </c>
      <c r="G51">
        <v>9</v>
      </c>
      <c r="H51">
        <v>1.524</v>
      </c>
      <c r="I51">
        <v>1</v>
      </c>
      <c r="J51">
        <v>6.0638033318012194E-2</v>
      </c>
      <c r="K51">
        <v>1200</v>
      </c>
      <c r="L51">
        <v>0</v>
      </c>
      <c r="N51">
        <v>2</v>
      </c>
      <c r="O51" s="60" t="s">
        <v>550</v>
      </c>
      <c r="P51" t="s">
        <v>534</v>
      </c>
      <c r="Q51" t="s">
        <v>531</v>
      </c>
    </row>
    <row r="52" spans="1:17" x14ac:dyDescent="0.25">
      <c r="A52" t="s">
        <v>23</v>
      </c>
      <c r="B52">
        <v>100</v>
      </c>
      <c r="C52">
        <v>100</v>
      </c>
      <c r="D52">
        <v>9</v>
      </c>
      <c r="E52">
        <v>100</v>
      </c>
      <c r="F52">
        <v>100</v>
      </c>
      <c r="G52">
        <v>10</v>
      </c>
      <c r="H52">
        <v>0</v>
      </c>
      <c r="I52">
        <v>0</v>
      </c>
      <c r="K52">
        <v>2000</v>
      </c>
      <c r="N52">
        <v>0</v>
      </c>
      <c r="O52" s="60">
        <v>0</v>
      </c>
      <c r="P52" t="s">
        <v>497</v>
      </c>
      <c r="Q52" t="s">
        <v>551</v>
      </c>
    </row>
    <row r="53" spans="1:17" x14ac:dyDescent="0.25">
      <c r="A53" t="s">
        <v>19</v>
      </c>
      <c r="B53">
        <v>100</v>
      </c>
      <c r="C53">
        <v>100</v>
      </c>
      <c r="D53">
        <v>10</v>
      </c>
      <c r="E53">
        <v>100</v>
      </c>
      <c r="F53">
        <v>150</v>
      </c>
      <c r="G53">
        <v>10</v>
      </c>
      <c r="H53">
        <v>1.524</v>
      </c>
      <c r="I53">
        <v>1</v>
      </c>
      <c r="J53">
        <v>6.0638033318012194E-2</v>
      </c>
      <c r="K53">
        <v>1200</v>
      </c>
      <c r="L53">
        <v>0</v>
      </c>
      <c r="N53">
        <v>2</v>
      </c>
      <c r="O53" s="60" t="s">
        <v>552</v>
      </c>
      <c r="P53" t="s">
        <v>534</v>
      </c>
      <c r="Q53" t="s">
        <v>528</v>
      </c>
    </row>
    <row r="54" spans="1:17" x14ac:dyDescent="0.25">
      <c r="A54" t="s">
        <v>19</v>
      </c>
      <c r="B54">
        <v>100</v>
      </c>
      <c r="C54">
        <v>150</v>
      </c>
      <c r="D54">
        <v>10</v>
      </c>
      <c r="E54">
        <v>150</v>
      </c>
      <c r="F54">
        <v>150</v>
      </c>
      <c r="G54">
        <v>10</v>
      </c>
      <c r="H54">
        <v>1.524</v>
      </c>
      <c r="I54">
        <v>1</v>
      </c>
      <c r="J54">
        <v>6.0638033318012194E-2</v>
      </c>
      <c r="K54">
        <v>1200</v>
      </c>
      <c r="L54">
        <v>0</v>
      </c>
      <c r="N54">
        <v>2</v>
      </c>
      <c r="O54" s="60" t="s">
        <v>552</v>
      </c>
      <c r="P54" t="s">
        <v>534</v>
      </c>
      <c r="Q54" t="s">
        <v>529</v>
      </c>
    </row>
    <row r="55" spans="1:17" x14ac:dyDescent="0.25">
      <c r="A55" t="s">
        <v>19</v>
      </c>
      <c r="B55">
        <v>150</v>
      </c>
      <c r="C55">
        <v>150</v>
      </c>
      <c r="D55">
        <v>10</v>
      </c>
      <c r="E55">
        <v>150</v>
      </c>
      <c r="F55">
        <v>100</v>
      </c>
      <c r="G55">
        <v>10</v>
      </c>
      <c r="H55">
        <v>1.524</v>
      </c>
      <c r="I55">
        <v>1</v>
      </c>
      <c r="J55">
        <v>6.0638033318012194E-2</v>
      </c>
      <c r="K55">
        <v>1200</v>
      </c>
      <c r="L55">
        <v>0</v>
      </c>
      <c r="N55">
        <v>2</v>
      </c>
      <c r="O55" s="60" t="s">
        <v>552</v>
      </c>
      <c r="P55" t="s">
        <v>534</v>
      </c>
      <c r="Q55" t="s">
        <v>530</v>
      </c>
    </row>
    <row r="56" spans="1:17" x14ac:dyDescent="0.25">
      <c r="A56" t="s">
        <v>19</v>
      </c>
      <c r="B56">
        <v>150</v>
      </c>
      <c r="C56">
        <v>100</v>
      </c>
      <c r="D56">
        <v>10</v>
      </c>
      <c r="E56">
        <v>100</v>
      </c>
      <c r="F56">
        <v>100</v>
      </c>
      <c r="G56">
        <v>10</v>
      </c>
      <c r="H56">
        <v>1.524</v>
      </c>
      <c r="I56">
        <v>1</v>
      </c>
      <c r="J56">
        <v>6.0638033318012194E-2</v>
      </c>
      <c r="K56">
        <v>1200</v>
      </c>
      <c r="L56">
        <v>0</v>
      </c>
      <c r="N56">
        <v>2</v>
      </c>
      <c r="O56" s="60" t="s">
        <v>552</v>
      </c>
      <c r="P56" t="s">
        <v>534</v>
      </c>
      <c r="Q56" t="s">
        <v>531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4"/>
  <sheetViews>
    <sheetView workbookViewId="0">
      <selection activeCell="B2" sqref="B2:B28"/>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104</v>
      </c>
      <c r="B1" t="s">
        <v>473</v>
      </c>
      <c r="I1" t="s">
        <v>409</v>
      </c>
    </row>
    <row r="2" spans="1:9" x14ac:dyDescent="0.25">
      <c r="B2" t="s">
        <v>475</v>
      </c>
    </row>
    <row r="3" spans="1:9" x14ac:dyDescent="0.25">
      <c r="B3" t="s">
        <v>482</v>
      </c>
      <c r="I3" t="s">
        <v>404</v>
      </c>
    </row>
    <row r="4" spans="1:9" x14ac:dyDescent="0.25">
      <c r="B4" t="s">
        <v>415</v>
      </c>
    </row>
    <row r="6" spans="1:9" x14ac:dyDescent="0.25">
      <c r="B6" t="str">
        <f>CONCATENATE("M104 S",NozzleTemp)</f>
        <v>M104 S0</v>
      </c>
      <c r="I6" t="s">
        <v>405</v>
      </c>
    </row>
    <row r="7" spans="1:9" x14ac:dyDescent="0.25">
      <c r="B7" t="str">
        <f>CONCATENATE("M140 S",BedTemp)</f>
        <v>M140 S0</v>
      </c>
    </row>
    <row r="8" spans="1:9" x14ac:dyDescent="0.25">
      <c r="I8" t="s">
        <v>425</v>
      </c>
    </row>
    <row r="9" spans="1:9" x14ac:dyDescent="0.25">
      <c r="B9" t="s">
        <v>405</v>
      </c>
      <c r="I9" s="133" t="s">
        <v>426</v>
      </c>
    </row>
    <row r="10" spans="1:9" x14ac:dyDescent="0.25">
      <c r="B10" t="s">
        <v>471</v>
      </c>
      <c r="I10" t="s">
        <v>427</v>
      </c>
    </row>
    <row r="11" spans="1:9" x14ac:dyDescent="0.25">
      <c r="I11" t="s">
        <v>428</v>
      </c>
    </row>
    <row r="12" spans="1:9" x14ac:dyDescent="0.25">
      <c r="B12" t="str">
        <f>_xlfn.SINGLE(StartTool)</f>
        <v>T2</v>
      </c>
      <c r="I12" t="s">
        <v>423</v>
      </c>
    </row>
    <row r="13" spans="1:9" ht="15" customHeight="1" x14ac:dyDescent="0.25">
      <c r="I13" s="133" t="s">
        <v>429</v>
      </c>
    </row>
    <row r="14" spans="1:9" x14ac:dyDescent="0.25">
      <c r="B14" t="str">
        <f>CONCATENATE("M109 S",NozzleTemp)</f>
        <v>M109 S0</v>
      </c>
      <c r="I14" t="s">
        <v>433</v>
      </c>
    </row>
    <row r="15" spans="1:9" x14ac:dyDescent="0.25">
      <c r="B15" t="str">
        <f>CONCATENATE("M190 S",BedTemp)</f>
        <v>M190 S0</v>
      </c>
      <c r="I15" t="s">
        <v>434</v>
      </c>
    </row>
    <row r="16" spans="1:9" x14ac:dyDescent="0.25">
      <c r="I16" t="s">
        <v>424</v>
      </c>
    </row>
    <row r="17" spans="2:9" x14ac:dyDescent="0.25">
      <c r="B17" t="s">
        <v>523</v>
      </c>
    </row>
    <row r="18" spans="2:9" x14ac:dyDescent="0.25">
      <c r="I18" t="s">
        <v>397</v>
      </c>
    </row>
    <row r="19" spans="2:9" x14ac:dyDescent="0.25">
      <c r="B19" t="str">
        <f>CONCATENATE("M106 S",FanSpeed)</f>
        <v>M106 S0</v>
      </c>
    </row>
    <row r="20" spans="2:9" x14ac:dyDescent="0.25">
      <c r="I20" t="str">
        <f>CONCATENATE("M140 S",BedTemp)</f>
        <v>M140 S0</v>
      </c>
    </row>
    <row r="21" spans="2:9" x14ac:dyDescent="0.25">
      <c r="B21" t="s">
        <v>487</v>
      </c>
      <c r="I21" t="str">
        <f>CONCATENATE("M104 S",NozzleTemp, " T0")</f>
        <v>M104 S0 T0</v>
      </c>
    </row>
    <row r="22" spans="2:9" x14ac:dyDescent="0.25">
      <c r="B22" t="s">
        <v>488</v>
      </c>
      <c r="I22" t="str">
        <f>CONCATENATE("M104 S",NozzleTemp, " T2")</f>
        <v>M104 S0 T2</v>
      </c>
    </row>
    <row r="23" spans="2:9" x14ac:dyDescent="0.25">
      <c r="B23" t="s">
        <v>489</v>
      </c>
      <c r="I23" t="str">
        <f>CONCATENATE("M190 S",BedTemp)</f>
        <v>M190 S0</v>
      </c>
    </row>
    <row r="25" spans="2:9" x14ac:dyDescent="0.25">
      <c r="B25" t="s">
        <v>524</v>
      </c>
    </row>
    <row r="26" spans="2:9" x14ac:dyDescent="0.25">
      <c r="I26" t="str">
        <f>CONCATENATE("M109 S",NozzleTemp," T0")</f>
        <v>M109 S0 T0</v>
      </c>
    </row>
    <row r="27" spans="2:9" x14ac:dyDescent="0.25">
      <c r="B27" t="s">
        <v>474</v>
      </c>
      <c r="I27" t="str">
        <f>CONCATENATE("M109 S",NozzleTemp," T2")</f>
        <v>M109 S0 T2</v>
      </c>
    </row>
    <row r="28" spans="2:9" x14ac:dyDescent="0.25">
      <c r="B28" t="s">
        <v>106</v>
      </c>
    </row>
    <row r="29" spans="2:9" x14ac:dyDescent="0.25">
      <c r="I29" t="s">
        <v>410</v>
      </c>
    </row>
    <row r="30" spans="2:9" x14ac:dyDescent="0.25">
      <c r="I30" t="s">
        <v>400</v>
      </c>
    </row>
    <row r="31" spans="2:9" x14ac:dyDescent="0.25">
      <c r="I31" t="str">
        <f>CONCATENATE("M106 S",FanSpeed, " ; set fan speed")</f>
        <v>M106 S0 ; set fan speed</v>
      </c>
    </row>
    <row r="33" spans="9:9" x14ac:dyDescent="0.25">
      <c r="I33" t="s">
        <v>430</v>
      </c>
    </row>
    <row r="35" spans="9:9" x14ac:dyDescent="0.25">
      <c r="I35" t="s">
        <v>406</v>
      </c>
    </row>
    <row r="36" spans="9:9" x14ac:dyDescent="0.25">
      <c r="I36" t="s">
        <v>407</v>
      </c>
    </row>
    <row r="38" spans="9:9" x14ac:dyDescent="0.25">
      <c r="I38" t="s">
        <v>408</v>
      </c>
    </row>
    <row r="41" spans="9:9" x14ac:dyDescent="0.25">
      <c r="I41" t="s">
        <v>116</v>
      </c>
    </row>
    <row r="55" spans="3:14" x14ac:dyDescent="0.25">
      <c r="J55" t="s">
        <v>106</v>
      </c>
      <c r="N55" t="s">
        <v>106</v>
      </c>
    </row>
    <row r="64" spans="3:14" x14ac:dyDescent="0.25">
      <c r="C64" t="s">
        <v>106</v>
      </c>
      <c r="D64" t="s">
        <v>106</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B23"/>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2" x14ac:dyDescent="0.25">
      <c r="A1" t="s">
        <v>107</v>
      </c>
      <c r="B1" t="s">
        <v>473</v>
      </c>
    </row>
    <row r="3" spans="1:2" x14ac:dyDescent="0.25">
      <c r="B3" t="s">
        <v>476</v>
      </c>
    </row>
    <row r="5" spans="1:2" x14ac:dyDescent="0.25">
      <c r="B5" t="s">
        <v>411</v>
      </c>
    </row>
    <row r="6" spans="1:2" x14ac:dyDescent="0.25">
      <c r="B6" t="s">
        <v>412</v>
      </c>
    </row>
    <row r="7" spans="1:2" x14ac:dyDescent="0.25">
      <c r="B7" t="s">
        <v>413</v>
      </c>
    </row>
    <row r="8" spans="1:2" x14ac:dyDescent="0.25">
      <c r="B8" t="s">
        <v>393</v>
      </c>
    </row>
    <row r="10" spans="1:2" x14ac:dyDescent="0.25">
      <c r="B10" t="s">
        <v>414</v>
      </c>
    </row>
    <row r="11" spans="1:2" x14ac:dyDescent="0.25">
      <c r="B11" t="s">
        <v>415</v>
      </c>
    </row>
    <row r="13" spans="1:2" x14ac:dyDescent="0.25">
      <c r="B13" t="s">
        <v>525</v>
      </c>
    </row>
    <row r="15" spans="1:2" x14ac:dyDescent="0.25">
      <c r="B15" t="s">
        <v>477</v>
      </c>
    </row>
    <row r="16" spans="1:2" x14ac:dyDescent="0.25">
      <c r="B16" t="s">
        <v>478</v>
      </c>
    </row>
    <row r="18" spans="2:2" x14ac:dyDescent="0.25">
      <c r="B18" t="s">
        <v>416</v>
      </c>
    </row>
    <row r="19" spans="2:2" x14ac:dyDescent="0.25">
      <c r="B19" t="s">
        <v>479</v>
      </c>
    </row>
    <row r="21" spans="2:2" x14ac:dyDescent="0.25">
      <c r="B21" t="s">
        <v>417</v>
      </c>
    </row>
    <row r="23" spans="2:2" x14ac:dyDescent="0.25">
      <c r="B23" t="s">
        <v>480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107</v>
      </c>
      <c r="B1" t="s">
        <v>199</v>
      </c>
      <c r="C1" t="s">
        <v>396</v>
      </c>
      <c r="D1" t="s">
        <v>403</v>
      </c>
    </row>
    <row r="3" spans="1:16" s="62" customFormat="1" x14ac:dyDescent="0.25">
      <c r="A3" s="62" t="s">
        <v>190</v>
      </c>
      <c r="B3" s="62" t="s">
        <v>190</v>
      </c>
      <c r="C3" s="62" t="s">
        <v>190</v>
      </c>
      <c r="D3" s="62" t="s">
        <v>190</v>
      </c>
      <c r="E3" s="62" t="s">
        <v>190</v>
      </c>
      <c r="F3" s="62" t="s">
        <v>190</v>
      </c>
      <c r="G3" s="62" t="s">
        <v>190</v>
      </c>
      <c r="H3" s="62" t="s">
        <v>190</v>
      </c>
      <c r="I3" s="62" t="s">
        <v>190</v>
      </c>
      <c r="J3" s="62" t="s">
        <v>190</v>
      </c>
      <c r="K3" s="62" t="s">
        <v>190</v>
      </c>
      <c r="L3" s="62" t="s">
        <v>190</v>
      </c>
      <c r="M3" s="62" t="s">
        <v>190</v>
      </c>
      <c r="N3" s="62" t="s">
        <v>190</v>
      </c>
      <c r="O3" s="62" t="s">
        <v>190</v>
      </c>
      <c r="P3" s="62" t="s">
        <v>190</v>
      </c>
    </row>
    <row r="4" spans="1:16" x14ac:dyDescent="0.25">
      <c r="B4" t="s">
        <v>200</v>
      </c>
      <c r="C4" t="s">
        <v>397</v>
      </c>
      <c r="D4" t="s">
        <v>397</v>
      </c>
    </row>
    <row r="5" spans="1:16" x14ac:dyDescent="0.25">
      <c r="B5" t="s">
        <v>201</v>
      </c>
      <c r="C5" t="s">
        <v>402</v>
      </c>
      <c r="D5" t="s">
        <v>406</v>
      </c>
    </row>
    <row r="6" spans="1:16" x14ac:dyDescent="0.25">
      <c r="B6" t="s">
        <v>202</v>
      </c>
      <c r="D6" t="s">
        <v>432</v>
      </c>
    </row>
    <row r="7" spans="1:16" x14ac:dyDescent="0.25">
      <c r="B7" t="s">
        <v>203</v>
      </c>
    </row>
    <row r="8" spans="1:16" x14ac:dyDescent="0.25">
      <c r="B8" t="s">
        <v>204</v>
      </c>
    </row>
    <row r="14" spans="1:16" s="62" customFormat="1" x14ac:dyDescent="0.25">
      <c r="A14" s="62" t="s">
        <v>191</v>
      </c>
      <c r="B14" s="62" t="s">
        <v>191</v>
      </c>
      <c r="C14" s="62" t="s">
        <v>191</v>
      </c>
      <c r="D14" s="62" t="s">
        <v>191</v>
      </c>
      <c r="E14" s="62" t="s">
        <v>191</v>
      </c>
      <c r="F14" s="62" t="s">
        <v>191</v>
      </c>
      <c r="G14" s="62" t="s">
        <v>191</v>
      </c>
      <c r="H14" s="62" t="s">
        <v>191</v>
      </c>
      <c r="I14" s="62" t="s">
        <v>191</v>
      </c>
      <c r="J14" s="62" t="s">
        <v>191</v>
      </c>
      <c r="K14" s="62" t="s">
        <v>191</v>
      </c>
      <c r="L14" s="62" t="s">
        <v>191</v>
      </c>
      <c r="M14" s="62" t="s">
        <v>191</v>
      </c>
      <c r="N14" s="62" t="s">
        <v>191</v>
      </c>
      <c r="O14" s="62" t="s">
        <v>191</v>
      </c>
      <c r="P14" s="62" t="s">
        <v>191</v>
      </c>
    </row>
    <row r="15" spans="1:16" x14ac:dyDescent="0.25">
      <c r="B15" t="s">
        <v>205</v>
      </c>
      <c r="C15" t="s">
        <v>83</v>
      </c>
    </row>
    <row r="16" spans="1:16" s="62" customFormat="1" x14ac:dyDescent="0.25">
      <c r="B16" t="s">
        <v>206</v>
      </c>
      <c r="C16" t="s">
        <v>401</v>
      </c>
    </row>
    <row r="17" spans="1:16" s="62" customFormat="1" x14ac:dyDescent="0.25">
      <c r="B17" t="s">
        <v>207</v>
      </c>
    </row>
    <row r="18" spans="1:16" s="62" customFormat="1" x14ac:dyDescent="0.25">
      <c r="B18" t="s">
        <v>208</v>
      </c>
    </row>
    <row r="19" spans="1:16" s="62" customFormat="1" x14ac:dyDescent="0.25">
      <c r="B19" t="s">
        <v>209</v>
      </c>
    </row>
    <row r="25" spans="1:16" s="62" customFormat="1" x14ac:dyDescent="0.25">
      <c r="A25" s="62" t="s">
        <v>192</v>
      </c>
      <c r="B25" s="62" t="s">
        <v>192</v>
      </c>
      <c r="C25" s="62" t="s">
        <v>192</v>
      </c>
      <c r="D25" s="62" t="s">
        <v>192</v>
      </c>
      <c r="E25" s="62" t="s">
        <v>192</v>
      </c>
      <c r="F25" s="62" t="s">
        <v>192</v>
      </c>
      <c r="G25" s="62" t="s">
        <v>192</v>
      </c>
      <c r="H25" s="62" t="s">
        <v>192</v>
      </c>
      <c r="I25" s="62" t="s">
        <v>192</v>
      </c>
      <c r="J25" s="62" t="s">
        <v>192</v>
      </c>
      <c r="K25" s="62" t="s">
        <v>192</v>
      </c>
      <c r="L25" s="62" t="s">
        <v>192</v>
      </c>
      <c r="M25" s="62" t="s">
        <v>192</v>
      </c>
      <c r="N25" s="62" t="s">
        <v>192</v>
      </c>
      <c r="O25" s="62" t="s">
        <v>192</v>
      </c>
      <c r="P25" s="62" t="s">
        <v>192</v>
      </c>
    </row>
    <row r="26" spans="1:16" x14ac:dyDescent="0.25">
      <c r="B26" t="s">
        <v>210</v>
      </c>
      <c r="C26" t="s">
        <v>398</v>
      </c>
      <c r="D26" t="s">
        <v>398</v>
      </c>
    </row>
    <row r="27" spans="1:16" s="62" customFormat="1" x14ac:dyDescent="0.25">
      <c r="B27" t="s">
        <v>211</v>
      </c>
      <c r="C27" t="s">
        <v>402</v>
      </c>
      <c r="D27" t="s">
        <v>419</v>
      </c>
    </row>
    <row r="28" spans="1:16" s="62" customFormat="1" x14ac:dyDescent="0.25">
      <c r="B28" t="s">
        <v>212</v>
      </c>
      <c r="D28"/>
    </row>
    <row r="29" spans="1:16" s="62" customFormat="1" x14ac:dyDescent="0.25">
      <c r="B29" t="s">
        <v>213</v>
      </c>
      <c r="D29"/>
    </row>
    <row r="30" spans="1:16" s="62" customFormat="1" x14ac:dyDescent="0.25">
      <c r="B30" t="s">
        <v>214</v>
      </c>
    </row>
    <row r="36" spans="1:16" s="62" customFormat="1" x14ac:dyDescent="0.25">
      <c r="A36" s="62" t="s">
        <v>193</v>
      </c>
      <c r="B36" s="62" t="s">
        <v>193</v>
      </c>
      <c r="C36" s="62" t="s">
        <v>193</v>
      </c>
      <c r="D36" s="62" t="s">
        <v>193</v>
      </c>
      <c r="E36" s="62" t="s">
        <v>193</v>
      </c>
      <c r="F36" s="62" t="s">
        <v>193</v>
      </c>
      <c r="G36" s="62" t="s">
        <v>193</v>
      </c>
      <c r="H36" s="62" t="s">
        <v>193</v>
      </c>
      <c r="I36" s="62" t="s">
        <v>193</v>
      </c>
      <c r="J36" s="62" t="s">
        <v>193</v>
      </c>
      <c r="K36" s="62" t="s">
        <v>193</v>
      </c>
      <c r="L36" s="62" t="s">
        <v>193</v>
      </c>
      <c r="M36" s="62" t="s">
        <v>193</v>
      </c>
      <c r="N36" s="62" t="s">
        <v>193</v>
      </c>
      <c r="O36" s="62" t="s">
        <v>193</v>
      </c>
      <c r="P36" s="62" t="s">
        <v>193</v>
      </c>
    </row>
    <row r="37" spans="1:16" x14ac:dyDescent="0.25">
      <c r="B37" t="s">
        <v>215</v>
      </c>
      <c r="C37" t="s">
        <v>83</v>
      </c>
    </row>
    <row r="38" spans="1:16" s="62" customFormat="1" x14ac:dyDescent="0.25">
      <c r="B38" t="s">
        <v>216</v>
      </c>
      <c r="C38" t="s">
        <v>401</v>
      </c>
    </row>
    <row r="39" spans="1:16" s="62" customFormat="1" x14ac:dyDescent="0.25">
      <c r="B39" t="s">
        <v>217</v>
      </c>
    </row>
    <row r="40" spans="1:16" s="62" customFormat="1" x14ac:dyDescent="0.25">
      <c r="B40" t="s">
        <v>218</v>
      </c>
    </row>
    <row r="41" spans="1:16" s="62" customFormat="1" x14ac:dyDescent="0.25">
      <c r="B41" t="s">
        <v>219</v>
      </c>
    </row>
    <row r="47" spans="1:16" s="62" customFormat="1" x14ac:dyDescent="0.25">
      <c r="A47" s="62" t="s">
        <v>194</v>
      </c>
      <c r="B47" s="62" t="s">
        <v>194</v>
      </c>
      <c r="C47" s="62" t="s">
        <v>194</v>
      </c>
      <c r="D47" s="62" t="s">
        <v>194</v>
      </c>
      <c r="E47" s="62" t="s">
        <v>194</v>
      </c>
      <c r="F47" s="62" t="s">
        <v>194</v>
      </c>
      <c r="G47" s="62" t="s">
        <v>194</v>
      </c>
      <c r="H47" s="62" t="s">
        <v>194</v>
      </c>
      <c r="I47" s="62" t="s">
        <v>194</v>
      </c>
      <c r="J47" s="62" t="s">
        <v>194</v>
      </c>
      <c r="K47" s="62" t="s">
        <v>194</v>
      </c>
      <c r="L47" s="62" t="s">
        <v>194</v>
      </c>
      <c r="M47" s="62" t="s">
        <v>194</v>
      </c>
      <c r="N47" s="62" t="s">
        <v>194</v>
      </c>
      <c r="O47" s="62" t="s">
        <v>194</v>
      </c>
      <c r="P47" s="62" t="s">
        <v>194</v>
      </c>
    </row>
    <row r="48" spans="1:16" x14ac:dyDescent="0.25">
      <c r="B48" t="s">
        <v>221</v>
      </c>
      <c r="D48" t="s">
        <v>418</v>
      </c>
    </row>
    <row r="49" spans="1:16" s="62" customFormat="1" x14ac:dyDescent="0.25">
      <c r="B49" t="s">
        <v>220</v>
      </c>
      <c r="D49" t="s">
        <v>431</v>
      </c>
    </row>
    <row r="50" spans="1:16" s="62" customFormat="1" x14ac:dyDescent="0.25">
      <c r="B50" t="s">
        <v>222</v>
      </c>
      <c r="D50" t="s">
        <v>432</v>
      </c>
    </row>
    <row r="51" spans="1:16" s="62" customFormat="1" x14ac:dyDescent="0.25">
      <c r="B51" t="s">
        <v>223</v>
      </c>
      <c r="D51"/>
    </row>
    <row r="52" spans="1:16" s="62" customFormat="1" x14ac:dyDescent="0.25">
      <c r="B52" t="s">
        <v>224</v>
      </c>
      <c r="D52"/>
    </row>
    <row r="58" spans="1:16" s="62" customFormat="1" x14ac:dyDescent="0.25">
      <c r="A58" s="62" t="s">
        <v>195</v>
      </c>
      <c r="B58" s="62" t="s">
        <v>195</v>
      </c>
      <c r="C58" s="62" t="s">
        <v>195</v>
      </c>
      <c r="D58" s="62" t="s">
        <v>195</v>
      </c>
      <c r="E58" s="62" t="s">
        <v>195</v>
      </c>
      <c r="F58" s="62" t="s">
        <v>195</v>
      </c>
      <c r="G58" s="62" t="s">
        <v>195</v>
      </c>
      <c r="H58" s="62" t="s">
        <v>195</v>
      </c>
      <c r="I58" s="62" t="s">
        <v>195</v>
      </c>
      <c r="J58" s="62" t="s">
        <v>195</v>
      </c>
      <c r="K58" s="62" t="s">
        <v>195</v>
      </c>
      <c r="L58" s="62" t="s">
        <v>195</v>
      </c>
      <c r="M58" s="62" t="s">
        <v>195</v>
      </c>
      <c r="N58" s="62" t="s">
        <v>195</v>
      </c>
      <c r="O58" s="62" t="s">
        <v>195</v>
      </c>
      <c r="P58" s="62" t="s">
        <v>195</v>
      </c>
    </row>
    <row r="59" spans="1:16" x14ac:dyDescent="0.25">
      <c r="B59" t="s">
        <v>225</v>
      </c>
    </row>
    <row r="60" spans="1:16" s="62" customFormat="1" x14ac:dyDescent="0.25">
      <c r="B60" t="s">
        <v>226</v>
      </c>
    </row>
    <row r="61" spans="1:16" s="62" customFormat="1" x14ac:dyDescent="0.25">
      <c r="B61" t="s">
        <v>227</v>
      </c>
    </row>
    <row r="62" spans="1:16" s="62" customFormat="1" x14ac:dyDescent="0.25">
      <c r="B62" t="s">
        <v>228</v>
      </c>
    </row>
    <row r="63" spans="1:16" s="62" customFormat="1" x14ac:dyDescent="0.25">
      <c r="B63" t="s">
        <v>229</v>
      </c>
    </row>
    <row r="69" spans="1:16" s="62" customFormat="1" x14ac:dyDescent="0.25">
      <c r="A69" s="62" t="s">
        <v>196</v>
      </c>
      <c r="B69" s="62" t="s">
        <v>196</v>
      </c>
      <c r="C69" s="62" t="s">
        <v>196</v>
      </c>
      <c r="D69" s="62" t="s">
        <v>196</v>
      </c>
      <c r="E69" s="62" t="s">
        <v>196</v>
      </c>
      <c r="F69" s="62" t="s">
        <v>196</v>
      </c>
      <c r="G69" s="62" t="s">
        <v>196</v>
      </c>
      <c r="H69" s="62" t="s">
        <v>196</v>
      </c>
      <c r="I69" s="62" t="s">
        <v>196</v>
      </c>
      <c r="J69" s="62" t="s">
        <v>196</v>
      </c>
      <c r="K69" s="62" t="s">
        <v>196</v>
      </c>
      <c r="L69" s="62" t="s">
        <v>196</v>
      </c>
      <c r="M69" s="62" t="s">
        <v>196</v>
      </c>
      <c r="N69" s="62" t="s">
        <v>196</v>
      </c>
      <c r="O69" s="62" t="s">
        <v>196</v>
      </c>
      <c r="P69" s="62" t="s">
        <v>196</v>
      </c>
    </row>
    <row r="70" spans="1:16" x14ac:dyDescent="0.25">
      <c r="B70" t="s">
        <v>230</v>
      </c>
    </row>
    <row r="71" spans="1:16" s="62" customFormat="1" x14ac:dyDescent="0.25">
      <c r="B71" t="s">
        <v>231</v>
      </c>
      <c r="D71"/>
    </row>
    <row r="72" spans="1:16" s="62" customFormat="1" x14ac:dyDescent="0.25">
      <c r="B72" t="s">
        <v>232</v>
      </c>
      <c r="D72"/>
    </row>
    <row r="73" spans="1:16" s="62" customFormat="1" x14ac:dyDescent="0.25">
      <c r="B73" t="s">
        <v>233</v>
      </c>
      <c r="D73"/>
    </row>
    <row r="74" spans="1:16" s="62" customFormat="1" x14ac:dyDescent="0.25">
      <c r="B74" t="s">
        <v>234</v>
      </c>
    </row>
    <row r="80" spans="1:16" s="62" customFormat="1" x14ac:dyDescent="0.25">
      <c r="A80" s="62" t="s">
        <v>197</v>
      </c>
      <c r="B80" s="62" t="s">
        <v>197</v>
      </c>
      <c r="C80" s="62" t="s">
        <v>197</v>
      </c>
      <c r="D80" s="62" t="s">
        <v>197</v>
      </c>
      <c r="E80" s="62" t="s">
        <v>197</v>
      </c>
      <c r="F80" s="62" t="s">
        <v>197</v>
      </c>
      <c r="G80" s="62" t="s">
        <v>197</v>
      </c>
      <c r="H80" s="62" t="s">
        <v>197</v>
      </c>
      <c r="I80" s="62" t="s">
        <v>197</v>
      </c>
      <c r="J80" s="62" t="s">
        <v>197</v>
      </c>
      <c r="K80" s="62" t="s">
        <v>197</v>
      </c>
      <c r="L80" s="62" t="s">
        <v>197</v>
      </c>
      <c r="M80" s="62" t="s">
        <v>197</v>
      </c>
      <c r="N80" s="62" t="s">
        <v>197</v>
      </c>
      <c r="O80" s="62" t="s">
        <v>197</v>
      </c>
      <c r="P80" s="62" t="s">
        <v>197</v>
      </c>
    </row>
    <row r="81" spans="2:2" x14ac:dyDescent="0.25">
      <c r="B81" t="s">
        <v>235</v>
      </c>
    </row>
    <row r="82" spans="2:2" s="62" customFormat="1" x14ac:dyDescent="0.25">
      <c r="B82" t="s">
        <v>236</v>
      </c>
    </row>
    <row r="83" spans="2:2" s="62" customFormat="1" x14ac:dyDescent="0.25">
      <c r="B83" t="s">
        <v>237</v>
      </c>
    </row>
    <row r="84" spans="2:2" s="62" customFormat="1" x14ac:dyDescent="0.25">
      <c r="B84" t="s">
        <v>238</v>
      </c>
    </row>
    <row r="85" spans="2:2" s="62" customFormat="1" x14ac:dyDescent="0.25">
      <c r="B85" t="s">
        <v>239</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04"/>
  <sheetViews>
    <sheetView zoomScale="71" zoomScaleNormal="71" workbookViewId="0">
      <selection sqref="A1:A104"/>
    </sheetView>
  </sheetViews>
  <sheetFormatPr defaultRowHeight="15" x14ac:dyDescent="0.25"/>
  <sheetData>
    <row r="1" spans="1:1" x14ac:dyDescent="0.25">
      <c r="A1" t="s">
        <v>475</v>
      </c>
    </row>
    <row r="2" spans="1:1" x14ac:dyDescent="0.25">
      <c r="A2" t="s">
        <v>482</v>
      </c>
    </row>
    <row r="3" spans="1:1" x14ac:dyDescent="0.25">
      <c r="A3" t="s">
        <v>415</v>
      </c>
    </row>
    <row r="5" spans="1:1" x14ac:dyDescent="0.25">
      <c r="A5" t="s">
        <v>391</v>
      </c>
    </row>
    <row r="6" spans="1:1" x14ac:dyDescent="0.25">
      <c r="A6" t="s">
        <v>390</v>
      </c>
    </row>
    <row r="8" spans="1:1" x14ac:dyDescent="0.25">
      <c r="A8" t="s">
        <v>405</v>
      </c>
    </row>
    <row r="9" spans="1:1" x14ac:dyDescent="0.25">
      <c r="A9" t="s">
        <v>471</v>
      </c>
    </row>
    <row r="11" spans="1:1" x14ac:dyDescent="0.25">
      <c r="A11" t="s">
        <v>418</v>
      </c>
    </row>
    <row r="13" spans="1:1" x14ac:dyDescent="0.25">
      <c r="A13" t="s">
        <v>521</v>
      </c>
    </row>
    <row r="14" spans="1:1" x14ac:dyDescent="0.25">
      <c r="A14" t="s">
        <v>522</v>
      </c>
    </row>
    <row r="16" spans="1:1" x14ac:dyDescent="0.25">
      <c r="A16" t="s">
        <v>523</v>
      </c>
    </row>
    <row r="18" spans="1:1" x14ac:dyDescent="0.25">
      <c r="A18" t="s">
        <v>399</v>
      </c>
    </row>
    <row r="20" spans="1:1" x14ac:dyDescent="0.25">
      <c r="A20" t="s">
        <v>487</v>
      </c>
    </row>
    <row r="21" spans="1:1" x14ac:dyDescent="0.25">
      <c r="A21" t="s">
        <v>488</v>
      </c>
    </row>
    <row r="22" spans="1:1" x14ac:dyDescent="0.25">
      <c r="A22" t="s">
        <v>489</v>
      </c>
    </row>
    <row r="24" spans="1:1" x14ac:dyDescent="0.25">
      <c r="A24" t="s">
        <v>524</v>
      </c>
    </row>
    <row r="26" spans="1:1" x14ac:dyDescent="0.25">
      <c r="A26" t="s">
        <v>474</v>
      </c>
    </row>
    <row r="27" spans="1:1" x14ac:dyDescent="0.25">
      <c r="A27" t="s">
        <v>106</v>
      </c>
    </row>
    <row r="28" spans="1:1" x14ac:dyDescent="0.25">
      <c r="A28" t="s">
        <v>526</v>
      </c>
    </row>
    <row r="29" spans="1:1" x14ac:dyDescent="0.25">
      <c r="A29" t="s">
        <v>528</v>
      </c>
    </row>
    <row r="30" spans="1:1" x14ac:dyDescent="0.25">
      <c r="A30" t="s">
        <v>529</v>
      </c>
    </row>
    <row r="31" spans="1:1" x14ac:dyDescent="0.25">
      <c r="A31" t="s">
        <v>530</v>
      </c>
    </row>
    <row r="32" spans="1:1" x14ac:dyDescent="0.25">
      <c r="A32" t="s">
        <v>531</v>
      </c>
    </row>
    <row r="33" spans="1:1" x14ac:dyDescent="0.25">
      <c r="A33" t="s">
        <v>532</v>
      </c>
    </row>
    <row r="34" spans="1:1" x14ac:dyDescent="0.25">
      <c r="A34" t="s">
        <v>528</v>
      </c>
    </row>
    <row r="35" spans="1:1" x14ac:dyDescent="0.25">
      <c r="A35" t="s">
        <v>529</v>
      </c>
    </row>
    <row r="36" spans="1:1" x14ac:dyDescent="0.25">
      <c r="A36" t="s">
        <v>530</v>
      </c>
    </row>
    <row r="37" spans="1:1" x14ac:dyDescent="0.25">
      <c r="A37" t="s">
        <v>531</v>
      </c>
    </row>
    <row r="38" spans="1:1" x14ac:dyDescent="0.25">
      <c r="A38" t="s">
        <v>535</v>
      </c>
    </row>
    <row r="39" spans="1:1" x14ac:dyDescent="0.25">
      <c r="A39" t="s">
        <v>528</v>
      </c>
    </row>
    <row r="40" spans="1:1" x14ac:dyDescent="0.25">
      <c r="A40" t="s">
        <v>529</v>
      </c>
    </row>
    <row r="41" spans="1:1" x14ac:dyDescent="0.25">
      <c r="A41" t="s">
        <v>530</v>
      </c>
    </row>
    <row r="42" spans="1:1" x14ac:dyDescent="0.25">
      <c r="A42" t="s">
        <v>531</v>
      </c>
    </row>
    <row r="43" spans="1:1" x14ac:dyDescent="0.25">
      <c r="A43" t="s">
        <v>537</v>
      </c>
    </row>
    <row r="44" spans="1:1" x14ac:dyDescent="0.25">
      <c r="A44" t="s">
        <v>528</v>
      </c>
    </row>
    <row r="45" spans="1:1" x14ac:dyDescent="0.25">
      <c r="A45" t="s">
        <v>529</v>
      </c>
    </row>
    <row r="46" spans="1:1" x14ac:dyDescent="0.25">
      <c r="A46" t="s">
        <v>530</v>
      </c>
    </row>
    <row r="47" spans="1:1" x14ac:dyDescent="0.25">
      <c r="A47" t="s">
        <v>531</v>
      </c>
    </row>
    <row r="48" spans="1:1" x14ac:dyDescent="0.25">
      <c r="A48" t="s">
        <v>539</v>
      </c>
    </row>
    <row r="49" spans="1:1" x14ac:dyDescent="0.25">
      <c r="A49" t="s">
        <v>528</v>
      </c>
    </row>
    <row r="50" spans="1:1" x14ac:dyDescent="0.25">
      <c r="A50" t="s">
        <v>529</v>
      </c>
    </row>
    <row r="51" spans="1:1" x14ac:dyDescent="0.25">
      <c r="A51" t="s">
        <v>530</v>
      </c>
    </row>
    <row r="52" spans="1:1" x14ac:dyDescent="0.25">
      <c r="A52" t="s">
        <v>531</v>
      </c>
    </row>
    <row r="53" spans="1:1" x14ac:dyDescent="0.25">
      <c r="A53" t="s">
        <v>541</v>
      </c>
    </row>
    <row r="54" spans="1:1" x14ac:dyDescent="0.25">
      <c r="A54" t="s">
        <v>528</v>
      </c>
    </row>
    <row r="55" spans="1:1" x14ac:dyDescent="0.25">
      <c r="A55" t="s">
        <v>529</v>
      </c>
    </row>
    <row r="56" spans="1:1" x14ac:dyDescent="0.25">
      <c r="A56" t="s">
        <v>530</v>
      </c>
    </row>
    <row r="57" spans="1:1" x14ac:dyDescent="0.25">
      <c r="A57" t="s">
        <v>531</v>
      </c>
    </row>
    <row r="58" spans="1:1" x14ac:dyDescent="0.25">
      <c r="A58" t="s">
        <v>543</v>
      </c>
    </row>
    <row r="59" spans="1:1" x14ac:dyDescent="0.25">
      <c r="A59" t="s">
        <v>528</v>
      </c>
    </row>
    <row r="60" spans="1:1" x14ac:dyDescent="0.25">
      <c r="A60" t="s">
        <v>529</v>
      </c>
    </row>
    <row r="61" spans="1:1" x14ac:dyDescent="0.25">
      <c r="A61" t="s">
        <v>530</v>
      </c>
    </row>
    <row r="62" spans="1:1" x14ac:dyDescent="0.25">
      <c r="A62" t="s">
        <v>531</v>
      </c>
    </row>
    <row r="63" spans="1:1" x14ac:dyDescent="0.25">
      <c r="A63" t="s">
        <v>545</v>
      </c>
    </row>
    <row r="64" spans="1:1" x14ac:dyDescent="0.25">
      <c r="A64" t="s">
        <v>528</v>
      </c>
    </row>
    <row r="65" spans="1:1" x14ac:dyDescent="0.25">
      <c r="A65" t="s">
        <v>529</v>
      </c>
    </row>
    <row r="66" spans="1:1" x14ac:dyDescent="0.25">
      <c r="A66" t="s">
        <v>530</v>
      </c>
    </row>
    <row r="67" spans="1:1" x14ac:dyDescent="0.25">
      <c r="A67" t="s">
        <v>531</v>
      </c>
    </row>
    <row r="68" spans="1:1" x14ac:dyDescent="0.25">
      <c r="A68" t="s">
        <v>547</v>
      </c>
    </row>
    <row r="69" spans="1:1" x14ac:dyDescent="0.25">
      <c r="A69" t="s">
        <v>528</v>
      </c>
    </row>
    <row r="70" spans="1:1" x14ac:dyDescent="0.25">
      <c r="A70" t="s">
        <v>529</v>
      </c>
    </row>
    <row r="71" spans="1:1" x14ac:dyDescent="0.25">
      <c r="A71" t="s">
        <v>530</v>
      </c>
    </row>
    <row r="72" spans="1:1" x14ac:dyDescent="0.25">
      <c r="A72" t="s">
        <v>531</v>
      </c>
    </row>
    <row r="73" spans="1:1" x14ac:dyDescent="0.25">
      <c r="A73" t="s">
        <v>549</v>
      </c>
    </row>
    <row r="74" spans="1:1" x14ac:dyDescent="0.25">
      <c r="A74" t="s">
        <v>528</v>
      </c>
    </row>
    <row r="75" spans="1:1" x14ac:dyDescent="0.25">
      <c r="A75" t="s">
        <v>529</v>
      </c>
    </row>
    <row r="76" spans="1:1" x14ac:dyDescent="0.25">
      <c r="A76" t="s">
        <v>530</v>
      </c>
    </row>
    <row r="77" spans="1:1" x14ac:dyDescent="0.25">
      <c r="A77" t="s">
        <v>531</v>
      </c>
    </row>
    <row r="78" spans="1:1" x14ac:dyDescent="0.25">
      <c r="A78" t="s">
        <v>551</v>
      </c>
    </row>
    <row r="79" spans="1:1" x14ac:dyDescent="0.25">
      <c r="A79" t="s">
        <v>528</v>
      </c>
    </row>
    <row r="80" spans="1:1" x14ac:dyDescent="0.25">
      <c r="A80" t="s">
        <v>529</v>
      </c>
    </row>
    <row r="81" spans="1:1" x14ac:dyDescent="0.25">
      <c r="A81" t="s">
        <v>530</v>
      </c>
    </row>
    <row r="82" spans="1:1" x14ac:dyDescent="0.25">
      <c r="A82" t="s">
        <v>531</v>
      </c>
    </row>
    <row r="84" spans="1:1" x14ac:dyDescent="0.25">
      <c r="A84" t="s">
        <v>476</v>
      </c>
    </row>
    <row r="86" spans="1:1" x14ac:dyDescent="0.25">
      <c r="A86" t="s">
        <v>411</v>
      </c>
    </row>
    <row r="87" spans="1:1" x14ac:dyDescent="0.25">
      <c r="A87" t="s">
        <v>412</v>
      </c>
    </row>
    <row r="88" spans="1:1" x14ac:dyDescent="0.25">
      <c r="A88" t="s">
        <v>413</v>
      </c>
    </row>
    <row r="89" spans="1:1" x14ac:dyDescent="0.25">
      <c r="A89" t="s">
        <v>393</v>
      </c>
    </row>
    <row r="91" spans="1:1" x14ac:dyDescent="0.25">
      <c r="A91" t="s">
        <v>414</v>
      </c>
    </row>
    <row r="92" spans="1:1" x14ac:dyDescent="0.25">
      <c r="A92" t="s">
        <v>415</v>
      </c>
    </row>
    <row r="94" spans="1:1" x14ac:dyDescent="0.25">
      <c r="A94" t="s">
        <v>525</v>
      </c>
    </row>
    <row r="96" spans="1:1" x14ac:dyDescent="0.25">
      <c r="A96" t="s">
        <v>477</v>
      </c>
    </row>
    <row r="97" spans="1:1" x14ac:dyDescent="0.25">
      <c r="A97" t="s">
        <v>478</v>
      </c>
    </row>
    <row r="99" spans="1:1" x14ac:dyDescent="0.25">
      <c r="A99" t="s">
        <v>416</v>
      </c>
    </row>
    <row r="100" spans="1:1" x14ac:dyDescent="0.25">
      <c r="A100" t="s">
        <v>479</v>
      </c>
    </row>
    <row r="102" spans="1:1" x14ac:dyDescent="0.25">
      <c r="A102" t="s">
        <v>417</v>
      </c>
    </row>
    <row r="104" spans="1:1" x14ac:dyDescent="0.25">
      <c r="A104" t="s">
        <v>480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451</v>
      </c>
    </row>
    <row r="2" spans="1:1" x14ac:dyDescent="0.25">
      <c r="A2" s="89" t="s">
        <v>450</v>
      </c>
    </row>
    <row r="6" spans="1:1" x14ac:dyDescent="0.25">
      <c r="A6" s="141" t="s">
        <v>464</v>
      </c>
    </row>
    <row r="7" spans="1:1" x14ac:dyDescent="0.25">
      <c r="A7" t="s">
        <v>467</v>
      </c>
    </row>
    <row r="8" spans="1:1" x14ac:dyDescent="0.25">
      <c r="A8" t="s">
        <v>468</v>
      </c>
    </row>
    <row r="15" spans="1:1" x14ac:dyDescent="0.25">
      <c r="A15" t="s">
        <v>465</v>
      </c>
    </row>
    <row r="16" spans="1:1" x14ac:dyDescent="0.25">
      <c r="A16" t="s">
        <v>458</v>
      </c>
    </row>
    <row r="17" spans="1:1" x14ac:dyDescent="0.25">
      <c r="A17" t="s">
        <v>462</v>
      </c>
    </row>
    <row r="18" spans="1:1" x14ac:dyDescent="0.25">
      <c r="A18" t="s">
        <v>459</v>
      </c>
    </row>
    <row r="20" spans="1:1" x14ac:dyDescent="0.25">
      <c r="A20" t="s">
        <v>463</v>
      </c>
    </row>
    <row r="24" spans="1:1" x14ac:dyDescent="0.25">
      <c r="A24" t="s">
        <v>466</v>
      </c>
    </row>
    <row r="25" spans="1:1" x14ac:dyDescent="0.25">
      <c r="A25" t="s">
        <v>449</v>
      </c>
    </row>
    <row r="26" spans="1:1" x14ac:dyDescent="0.25">
      <c r="A26" t="s">
        <v>438</v>
      </c>
    </row>
    <row r="27" spans="1:1" x14ac:dyDescent="0.25">
      <c r="A27" t="s">
        <v>448</v>
      </c>
    </row>
    <row r="28" spans="1:1" x14ac:dyDescent="0.25">
      <c r="A28" t="s">
        <v>447</v>
      </c>
    </row>
    <row r="30" spans="1:1" x14ac:dyDescent="0.25">
      <c r="A30" t="s">
        <v>463</v>
      </c>
    </row>
    <row r="34" spans="1:1" x14ac:dyDescent="0.25">
      <c r="A34" t="s">
        <v>443</v>
      </c>
    </row>
    <row r="35" spans="1:1" x14ac:dyDescent="0.25">
      <c r="A35" t="s">
        <v>444</v>
      </c>
    </row>
    <row r="37" spans="1:1" x14ac:dyDescent="0.25">
      <c r="A37" t="s">
        <v>463</v>
      </c>
    </row>
    <row r="41" spans="1:1" x14ac:dyDescent="0.25">
      <c r="A41" t="s">
        <v>445</v>
      </c>
    </row>
    <row r="42" spans="1:1" x14ac:dyDescent="0.25">
      <c r="A42" t="s">
        <v>446</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ExtrusionHeight</vt:lpstr>
      <vt:lpstr>ExtrusionSpacing</vt:lpstr>
      <vt:lpstr>ExtrusionSpacing_L1</vt:lpstr>
      <vt:lpstr>ExtrusionWidth</vt:lpstr>
      <vt:lpstr>FanSpeed</vt:lpstr>
      <vt:lpstr>Height</vt:lpstr>
      <vt:lpstr>LayerHeight</vt:lpstr>
      <vt:lpstr>Length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2021-12-22T21:50:52Z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