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Interlaced\"/>
    </mc:Choice>
  </mc:AlternateContent>
  <xr:revisionPtr revIDLastSave="0" documentId="13_ncr:1_{B524071B-E9E0-4AEF-B66A-534876044197}"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2" i="1" l="1"/>
  <c r="D42" i="1"/>
  <c r="F58" i="1" l="1"/>
  <c r="H64" i="1"/>
  <c r="G64" i="1"/>
  <c r="L64" i="1"/>
  <c r="K64" i="1"/>
  <c r="E63" i="1"/>
  <c r="G62" i="1"/>
  <c r="E62" i="1"/>
  <c r="M61" i="1"/>
  <c r="L61" i="1"/>
  <c r="K61" i="1"/>
  <c r="G61" i="1"/>
  <c r="M60" i="1"/>
  <c r="L60" i="1"/>
  <c r="K60" i="1"/>
  <c r="H60" i="1"/>
  <c r="M59" i="1"/>
  <c r="L59" i="1"/>
  <c r="K59" i="1"/>
  <c r="G59" i="1"/>
  <c r="M58" i="1"/>
  <c r="L58" i="1"/>
  <c r="K58" i="1"/>
  <c r="H58" i="1"/>
  <c r="E58" i="1"/>
  <c r="D58" i="1"/>
  <c r="I42" i="1"/>
  <c r="G56" i="1"/>
  <c r="F26" i="1"/>
  <c r="M17" i="1"/>
  <c r="H24" i="1"/>
  <c r="E22" i="1"/>
  <c r="H21" i="1"/>
  <c r="G20" i="1"/>
  <c r="H19" i="1"/>
  <c r="G18" i="1"/>
  <c r="H17" i="1"/>
  <c r="G17" i="1"/>
  <c r="K18" i="1"/>
  <c r="L18" i="1"/>
  <c r="K19" i="1"/>
  <c r="L19" i="1"/>
  <c r="K20" i="1"/>
  <c r="L20" i="1"/>
  <c r="K21" i="1"/>
  <c r="L21" i="1"/>
  <c r="G22" i="1"/>
  <c r="G23" i="1"/>
  <c r="I23" i="1"/>
  <c r="K23" i="1"/>
  <c r="L23" i="1"/>
  <c r="K24" i="1"/>
  <c r="L24" i="1"/>
  <c r="D26" i="1"/>
  <c r="E26" i="1"/>
  <c r="H26" i="1"/>
  <c r="K26" i="1"/>
  <c r="L26" i="1"/>
  <c r="M26" i="1"/>
  <c r="G27" i="1"/>
  <c r="K27" i="1"/>
  <c r="L27" i="1"/>
  <c r="M27" i="1"/>
  <c r="H28" i="1"/>
  <c r="K28" i="1"/>
  <c r="L28" i="1"/>
  <c r="M28" i="1"/>
  <c r="G29" i="1"/>
  <c r="K29" i="1"/>
  <c r="L29" i="1"/>
  <c r="M29" i="1"/>
  <c r="E30" i="1"/>
  <c r="G30" i="1"/>
  <c r="E31" i="1"/>
  <c r="G32" i="1"/>
  <c r="K32" i="1"/>
  <c r="L32" i="1"/>
  <c r="M32" i="1"/>
  <c r="H33" i="1"/>
  <c r="K33" i="1"/>
  <c r="L33" i="1"/>
  <c r="M33" i="1"/>
  <c r="G34" i="1"/>
  <c r="K34" i="1"/>
  <c r="L34" i="1"/>
  <c r="M34" i="1"/>
  <c r="H35" i="1"/>
  <c r="K35" i="1"/>
  <c r="L35" i="1"/>
  <c r="M35" i="1"/>
  <c r="E36" i="1"/>
  <c r="G36" i="1"/>
  <c r="E37" i="1"/>
  <c r="H38" i="1"/>
  <c r="K38" i="1"/>
  <c r="L38" i="1"/>
  <c r="I40" i="1"/>
  <c r="K40" i="1"/>
  <c r="L40" i="1"/>
  <c r="G42" i="1"/>
  <c r="H42" i="1"/>
  <c r="K42" i="1"/>
  <c r="L42" i="1"/>
  <c r="G43" i="1"/>
  <c r="K43" i="1"/>
  <c r="L43" i="1"/>
  <c r="H44" i="1"/>
  <c r="K44" i="1"/>
  <c r="L44" i="1"/>
  <c r="G45" i="1"/>
  <c r="K45" i="1"/>
  <c r="L45" i="1"/>
  <c r="H46" i="1"/>
  <c r="K46" i="1"/>
  <c r="L46" i="1"/>
  <c r="E47" i="1"/>
  <c r="G47" i="1"/>
  <c r="E48" i="1"/>
  <c r="H49" i="1"/>
  <c r="K49" i="1"/>
  <c r="L49" i="1"/>
  <c r="G50" i="1"/>
  <c r="K50" i="1"/>
  <c r="L50" i="1"/>
  <c r="H51" i="1"/>
  <c r="K51" i="1"/>
  <c r="L51" i="1"/>
  <c r="G52" i="1"/>
  <c r="K52" i="1"/>
  <c r="L52" i="1"/>
  <c r="E53" i="1"/>
  <c r="G53" i="1"/>
  <c r="G54" i="1"/>
  <c r="I54" i="1"/>
  <c r="K54" i="1"/>
  <c r="L54" i="1"/>
  <c r="H55" i="1"/>
  <c r="K55" i="1"/>
  <c r="L55" i="1"/>
  <c r="F56" i="1"/>
  <c r="L15" i="1"/>
  <c r="K15" i="1"/>
  <c r="G15" i="1"/>
  <c r="E16" i="1"/>
  <c r="K17" i="1"/>
  <c r="L17" i="1"/>
  <c r="G14" i="1"/>
  <c r="E14" i="1"/>
  <c r="L13" i="1"/>
  <c r="K13" i="1"/>
  <c r="H13" i="1"/>
  <c r="L12" i="1"/>
  <c r="K12" i="1"/>
  <c r="G12" i="1"/>
  <c r="L11" i="1"/>
  <c r="K11" i="1"/>
  <c r="H11" i="1"/>
  <c r="L10" i="1"/>
  <c r="K10" i="1"/>
  <c r="G10" i="1"/>
  <c r="L9" i="1"/>
  <c r="K9" i="1"/>
  <c r="H9" i="1"/>
  <c r="G9" i="1"/>
  <c r="T42" i="1" l="1"/>
  <c r="T23" i="1"/>
  <c r="T49" i="1" l="1"/>
  <c r="B16" i="4"/>
  <c r="T24" i="1"/>
  <c r="B20" i="4"/>
  <c r="B19" i="4"/>
  <c r="B18" i="4"/>
  <c r="B17" i="4"/>
  <c r="T25" i="1" l="1"/>
  <c r="B29" i="4"/>
  <c r="B25" i="4"/>
  <c r="B24" i="4"/>
  <c r="B22"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<sst xmlns="http://schemas.openxmlformats.org/spreadsheetml/2006/main" count="7328" uniqueCount="1282">
  <si>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</si>
  <si>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</si>
  <si>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</si>
  <si>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</si>
  <si>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</si>
  <si>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</si>
  <si>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</si>
  <si>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</si>
  <si>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</si>
  <si>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</si>
  <si>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</si>
  <si>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</si>
  <si>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</si>
  <si>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</si>
  <si>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</si>
  <si>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</si>
  <si>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</si>
  <si>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</si>
  <si>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</si>
  <si>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</si>
  <si>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</si>
  <si>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</si>
  <si>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</si>
  <si>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</si>
  <si>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</si>
  <si>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</si>
  <si>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</si>
  <si>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</si>
  <si>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</si>
  <si>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</si>
  <si>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</si>
  <si>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</si>
  <si>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</si>
  <si>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</si>
  <si>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</si>
  <si>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</si>
  <si>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</si>
  <si>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</si>
  <si>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</si>
  <si>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</si>
  <si>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</si>
  <si>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</si>
  <si>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</si>
  <si>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</si>
  <si>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</si>
  <si>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</si>
  <si>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</si>
  <si>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</si>
  <si>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</si>
  <si>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</si>
  <si>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</si>
  <si>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</si>
  <si>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</si>
  <si>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</si>
  <si>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</si>
  <si>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</si>
  <si>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</si>
  <si>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</si>
  <si>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</si>
  <si>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</si>
  <si>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</si>
  <si>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</si>
  <si>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</si>
  <si>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</si>
  <si>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</si>
  <si>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</si>
  <si>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</si>
  <si>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</si>
  <si>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</si>
  <si>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</si>
  <si>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</si>
  <si>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</si>
  <si>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</si>
  <si>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</si>
  <si>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</si>
  <si>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</si>
  <si>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</si>
  <si>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</si>
  <si>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</si>
  <si>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</si>
  <si>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</si>
  <si>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</si>
  <si>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</si>
  <si>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</si>
  <si>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</si>
  <si>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</si>
  <si>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</si>
  <si>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</si>
  <si>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</si>
  <si>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</si>
  <si>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</si>
  <si>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</si>
  <si>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</si>
  <si>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</si>
  <si>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</si>
  <si>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</si>
  <si>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</si>
  <si>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</si>
  <si>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</si>
  <si>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</si>
  <si>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</si>
  <si>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</si>
  <si>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</si>
  <si>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</si>
  <si>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</si>
  <si>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</si>
  <si>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</si>
  <si>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</si>
  <si>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</si>
  <si>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</si>
  <si>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</si>
  <si>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</si>
  <si>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</si>
  <si>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</si>
  <si>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</si>
  <si>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</si>
  <si>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</si>
  <si>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</si>
  <si>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</si>
  <si>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</si>
  <si>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</si>
  <si>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</si>
  <si>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</si>
  <si>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</si>
  <si>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</si>
  <si>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</si>
  <si>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</si>
  <si>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</si>
  <si>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</si>
  <si>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</si>
  <si>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</si>
  <si>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</si>
  <si>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</si>
  <si>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</si>
  <si>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</si>
  <si>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</si>
  <si>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</si>
  <si>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</si>
  <si>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</si>
  <si>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</si>
  <si>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</si>
  <si>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</si>
  <si>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</si>
  <si>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</si>
  <si>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</si>
  <si>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</si>
  <si>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</si>
  <si>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</si>
  <si>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</si>
  <si>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</si>
  <si>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</si>
  <si>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</si>
  <si>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</si>
  <si>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</si>
  <si>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</si>
  <si>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</si>
  <si>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</si>
  <si>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</si>
  <si>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</si>
  <si>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</si>
  <si>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</si>
  <si>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</si>
  <si>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</si>
  <si>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</si>
  <si>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</si>
  <si>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</si>
  <si>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</si>
  <si>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</si>
  <si>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</si>
  <si>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</si>
  <si>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</si>
  <si>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</si>
  <si>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</si>
  <si>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</si>
  <si>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</si>
  <si>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</si>
  <si>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</si>
  <si>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</si>
  <si>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</si>
  <si>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</si>
  <si>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</si>
  <si>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</si>
  <si>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</si>
  <si>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</si>
  <si>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</si>
  <si>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</si>
  <si>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</si>
  <si>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</si>
  <si>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</si>
  <si>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</si>
  <si>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</si>
  <si>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</si>
  <si>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</si>
  <si>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</si>
  <si>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</si>
  <si>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</si>
  <si>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</si>
  <si>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</si>
  <si>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</si>
  <si>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</si>
  <si>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</si>
  <si>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</si>
  <si>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</si>
  <si>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</si>
  <si>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</si>
  <si>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</si>
  <si>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</si>
  <si>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</si>
  <si>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</si>
  <si>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</si>
  <si>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</si>
  <si>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</si>
  <si>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</si>
  <si>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</si>
  <si>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</si>
  <si>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</si>
  <si>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</si>
  <si>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</si>
  <si>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</si>
  <si>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</si>
  <si>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</si>
  <si>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</si>
  <si>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</si>
  <si>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</si>
  <si>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</si>
  <si>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</si>
  <si>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</si>
  <si>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</si>
  <si>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</si>
  <si>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</si>
  <si>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</si>
  <si>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</si>
  <si>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</si>
  <si>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</si>
  <si>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</si>
  <si>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</si>
  <si>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</si>
  <si>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</si>
  <si>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</si>
  <si>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</si>
  <si>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</si>
  <si>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</si>
  <si>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</si>
  <si>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</si>
  <si>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</si>
  <si>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</si>
  <si>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</si>
  <si>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</si>
  <si>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</si>
  <si>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</si>
  <si>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</si>
  <si>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</si>
  <si>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</si>
  <si>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</si>
  <si>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</si>
  <si>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</si>
  <si>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</si>
  <si>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</si>
  <si>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</si>
  <si>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</si>
  <si>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</si>
  <si>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</si>
  <si>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</si>
  <si>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</si>
  <si>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</si>
  <si>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</si>
  <si>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</si>
  <si>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</si>
  <si>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</si>
  <si>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</si>
  <si>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</si>
  <si>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</si>
  <si>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</si>
  <si>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</si>
  <si>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</si>
  <si>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</si>
  <si>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</si>
  <si>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</si>
  <si>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</si>
  <si>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</si>
  <si>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</si>
  <si>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</si>
  <si>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</si>
  <si>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</si>
  <si>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</si>
  <si>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</si>
  <si>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</si>
  <si>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</si>
  <si>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</si>
  <si>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</si>
  <si>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</si>
  <si>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</si>
  <si>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</si>
  <si>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</si>
  <si>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</si>
  <si>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</si>
  <si>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</si>
  <si>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</si>
  <si>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</si>
  <si>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</si>
  <si>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</si>
  <si>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</si>
  <si>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</si>
  <si>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</si>
  <si>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</si>
  <si>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</si>
  <si>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</si>
  <si>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</si>
  <si>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</si>
  <si>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</si>
  <si>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</si>
  <si>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</si>
  <si>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</si>
  <si>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</si>
  <si>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</si>
  <si>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</si>
  <si>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</si>
  <si>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</si>
  <si>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</si>
  <si>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</si>
  <si>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</si>
  <si>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</si>
  <si>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</si>
  <si>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</si>
  <si>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</si>
  <si>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</si>
  <si>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</si>
  <si>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</si>
  <si>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</si>
  <si>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</si>
  <si>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</si>
  <si>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</si>
  <si>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</si>
  <si>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</si>
  <si>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</si>
  <si>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</si>
  <si>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</si>
  <si>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</si>
  <si>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</si>
  <si>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</si>
  <si>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</si>
  <si>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</si>
  <si>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</si>
  <si>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</si>
  <si>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</si>
  <si>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</si>
  <si>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</si>
  <si>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</si>
  <si>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</si>
  <si>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</si>
  <si>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</si>
  <si>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</si>
  <si>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</si>
  <si>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</si>
  <si>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</si>
  <si>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</si>
  <si>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</si>
  <si>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</si>
  <si>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</si>
  <si>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</si>
  <si>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</si>
  <si>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</si>
  <si>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</si>
  <si>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</si>
  <si>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</si>
  <si>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</si>
  <si>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</si>
  <si>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</si>
  <si>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</si>
  <si>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</si>
  <si>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</si>
  <si>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</si>
  <si>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</si>
  <si>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</si>
  <si>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</si>
  <si>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</si>
  <si>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</si>
  <si>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</si>
  <si>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</si>
  <si>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</si>
  <si>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</si>
  <si>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</si>
  <si>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</si>
  <si>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</si>
  <si>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</si>
  <si>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</si>
  <si>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</si>
  <si>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</si>
  <si>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</si>
  <si>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</si>
  <si>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</si>
  <si>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</si>
  <si>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</si>
  <si>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</si>
  <si>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</si>
  <si>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</si>
  <si>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</si>
  <si>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</si>
  <si>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</si>
  <si>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</si>
  <si>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</si>
  <si>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</si>
  <si>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</si>
  <si>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</si>
  <si>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</si>
  <si>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</si>
  <si>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</si>
  <si>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</si>
  <si>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</si>
  <si>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</si>
  <si>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</si>
  <si>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</si>
  <si>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</si>
  <si>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</si>
  <si>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</si>
  <si>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</si>
  <si>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</si>
  <si>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</si>
  <si>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</si>
  <si>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</si>
  <si>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</si>
  <si>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</si>
  <si>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</si>
  <si>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</si>
  <si>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</si>
  <si>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</si>
  <si>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</si>
  <si>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</si>
  <si>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</si>
  <si>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</si>
  <si>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</si>
  <si>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</si>
  <si>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</si>
  <si>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</si>
  <si>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</si>
  <si>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</si>
  <si>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</si>
  <si>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</si>
  <si>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</si>
  <si>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</si>
  <si>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</si>
  <si>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</si>
  <si>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</si>
  <si>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</si>
  <si>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</si>
  <si>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</si>
  <si>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</si>
  <si>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</si>
  <si>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</si>
  <si>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</si>
  <si>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</si>
  <si>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</si>
  <si>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</si>
  <si>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</si>
  <si>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</si>
  <si>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</si>
  <si>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</si>
  <si>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</si>
  <si>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</si>
  <si>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</si>
  <si>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</si>
  <si>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</si>
  <si>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</si>
  <si>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</si>
  <si>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</si>
  <si>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</si>
  <si>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</si>
  <si>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</si>
  <si>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</si>
  <si>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</si>
  <si>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</si>
  <si>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</si>
  <si>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</si>
  <si>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</si>
  <si>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</si>
  <si>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</si>
  <si>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</si>
  <si>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</si>
  <si>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</si>
  <si>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</si>
  <si>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</si>
  <si>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</si>
  <si>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</si>
  <si>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</si>
  <si>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</si>
  <si>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</si>
  <si>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</si>
  <si>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</si>
  <si>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</si>
  <si>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</si>
  <si>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</si>
  <si>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</si>
  <si>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</si>
  <si>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</si>
  <si>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</si>
  <si>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</si>
  <si>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</si>
  <si>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</si>
  <si>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</si>
  <si>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</si>
  <si>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</si>
  <si>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</si>
  <si>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</si>
  <si>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</si>
  <si>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</si>
  <si>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</si>
  <si>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</si>
  <si>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</si>
  <si>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</si>
  <si>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</si>
  <si>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</si>
  <si>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</si>
  <si>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</si>
  <si>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</si>
  <si>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</si>
  <si>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</si>
  <si>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</si>
  <si>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</si>
  <si>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</si>
  <si>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</si>
  <si>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</si>
  <si>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</si>
  <si>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</si>
  <si>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</si>
  <si>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</si>
  <si>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</si>
  <si>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</si>
  <si>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</si>
  <si>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</si>
  <si>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</si>
  <si>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</si>
  <si>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</si>
  <si>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</si>
  <si>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</si>
  <si>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</si>
  <si>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</si>
  <si>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</si>
  <si>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</si>
  <si>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</si>
  <si>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</si>
  <si>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</si>
  <si>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</si>
  <si>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</si>
  <si>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</si>
  <si>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</si>
  <si>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</si>
  <si>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</si>
  <si>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</si>
  <si>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</si>
  <si>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</si>
  <si>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</si>
  <si>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</si>
  <si>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</si>
  <si>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</si>
  <si>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</si>
  <si>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</si>
  <si>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</si>
  <si>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</si>
  <si>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</si>
  <si>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</si>
  <si>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</si>
  <si>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</si>
  <si>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</si>
  <si>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</si>
  <si>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</si>
  <si>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</si>
  <si>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</si>
  <si>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</si>
  <si>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</si>
  <si>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</si>
  <si>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</si>
  <si>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</si>
  <si>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</si>
  <si>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</si>
  <si>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</si>
  <si>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</si>
  <si>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</si>
  <si>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</si>
  <si>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</si>
  <si>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</si>
  <si>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</si>
  <si>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</si>
  <si>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</si>
  <si>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</si>
  <si>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</si>
  <si>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</si>
  <si>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</si>
  <si>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</si>
  <si>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</si>
  <si>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</si>
  <si>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</si>
  <si>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</si>
  <si>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</si>
  <si>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</si>
  <si>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</si>
  <si>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</si>
  <si>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</si>
  <si>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</si>
  <si>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</si>
  <si>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</si>
  <si>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</si>
  <si>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</si>
  <si>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</si>
  <si>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</si>
  <si>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</si>
  <si>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</si>
  <si>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</si>
  <si>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</si>
  <si>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</si>
  <si>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</si>
  <si>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</si>
  <si>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</si>
  <si>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</si>
  <si>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</si>
  <si>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</si>
  <si>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</si>
  <si>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</si>
  <si>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</si>
  <si>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</si>
  <si>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</si>
  <si>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</si>
  <si>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</si>
  <si>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</si>
  <si>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</si>
  <si>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</si>
  <si>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</si>
  <si>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</si>
  <si>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</si>
  <si>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</si>
  <si>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</si>
  <si>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</si>
  <si>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</si>
  <si>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</si>
  <si>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</si>
  <si>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</si>
  <si>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</si>
  <si>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</si>
  <si>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</si>
  <si>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</si>
  <si>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</si>
  <si>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</si>
  <si>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</si>
  <si>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</si>
  <si>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</si>
  <si>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</si>
  <si>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</si>
  <si>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</si>
  <si>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</si>
  <si>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</si>
  <si>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</si>
  <si>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</si>
  <si>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</si>
  <si>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</si>
  <si>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</si>
  <si>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</si>
  <si>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</si>
  <si>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</si>
  <si>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</si>
  <si>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</si>
  <si>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</si>
  <si>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</si>
  <si>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</si>
  <si>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</si>
  <si>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</si>
  <si>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</si>
  <si>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</si>
  <si>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</si>
  <si>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</si>
  <si>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</si>
  <si>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</si>
  <si>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</si>
  <si>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</si>
  <si>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</si>
  <si>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</si>
  <si>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</si>
  <si>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</si>
  <si>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</si>
  <si>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</si>
  <si>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</si>
  <si>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</si>
  <si>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</si>
  <si>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</si>
  <si>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</si>
  <si>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</si>
  <si>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</si>
  <si>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</si>
  <si>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</si>
  <si>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14</t>
  </si>
  <si>
    <t>;M98 P"prime.g"</t>
  </si>
  <si>
    <t>LineFeat1</t>
  </si>
  <si>
    <t>2</t>
  </si>
  <si>
    <t>LineFeat2</t>
  </si>
  <si>
    <t>3</t>
  </si>
  <si>
    <t>LineFeat3</t>
  </si>
  <si>
    <t>M109 S0</t>
  </si>
  <si>
    <t>M190 S0</t>
  </si>
  <si>
    <t>RetractionFeat1</t>
  </si>
  <si>
    <t>RetractionZhop</t>
  </si>
  <si>
    <t>5</t>
  </si>
  <si>
    <t>RetractionFeat2</t>
  </si>
  <si>
    <t>G1 F80.0 E-0.35</t>
  </si>
  <si>
    <t>RetractionFeat3</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</si>
  <si>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</si>
  <si>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</si>
  <si>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</si>
  <si>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</si>
  <si>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</si>
  <si>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</si>
  <si>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</si>
  <si>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</si>
  <si>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</si>
  <si>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</si>
  <si>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</si>
  <si>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</si>
  <si>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</si>
  <si>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</si>
  <si>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</si>
  <si>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</si>
  <si>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</si>
  <si>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</si>
  <si>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</si>
  <si>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2nd Layer Concrete Purge</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</si>
  <si>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</si>
  <si>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</si>
  <si>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</si>
  <si>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</si>
  <si>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</si>
  <si>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</si>
  <si>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</si>
  <si>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</si>
  <si>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</si>
  <si>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</si>
  <si>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</si>
  <si>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</si>
  <si>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</si>
  <si>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</si>
  <si>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</si>
  <si>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</si>
  <si>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</si>
  <si>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T3</t>
  </si>
  <si>
    <t>LineFeat6</t>
  </si>
  <si>
    <t>11</t>
  </si>
  <si>
    <t>LineFeat7</t>
  </si>
  <si>
    <t>LineFeat8</t>
  </si>
  <si>
    <t>13</t>
  </si>
  <si>
    <t>LineFeat9</t>
  </si>
  <si>
    <t>CartesianRepFeat2 of LineFeat8</t>
  </si>
  <si>
    <t>CartesianRepFeat2 of LineFeat9</t>
  </si>
  <si>
    <t>Silicone Finger Layer 1</t>
  </si>
  <si>
    <t>Silicone Finger Layer 2</t>
  </si>
  <si>
    <t>G1 F0.0 E0.0</t>
  </si>
  <si>
    <t>16</t>
  </si>
  <si>
    <t>LineFeat10</t>
  </si>
  <si>
    <t>17</t>
  </si>
  <si>
    <t>LineFeat11</t>
  </si>
  <si>
    <t>18</t>
  </si>
  <si>
    <t>LineFeat12</t>
  </si>
  <si>
    <t>19</t>
  </si>
  <si>
    <t>LineFeat13</t>
  </si>
  <si>
    <t>CartesianRepFeat3 of LineFeat13</t>
  </si>
  <si>
    <t>22</t>
  </si>
  <si>
    <t>CustomGCODEFeat2</t>
  </si>
  <si>
    <t>Concrete Finger Layer 2</t>
  </si>
  <si>
    <t>24</t>
  </si>
  <si>
    <t>LineFeat14</t>
  </si>
  <si>
    <t>LineFeat15</t>
  </si>
  <si>
    <t>26</t>
  </si>
  <si>
    <t>LineFeat16</t>
  </si>
  <si>
    <t>27</t>
  </si>
  <si>
    <t>LineFeat17</t>
  </si>
  <si>
    <t>28</t>
  </si>
  <si>
    <t>LineFeat18</t>
  </si>
  <si>
    <t>CartesianRepFeat4 of LineFeat18</t>
  </si>
  <si>
    <t>30</t>
  </si>
  <si>
    <t>31</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</si>
  <si>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</si>
  <si>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</si>
  <si>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</si>
  <si>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</si>
  <si>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</si>
  <si>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</si>
  <si>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</si>
  <si>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</si>
  <si>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</si>
  <si>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</si>
  <si>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</si>
  <si>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</si>
  <si>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</si>
  <si>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</si>
  <si>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</si>
  <si>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</si>
  <si>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LineFeat19</t>
  </si>
  <si>
    <t>34</t>
  </si>
  <si>
    <t>LineFeat20</t>
  </si>
  <si>
    <t>35</t>
  </si>
  <si>
    <t>LineFeat21</t>
  </si>
  <si>
    <t>36</t>
  </si>
  <si>
    <t>LineFeat22</t>
  </si>
  <si>
    <t>37</t>
  </si>
  <si>
    <t>LineFeat23</t>
  </si>
  <si>
    <t>CartesianRepFeat5 of LineFeat23</t>
  </si>
  <si>
    <t>39</t>
  </si>
  <si>
    <t>CustomGCODEFeat4</t>
  </si>
  <si>
    <t>LineFeat24</t>
  </si>
  <si>
    <t>LineFeat25</t>
  </si>
  <si>
    <t>LineFeat26</t>
  </si>
  <si>
    <t>LineFeat27</t>
  </si>
  <si>
    <t>CartesianRepFeat6 of LineFeat27</t>
  </si>
  <si>
    <t>R11.4</t>
  </si>
  <si>
    <t>CartesianRepFeat5 of LineFeat24</t>
  </si>
  <si>
    <t>CartesianRepFeat5 of LineFeat25</t>
  </si>
  <si>
    <t>97,98,99,100</t>
  </si>
  <si>
    <t>ConcreteLayerHeight+24</t>
  </si>
  <si>
    <t>ConcreteLayerHeight+28</t>
  </si>
  <si>
    <t>Concrete Finger Layer 3</t>
  </si>
  <si>
    <t>184,185,186,187</t>
  </si>
  <si>
    <t>206,207,208,209</t>
  </si>
  <si>
    <t>R175</t>
  </si>
  <si>
    <t>CartesianRepFeat2 of LineFeat10</t>
  </si>
  <si>
    <t>CartesianRepFeat3 of LineFeat14</t>
  </si>
  <si>
    <t>CartesianRepFeat4 of LineFeat19</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</si>
  <si>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</si>
  <si>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</si>
  <si>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</si>
  <si>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</si>
  <si>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</si>
  <si>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</si>
  <si>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</si>
  <si>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</si>
  <si>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</si>
  <si>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</si>
  <si>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</si>
  <si>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</si>
  <si>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</si>
  <si>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</si>
  <si>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</si>
  <si>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</si>
  <si>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</si>
  <si>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</si>
  <si>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</si>
  <si>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</si>
  <si>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</si>
  <si>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</si>
  <si>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</si>
  <si>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</si>
  <si>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</si>
  <si>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CartesianRepFeat4 of LineFeat20</t>
  </si>
  <si>
    <t>set global.printing = true</t>
  </si>
  <si>
    <t>; set concrete purging variables</t>
  </si>
  <si>
    <t>M98 P"concreteprime.g"</t>
  </si>
  <si>
    <t>set global.concretePrimeE = 1.465</t>
  </si>
  <si>
    <t>set global.concretePrimeLayer = 1</t>
  </si>
  <si>
    <t>15.1-11</t>
  </si>
  <si>
    <t>15.1-12</t>
  </si>
  <si>
    <t>15.1-13</t>
  </si>
  <si>
    <t>20</t>
  </si>
  <si>
    <t>set global.concretePrimeY = 125</t>
  </si>
  <si>
    <t>11-14</t>
  </si>
  <si>
    <t>15.1-14</t>
  </si>
  <si>
    <t>CartesianRepFeat3 of LineFeat15</t>
  </si>
  <si>
    <t>Move out of way before park</t>
  </si>
  <si>
    <t>G1 X145.0 E0.892262</t>
  </si>
  <si>
    <t>G1 X275.0 E0.892262</t>
  </si>
  <si>
    <t>set global.concretePrimeX = 175</t>
  </si>
  <si>
    <t>set global.concretePrimeLength = 100</t>
  </si>
  <si>
    <t>SiliconePrintSpeed</t>
  </si>
  <si>
    <t>7.3-3</t>
  </si>
  <si>
    <t>7.3-4</t>
  </si>
  <si>
    <t>7.3-5</t>
  </si>
  <si>
    <t>7.3-6</t>
  </si>
  <si>
    <t>7.4-3</t>
  </si>
  <si>
    <t>7.4-4</t>
  </si>
  <si>
    <t>7.4-5</t>
  </si>
  <si>
    <t>7.4-6</t>
  </si>
  <si>
    <t>15.2-11</t>
  </si>
  <si>
    <t>15.2-12</t>
  </si>
  <si>
    <t>15.2-13</t>
  </si>
  <si>
    <t>15.2-14</t>
  </si>
  <si>
    <t>1st Concrete Finger</t>
  </si>
  <si>
    <t>Bottom Concrete Layer</t>
  </si>
  <si>
    <t>G0 F3000 Z2.7</t>
  </si>
  <si>
    <t>G1 F600 X275.0 Y100.0 E0.171726</t>
  </si>
  <si>
    <t>G1 Y96.0 E0.027454</t>
  </si>
  <si>
    <t>G1 Y92.0 E0.027454</t>
  </si>
  <si>
    <t>G1 Y88.0 E0.027454</t>
  </si>
  <si>
    <t>G1 Y84.0 E0.027454</t>
  </si>
  <si>
    <t>G1 Y80.0 E0.027454</t>
  </si>
  <si>
    <t>G1 Y76.0 E0.027454</t>
  </si>
  <si>
    <t>G1 Y72.0 E0.027454</t>
  </si>
  <si>
    <t>G1 Y68.0 E0.027454</t>
  </si>
  <si>
    <t>G1 Y64.0 E0.027454</t>
  </si>
  <si>
    <t>G1 Y60.0 E0.027454</t>
  </si>
  <si>
    <t>G0 F3000.0 Z5.4</t>
  </si>
  <si>
    <t>G0 Z5.4</t>
  </si>
  <si>
    <t>CartesianRepFeat2 of LineFeat7</t>
  </si>
  <si>
    <t>G0 F3000 X283.0 Z10.8</t>
  </si>
  <si>
    <t>set global.concretePrimeZ = 2.7</t>
  </si>
  <si>
    <t>Finish up Bottom Layer</t>
  </si>
  <si>
    <t>G1 Y84.0 E0.082363</t>
  </si>
  <si>
    <t>G1 Y68.0 E0.082363</t>
  </si>
  <si>
    <t>G1 Y52.0 E0.082363</t>
  </si>
  <si>
    <t>G0 Y100.0</t>
  </si>
  <si>
    <t>Move to start of Finger</t>
  </si>
  <si>
    <t>G1 F600 X145.0 E0.892262</t>
  </si>
  <si>
    <t>G0 F3000 X141.0 Y104.0 Z5.4</t>
  </si>
  <si>
    <t>G1 F1000 Y92.0 E0.078311</t>
  </si>
  <si>
    <t>G1 X271.0 E0.848368</t>
  </si>
  <si>
    <t>21</t>
  </si>
  <si>
    <t>G1 Y88.0 E0.026104</t>
  </si>
  <si>
    <t>G1 X141.0 E0.848368</t>
  </si>
  <si>
    <t>G0 F5000.0 Z8.1</t>
  </si>
  <si>
    <t>G0 F3000 Z8.1</t>
  </si>
  <si>
    <t>25</t>
  </si>
  <si>
    <t>G1 Y72.0 E0.026104</t>
  </si>
  <si>
    <t>G0 F5000.0 Z10.8</t>
  </si>
  <si>
    <t>G0 F3000 Z10.8</t>
  </si>
  <si>
    <t>32</t>
  </si>
  <si>
    <t>19-22</t>
  </si>
  <si>
    <t>25-28</t>
  </si>
  <si>
    <t>23.1-19</t>
  </si>
  <si>
    <t>G1 Y76.0 E0.078311</t>
  </si>
  <si>
    <t>23.1-20</t>
  </si>
  <si>
    <t>23.1-21</t>
  </si>
  <si>
    <t>CartesianRepFeat3 of LineFeat16</t>
  </si>
  <si>
    <t>23.1-22</t>
  </si>
  <si>
    <t>G1 F1000 X271.0 E0.848368</t>
  </si>
  <si>
    <t>G1 Y76.0 E0.026104</t>
  </si>
  <si>
    <t>G1 Y88.0 E0.078311</t>
  </si>
  <si>
    <t>29.1-25</t>
  </si>
  <si>
    <t>29.1-26</t>
  </si>
  <si>
    <t>G1 Y92.0 E0.026104</t>
  </si>
  <si>
    <t>29.1-27</t>
  </si>
  <si>
    <t>29.1-28</t>
  </si>
  <si>
    <t>G1 Y104.0 E0.078311</t>
  </si>
  <si>
    <t>G0 F5000.0 Z13.5</t>
  </si>
  <si>
    <t>G0 F3000 Z13.5</t>
  </si>
  <si>
    <t>G0 Y112.0</t>
  </si>
  <si>
    <t>36-39</t>
  </si>
  <si>
    <t>42-45</t>
  </si>
  <si>
    <t>18-48</t>
  </si>
  <si>
    <t>38</t>
  </si>
  <si>
    <t>40.1-36</t>
  </si>
  <si>
    <t>40.1-37</t>
  </si>
  <si>
    <t>40.1-38</t>
  </si>
  <si>
    <t>CartesianRepFeat5 of LineFeat26</t>
  </si>
  <si>
    <t>40.1-39</t>
  </si>
  <si>
    <t>40.2-36</t>
  </si>
  <si>
    <t>40.2-37</t>
  </si>
  <si>
    <t>40.2-38</t>
  </si>
  <si>
    <t>40.2-39</t>
  </si>
  <si>
    <t>41</t>
  </si>
  <si>
    <t>RetractionFeat4</t>
  </si>
  <si>
    <t>42</t>
  </si>
  <si>
    <t>LineFeat28</t>
  </si>
  <si>
    <t>G1 F600 Y64.0 E0.082363</t>
  </si>
  <si>
    <t>43</t>
  </si>
  <si>
    <t>LineFeat29</t>
  </si>
  <si>
    <t>44</t>
  </si>
  <si>
    <t>LineFeat30</t>
  </si>
  <si>
    <t>45</t>
  </si>
  <si>
    <t>LineFeat31</t>
  </si>
  <si>
    <t>46.1-42</t>
  </si>
  <si>
    <t>CartesianRepFeat6 of LineFeat28</t>
  </si>
  <si>
    <t>G1 Y80.0 E0.082363</t>
  </si>
  <si>
    <t>46.1-43</t>
  </si>
  <si>
    <t>CartesianRepFeat6 of LineFeat29</t>
  </si>
  <si>
    <t>46.1-44</t>
  </si>
  <si>
    <t>CartesianRepFeat6 of LineFeat30</t>
  </si>
  <si>
    <t>46.1-45</t>
  </si>
  <si>
    <t>46.2-42</t>
  </si>
  <si>
    <t>G1 Y96.0 E0.082363</t>
  </si>
  <si>
    <t>46.2-43</t>
  </si>
  <si>
    <t>46.2-44</t>
  </si>
  <si>
    <t>G1 Y100.0 E0.027454</t>
  </si>
  <si>
    <t>46.2-45</t>
  </si>
  <si>
    <t>47</t>
  </si>
  <si>
    <t>LineFeat32</t>
  </si>
  <si>
    <t>48</t>
  </si>
  <si>
    <t>LineFeat33</t>
  </si>
  <si>
    <t>G0 Y108.0</t>
  </si>
  <si>
    <t>49.1-18</t>
  </si>
  <si>
    <t>CartesianRepFeat7 of CustomGCODEFeat2</t>
  </si>
  <si>
    <t>G0 F3000 X141.0 Y104.0 Z10.8</t>
  </si>
  <si>
    <t>49.1-19</t>
  </si>
  <si>
    <t>CartesianRepFeat7 of LineFeat14</t>
  </si>
  <si>
    <t>49.1-20</t>
  </si>
  <si>
    <t>CartesianRepFeat7 of LineFeat15</t>
  </si>
  <si>
    <t>49.1-21</t>
  </si>
  <si>
    <t>CartesianRepFeat7 of LineFeat16</t>
  </si>
  <si>
    <t>49.1-22</t>
  </si>
  <si>
    <t>CartesianRepFeat7 of LineFeat17</t>
  </si>
  <si>
    <t>49.1-23.1-19</t>
  </si>
  <si>
    <t>CartesianRepFeat7 of CartesianRepFeat3 of LineFeat14</t>
  </si>
  <si>
    <t>49.1-23.1-20</t>
  </si>
  <si>
    <t>CartesianRepFeat7 of CartesianRepFeat3 of LineFeat15</t>
  </si>
  <si>
    <t>49.1-23.1-21</t>
  </si>
  <si>
    <t>CartesianRepFeat7 of CartesianRepFeat3 of LineFeat16</t>
  </si>
  <si>
    <t>49.1-23.1-22</t>
  </si>
  <si>
    <t>49.1-24</t>
  </si>
  <si>
    <t>CartesianRepFeat7 of RetractionFeat2</t>
  </si>
  <si>
    <t>49.1-25</t>
  </si>
  <si>
    <t>CartesianRepFeat7 of LineFeat18</t>
  </si>
  <si>
    <t>49.1-26</t>
  </si>
  <si>
    <t>CartesianRepFeat7 of LineFeat19</t>
  </si>
  <si>
    <t>49.1-27</t>
  </si>
  <si>
    <t>CartesianRepFeat7 of LineFeat20</t>
  </si>
  <si>
    <t>49.1-28</t>
  </si>
  <si>
    <t>CartesianRepFeat7 of LineFeat21</t>
  </si>
  <si>
    <t>49.1-29.1-25</t>
  </si>
  <si>
    <t>CartesianRepFeat7 of CartesianRepFeat4 of LineFeat18</t>
  </si>
  <si>
    <t>49.1-29.1-26</t>
  </si>
  <si>
    <t>CartesianRepFeat7 of CartesianRepFeat4 of LineFeat19</t>
  </si>
  <si>
    <t>49.1-29.1-27</t>
  </si>
  <si>
    <t>CartesianRepFeat7 of CartesianRepFeat4 of LineFeat20</t>
  </si>
  <si>
    <t>49.1-29.1-28</t>
  </si>
  <si>
    <t>49.1-30</t>
  </si>
  <si>
    <t>CartesianRepFeat7 of RetractionFeat3</t>
  </si>
  <si>
    <t>G0 F5000.0 Z18.9</t>
  </si>
  <si>
    <t>G0 F3000 Z18.9</t>
  </si>
  <si>
    <t>49.1-31</t>
  </si>
  <si>
    <t>CartesianRepFeat7 of LineFeat22</t>
  </si>
  <si>
    <t>49.1-32</t>
  </si>
  <si>
    <t>CartesianRepFeat7 of CustomGCODEFeat3</t>
  </si>
  <si>
    <t>49.1-34</t>
  </si>
  <si>
    <t>CartesianRepFeat7 of CustomGCODEFeat4</t>
  </si>
  <si>
    <t>49.1-35</t>
  </si>
  <si>
    <t>CartesianRepFeat7 of LineFeat23</t>
  </si>
  <si>
    <t>49.1-36</t>
  </si>
  <si>
    <t>CartesianRepFeat7 of LineFeat24</t>
  </si>
  <si>
    <t>49.1-37</t>
  </si>
  <si>
    <t>CartesianRepFeat7 of LineFeat25</t>
  </si>
  <si>
    <t>49.1-38</t>
  </si>
  <si>
    <t>CartesianRepFeat7 of LineFeat26</t>
  </si>
  <si>
    <t>49.1-39</t>
  </si>
  <si>
    <t>CartesianRepFeat7 of LineFeat27</t>
  </si>
  <si>
    <t>49.1-40.1-36</t>
  </si>
  <si>
    <t>CartesianRepFeat7 of CartesianRepFeat5 of LineFeat24</t>
  </si>
  <si>
    <t>49.1-40.1-37</t>
  </si>
  <si>
    <t>CartesianRepFeat7 of CartesianRepFeat5 of LineFeat25</t>
  </si>
  <si>
    <t>49.1-40.1-38</t>
  </si>
  <si>
    <t>CartesianRepFeat7 of CartesianRepFeat5 of LineFeat26</t>
  </si>
  <si>
    <t>49.1-40.1-39</t>
  </si>
  <si>
    <t>49.1-40.2-36</t>
  </si>
  <si>
    <t>49.1-40.2-37</t>
  </si>
  <si>
    <t>49.1-40.2-38</t>
  </si>
  <si>
    <t>49.1-40.2-39</t>
  </si>
  <si>
    <t>49.1-41</t>
  </si>
  <si>
    <t>CartesianRepFeat7 of RetractionFeat4</t>
  </si>
  <si>
    <t>49.1-42</t>
  </si>
  <si>
    <t>CartesianRepFeat7 of LineFeat28</t>
  </si>
  <si>
    <t>49.1-43</t>
  </si>
  <si>
    <t>CartesianRepFeat7 of LineFeat29</t>
  </si>
  <si>
    <t>49.1-44</t>
  </si>
  <si>
    <t>CartesianRepFeat7 of LineFeat30</t>
  </si>
  <si>
    <t>49.1-45</t>
  </si>
  <si>
    <t>CartesianRepFeat7 of LineFeat31</t>
  </si>
  <si>
    <t>49.1-46.1-42</t>
  </si>
  <si>
    <t>CartesianRepFeat7 of CartesianRepFeat6 of LineFeat28</t>
  </si>
  <si>
    <t>49.1-46.1-43</t>
  </si>
  <si>
    <t>CartesianRepFeat7 of CartesianRepFeat6 of LineFeat29</t>
  </si>
  <si>
    <t>49.1-46.1-44</t>
  </si>
  <si>
    <t>CartesianRepFeat7 of CartesianRepFeat6 of LineFeat30</t>
  </si>
  <si>
    <t>49.1-46.1-45</t>
  </si>
  <si>
    <t>49.1-46.2-42</t>
  </si>
  <si>
    <t>49.1-46.2-43</t>
  </si>
  <si>
    <t>49.1-46.2-44</t>
  </si>
  <si>
    <t>49.1-46.2-45</t>
  </si>
  <si>
    <t>49.1-47</t>
  </si>
  <si>
    <t>CartesianRepFeat7 of LineFeat32</t>
  </si>
  <si>
    <t>49.1-48</t>
  </si>
  <si>
    <t>G0 F5250 Y100.0</t>
  </si>
  <si>
    <t>CartesianRepFeat4 of LineFeat17</t>
  </si>
  <si>
    <t>CartesianRepFeat7 of LineFeat13</t>
  </si>
  <si>
    <t>CartesianRepFeat7 of CartesianRepFeat3 of LineFeat13</t>
  </si>
  <si>
    <t>CartesianRepFeat7 of CartesianRepFeat4 of LineFeat17</t>
  </si>
  <si>
    <t>CartesianRepFeat7 of CartesianRepFeat5 of LineFeat23</t>
  </si>
  <si>
    <t>CartesianRepFeat7 of CartesianRepFeat6 of LineFeat27</t>
  </si>
  <si>
    <t>G0 F3000 X283.0 Z16.2</t>
  </si>
  <si>
    <t>G0 F5000.0 Z16.2</t>
  </si>
  <si>
    <t>G0 F3000 Z16.2</t>
  </si>
  <si>
    <t>G0 F3000 X283.0 Z21.6</t>
  </si>
  <si>
    <t>G0 F3000 X275.0 Y125.0</t>
  </si>
  <si>
    <t>G1 F600 Y100.0 Z8.1 E0.175546</t>
  </si>
  <si>
    <t>G1 F600 Y100.0 Z13.5 E0.175546</t>
  </si>
  <si>
    <t>Last Silicone Finger</t>
  </si>
  <si>
    <t>51-54</t>
  </si>
  <si>
    <t>50</t>
  </si>
  <si>
    <t>CustomGCODEFeat5</t>
  </si>
  <si>
    <t>51</t>
  </si>
  <si>
    <t>52</t>
  </si>
  <si>
    <t>LineFeat34</t>
  </si>
  <si>
    <t>53</t>
  </si>
  <si>
    <t>LineFeat35</t>
  </si>
  <si>
    <t>54</t>
  </si>
  <si>
    <t>LineFeat36</t>
  </si>
  <si>
    <t>55.1-51</t>
  </si>
  <si>
    <t>CartesianRepFeat8 of LineFeat33</t>
  </si>
  <si>
    <t>55.1-52</t>
  </si>
  <si>
    <t>CartesianRepFeat8 of LineFeat34</t>
  </si>
  <si>
    <t>55.1-53</t>
  </si>
  <si>
    <t>CartesianRepFeat8 of LineFeat35</t>
  </si>
  <si>
    <t>55.1-54</t>
  </si>
  <si>
    <t>CartesianRepFeat8 of LineFeat36</t>
  </si>
  <si>
    <t>56</t>
  </si>
  <si>
    <t>RetractionFeat5</t>
  </si>
  <si>
    <t>57</t>
  </si>
  <si>
    <t>LineFeat37</t>
  </si>
  <si>
    <t>G0 F3000 X141.0 Y104.0 Z16.2</t>
  </si>
  <si>
    <t>G0 F5000.0 Z21.6</t>
  </si>
  <si>
    <t>G0 F3000 Z21.6</t>
  </si>
  <si>
    <t>49.2-18</t>
  </si>
  <si>
    <t>49.2-19</t>
  </si>
  <si>
    <t>49.2-20</t>
  </si>
  <si>
    <t>49.2-21</t>
  </si>
  <si>
    <t>49.2-22</t>
  </si>
  <si>
    <t>49.2-23.1-19</t>
  </si>
  <si>
    <t>49.2-23.1-20</t>
  </si>
  <si>
    <t>49.2-23.1-21</t>
  </si>
  <si>
    <t>49.2-23.1-22</t>
  </si>
  <si>
    <t>49.2-24</t>
  </si>
  <si>
    <t>49.2-25</t>
  </si>
  <si>
    <t>49.2-26</t>
  </si>
  <si>
    <t>49.2-27</t>
  </si>
  <si>
    <t>49.2-28</t>
  </si>
  <si>
    <t>49.2-29.1-25</t>
  </si>
  <si>
    <t>49.2-29.1-26</t>
  </si>
  <si>
    <t>49.2-29.1-27</t>
  </si>
  <si>
    <t>49.2-29.1-28</t>
  </si>
  <si>
    <t>49.2-30</t>
  </si>
  <si>
    <t>G0 F5000.0 Z24.3</t>
  </si>
  <si>
    <t>G0 F3000 Z24.3</t>
  </si>
  <si>
    <t>49.2-31</t>
  </si>
  <si>
    <t>49.2-32</t>
  </si>
  <si>
    <t>49.2-34</t>
  </si>
  <si>
    <t>49.2-35</t>
  </si>
  <si>
    <t>G1 F600 Y100.0 Z18.9 E0.175546</t>
  </si>
  <si>
    <t>49.2-36</t>
  </si>
  <si>
    <t>49.2-37</t>
  </si>
  <si>
    <t>49.2-38</t>
  </si>
  <si>
    <t>49.2-39</t>
  </si>
  <si>
    <t>49.2-40.1-36</t>
  </si>
  <si>
    <t>49.2-40.1-37</t>
  </si>
  <si>
    <t>49.2-40.1-38</t>
  </si>
  <si>
    <t>49.2-40.1-39</t>
  </si>
  <si>
    <t>49.2-40.2-36</t>
  </si>
  <si>
    <t>49.2-40.2-37</t>
  </si>
  <si>
    <t>49.2-40.2-38</t>
  </si>
  <si>
    <t>49.2-40.2-39</t>
  </si>
  <si>
    <t>49.2-41</t>
  </si>
  <si>
    <t>49.2-42</t>
  </si>
  <si>
    <t>49.2-43</t>
  </si>
  <si>
    <t>49.2-44</t>
  </si>
  <si>
    <t>49.2-45</t>
  </si>
  <si>
    <t>49.2-46.1-42</t>
  </si>
  <si>
    <t>49.2-46.1-43</t>
  </si>
  <si>
    <t>49.2-46.1-44</t>
  </si>
  <si>
    <t>49.2-46.1-45</t>
  </si>
  <si>
    <t>49.2-46.2-42</t>
  </si>
  <si>
    <t>49.2-46.2-43</t>
  </si>
  <si>
    <t>49.2-46.2-44</t>
  </si>
  <si>
    <t>49.2-46.2-45</t>
  </si>
  <si>
    <t>49.2-47</t>
  </si>
  <si>
    <t>G0 F3000 X283.0 Z27.0</t>
  </si>
  <si>
    <t>49.2-48</t>
  </si>
  <si>
    <t>49.3-18</t>
  </si>
  <si>
    <t>G0 F3000 X141.0 Y104.0 Z21.6</t>
  </si>
  <si>
    <t>49.3-19</t>
  </si>
  <si>
    <t>49.3-20</t>
  </si>
  <si>
    <t>49.3-21</t>
  </si>
  <si>
    <t>49.3-22</t>
  </si>
  <si>
    <t>49.3-23.1-19</t>
  </si>
  <si>
    <t>49.3-23.1-20</t>
  </si>
  <si>
    <t>49.3-23.1-21</t>
  </si>
  <si>
    <t>49.3-23.1-22</t>
  </si>
  <si>
    <t>49.3-24</t>
  </si>
  <si>
    <t>49.3-25</t>
  </si>
  <si>
    <t>49.3-26</t>
  </si>
  <si>
    <t>49.3-27</t>
  </si>
  <si>
    <t>49.3-28</t>
  </si>
  <si>
    <t>49.3-29.1-25</t>
  </si>
  <si>
    <t>49.3-29.1-26</t>
  </si>
  <si>
    <t>49.3-29.1-27</t>
  </si>
  <si>
    <t>49.3-29.1-28</t>
  </si>
  <si>
    <t>49.3-30</t>
  </si>
  <si>
    <t>G0 F5000.0 Z29.7</t>
  </si>
  <si>
    <t>G0 F3000 Z29.7</t>
  </si>
  <si>
    <t>49.3-31</t>
  </si>
  <si>
    <t>49.3-32</t>
  </si>
  <si>
    <t>49.3-34</t>
  </si>
  <si>
    <t>49.3-35</t>
  </si>
  <si>
    <t>G1 F600 Y100.0 Z24.3 E0.175546</t>
  </si>
  <si>
    <t>49.3-36</t>
  </si>
  <si>
    <t>49.3-37</t>
  </si>
  <si>
    <t>49.3-38</t>
  </si>
  <si>
    <t>49.3-39</t>
  </si>
  <si>
    <t>49.3-40.1-36</t>
  </si>
  <si>
    <t>49.3-40.1-37</t>
  </si>
  <si>
    <t>49.3-40.1-38</t>
  </si>
  <si>
    <t>49.3-40.1-39</t>
  </si>
  <si>
    <t>49.3-40.2-36</t>
  </si>
  <si>
    <t>49.3-40.2-37</t>
  </si>
  <si>
    <t>49.3-40.2-38</t>
  </si>
  <si>
    <t>49.3-40.2-39</t>
  </si>
  <si>
    <t>49.3-41</t>
  </si>
  <si>
    <t>G0 F5000.0 Z27.0</t>
  </si>
  <si>
    <t>G0 F3000 Z27.0</t>
  </si>
  <si>
    <t>49.3-42</t>
  </si>
  <si>
    <t>49.3-43</t>
  </si>
  <si>
    <t>49.3-44</t>
  </si>
  <si>
    <t>49.3-45</t>
  </si>
  <si>
    <t>49.3-46.1-42</t>
  </si>
  <si>
    <t>49.3-46.1-43</t>
  </si>
  <si>
    <t>49.3-46.1-44</t>
  </si>
  <si>
    <t>49.3-46.1-45</t>
  </si>
  <si>
    <t>49.3-46.2-42</t>
  </si>
  <si>
    <t>49.3-46.2-43</t>
  </si>
  <si>
    <t>49.3-46.2-44</t>
  </si>
  <si>
    <t>49.3-46.2-45</t>
  </si>
  <si>
    <t>49.3-47</t>
  </si>
  <si>
    <t>G0 F3000 X283.0 Z32.4</t>
  </si>
  <si>
    <t>49.3-48</t>
  </si>
  <si>
    <t>49.4-18</t>
  </si>
  <si>
    <t>G0 F3000 X141.0 Y104.0 Z27.0</t>
  </si>
  <si>
    <t>49.4-19</t>
  </si>
  <si>
    <t>49.4-20</t>
  </si>
  <si>
    <t>49.4-21</t>
  </si>
  <si>
    <t>49.4-22</t>
  </si>
  <si>
    <t>49.4-23.1-19</t>
  </si>
  <si>
    <t>49.4-23.1-20</t>
  </si>
  <si>
    <t>49.4-23.1-21</t>
  </si>
  <si>
    <t>49.4-23.1-22</t>
  </si>
  <si>
    <t>49.4-24</t>
  </si>
  <si>
    <t>49.4-25</t>
  </si>
  <si>
    <t>49.4-26</t>
  </si>
  <si>
    <t>49.4-27</t>
  </si>
  <si>
    <t>49.4-28</t>
  </si>
  <si>
    <t>49.4-29.1-25</t>
  </si>
  <si>
    <t>49.4-29.1-26</t>
  </si>
  <si>
    <t>49.4-29.1-27</t>
  </si>
  <si>
    <t>49.4-29.1-28</t>
  </si>
  <si>
    <t>49.4-30</t>
  </si>
  <si>
    <t>G0 F5000.0 Z35.1</t>
  </si>
  <si>
    <t>G0 F3000 Z35.1</t>
  </si>
  <si>
    <t>49.4-31</t>
  </si>
  <si>
    <t>49.4-32</t>
  </si>
  <si>
    <t>49.4-34</t>
  </si>
  <si>
    <t>49.4-35</t>
  </si>
  <si>
    <t>G1 F600 Y100.0 Z29.7 E0.175546</t>
  </si>
  <si>
    <t>49.4-36</t>
  </si>
  <si>
    <t>49.4-37</t>
  </si>
  <si>
    <t>49.4-38</t>
  </si>
  <si>
    <t>49.4-39</t>
  </si>
  <si>
    <t>49.4-40.1-36</t>
  </si>
  <si>
    <t>49.4-40.1-37</t>
  </si>
  <si>
    <t>49.4-40.1-38</t>
  </si>
  <si>
    <t>49.4-40.1-39</t>
  </si>
  <si>
    <t>49.4-40.2-36</t>
  </si>
  <si>
    <t>49.4-40.2-37</t>
  </si>
  <si>
    <t>49.4-40.2-38</t>
  </si>
  <si>
    <t>49.4-40.2-39</t>
  </si>
  <si>
    <t>49.4-41</t>
  </si>
  <si>
    <t>G0 F5000.0 Z32.4</t>
  </si>
  <si>
    <t>G0 F3000 Z32.4</t>
  </si>
  <si>
    <t>49.4-42</t>
  </si>
  <si>
    <t>49.4-43</t>
  </si>
  <si>
    <t>49.4-44</t>
  </si>
  <si>
    <t>49.4-45</t>
  </si>
  <si>
    <t>49.4-46.1-42</t>
  </si>
  <si>
    <t>49.4-46.1-43</t>
  </si>
  <si>
    <t>49.4-46.1-44</t>
  </si>
  <si>
    <t>49.4-46.1-45</t>
  </si>
  <si>
    <t>49.4-46.2-42</t>
  </si>
  <si>
    <t>49.4-46.2-43</t>
  </si>
  <si>
    <t>49.4-46.2-44</t>
  </si>
  <si>
    <t>49.4-46.2-45</t>
  </si>
  <si>
    <t>49.4-47</t>
  </si>
  <si>
    <t>G0 F3000 X283.0 Z37.8</t>
  </si>
  <si>
    <t>49.4-48</t>
  </si>
  <si>
    <t>G0 X133.0 Y120.0</t>
  </si>
  <si>
    <t>G0 F3000 X141.0 Y104.0 Z32.4</t>
  </si>
  <si>
    <t>G0 F5000.0 Z37.8</t>
  </si>
  <si>
    <t>G0 F3000 Z37.8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</si>
</sst>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9"/>
  <sheetViews>
    <sheetView showGridLines="0" tabSelected="1" zoomScale="85" zoomScaleNormal="85" workbookViewId="0">
      <pane ySplit="1" topLeftCell="A28" activePane="bottomLeft" state="frozen"/>
      <selection activeCell="G268" sqref="G268"/>
      <selection pane="bottomLeft" activeCell="B8" sqref="B8:O6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849</v>
      </c>
      <c r="D8" s="2"/>
      <c r="E8" s="2"/>
      <c r="F8" s="2"/>
      <c r="G8" s="2"/>
      <c r="H8" s="2"/>
      <c r="I8" s="2"/>
      <c r="J8" s="2"/>
      <c r="K8" s="2"/>
      <c r="L8" s="2"/>
      <c r="M8" s="2"/>
      <c r="N8" s="2"/>
      <c r="O8" s="2"/>
      <c r="P8" s="2"/>
      <c r="Q8" s="2" t="s">
        <v>717</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2.2999999999999998</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R-130</v>
      </c>
      <c r="H10" s="2" t="s">
        <v>100</v>
      </c>
      <c r="I10" s="2" t="s">
        <v>100</v>
      </c>
      <c r="J10" s="2" t="s">
        <v>19</v>
      </c>
      <c r="K10" s="2">
        <f>ConcreteExtrusionWidth</f>
        <v>3.75</v>
      </c>
      <c r="L10" s="2">
        <f>ConcreteExtrusionHeight</f>
        <v>2.2999999999999998</v>
      </c>
      <c r="M10" s="2"/>
      <c r="N10" s="2"/>
      <c r="O10" s="2"/>
      <c r="P10" s="2"/>
      <c r="Q10" s="2" t="s">
        <v>879</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2.2999999999999998</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R130</v>
      </c>
      <c r="H12" s="2" t="s">
        <v>100</v>
      </c>
      <c r="I12" s="2" t="s">
        <v>100</v>
      </c>
      <c r="J12" s="2" t="s">
        <v>19</v>
      </c>
      <c r="K12" s="2">
        <f>ConcreteExtrusionWidth</f>
        <v>3.75</v>
      </c>
      <c r="L12" s="2">
        <f>ConcreteExtrusionHeight</f>
        <v>2.2999999999999998</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CONCATENATE("R-",ConcreteExtrusionSpacing)</f>
        <v>R-4</v>
      </c>
      <c r="I13" s="2" t="s">
        <v>100</v>
      </c>
      <c r="J13" s="2" t="s">
        <v>19</v>
      </c>
      <c r="K13" s="2">
        <f>ConcreteExtrusionWidth</f>
        <v>3.75</v>
      </c>
      <c r="L13" s="2">
        <f>ConcreteExtrusionHeight</f>
        <v>2.2999999999999998</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722</v>
      </c>
      <c r="D14" s="2">
        <v>0</v>
      </c>
      <c r="E14" s="2">
        <f>-(2*ConcreteExtrusionSpacing)</f>
        <v>-8</v>
      </c>
      <c r="F14" s="2">
        <v>0</v>
      </c>
      <c r="G14" s="2">
        <f>FLOOR(Width/(2*ConcreteExtrusionSpacing),1)-1</f>
        <v>4</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2" t="s">
        <v>658</v>
      </c>
      <c r="C15" s="2" t="s">
        <v>18</v>
      </c>
      <c r="D15" s="2" t="s">
        <v>100</v>
      </c>
      <c r="E15" s="2" t="s">
        <v>100</v>
      </c>
      <c r="F15" s="2" t="s">
        <v>100</v>
      </c>
      <c r="G15" s="2" t="str">
        <f>CONCATENATE("R-",Length)</f>
        <v>R-130</v>
      </c>
      <c r="H15" s="2" t="s">
        <v>100</v>
      </c>
      <c r="I15" s="2" t="s">
        <v>100</v>
      </c>
      <c r="J15" s="2" t="s">
        <v>19</v>
      </c>
      <c r="K15" s="2">
        <f>ConcreteExtrusionWidth</f>
        <v>3.75</v>
      </c>
      <c r="L15" s="2">
        <f>ConcreteExtrusionHeight</f>
        <v>2.2999999999999998</v>
      </c>
      <c r="M15" s="2"/>
      <c r="N15" s="2"/>
      <c r="O15" s="2"/>
      <c r="P15" s="2"/>
      <c r="Q15" s="2" t="s">
        <v>897</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39</v>
      </c>
      <c r="C16" s="2">
        <v>0</v>
      </c>
      <c r="D16" s="2">
        <v>0</v>
      </c>
      <c r="E16" s="2">
        <f>ConcreteLayerHeight</f>
        <v>2.7</v>
      </c>
      <c r="F16" s="2">
        <v>3000</v>
      </c>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t="s">
        <v>1</v>
      </c>
      <c r="C17" s="98" t="s">
        <v>18</v>
      </c>
      <c r="D17" s="2" t="s">
        <v>100</v>
      </c>
      <c r="E17" s="2" t="s">
        <v>100</v>
      </c>
      <c r="F17" s="2" t="s">
        <v>100</v>
      </c>
      <c r="G17" s="2">
        <f>StartX</f>
        <v>275</v>
      </c>
      <c r="H17" s="2">
        <f>StartY</f>
        <v>100</v>
      </c>
      <c r="I17" s="2" t="s">
        <v>100</v>
      </c>
      <c r="J17" s="2" t="s">
        <v>23</v>
      </c>
      <c r="K17" s="2">
        <f>ConcreteExtrusionWidth</f>
        <v>3.75</v>
      </c>
      <c r="L17" s="2">
        <f>ConcreteExtrusionHeight</f>
        <v>2.2999999999999998</v>
      </c>
      <c r="M17" s="2" t="str">
        <f>CONCATENATE("F=", 1.75*NozzleFeedrateTravelling)</f>
        <v>F=5250</v>
      </c>
      <c r="N17" s="2"/>
      <c r="O17" s="2"/>
      <c r="P17" s="2"/>
      <c r="Q17" s="2" t="s">
        <v>902</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t="s">
        <v>100</v>
      </c>
      <c r="E18" s="2" t="s">
        <v>100</v>
      </c>
      <c r="F18" s="2" t="s">
        <v>100</v>
      </c>
      <c r="G18" s="2" t="str">
        <f>CONCATENATE("R-",Length)</f>
        <v>R-130</v>
      </c>
      <c r="H18" s="2" t="s">
        <v>100</v>
      </c>
      <c r="I18" s="2" t="s">
        <v>100</v>
      </c>
      <c r="J18" s="2" t="s">
        <v>19</v>
      </c>
      <c r="K18" s="2">
        <f>ConcreteExtrusionWidth</f>
        <v>3.75</v>
      </c>
      <c r="L18" s="2">
        <f>ConcreteExtrusionHeight</f>
        <v>2.2999999999999998</v>
      </c>
      <c r="M18" s="2"/>
      <c r="N18" s="2"/>
      <c r="O18" s="2"/>
      <c r="P18" s="2"/>
      <c r="Q18" s="2" t="s">
        <v>878</v>
      </c>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
        <v>100</v>
      </c>
      <c r="H19" s="2" t="str">
        <f>CONCATENATE("R-",ConcreteExtrusionSpacing)</f>
        <v>R-4</v>
      </c>
      <c r="I19" s="2" t="s">
        <v>100</v>
      </c>
      <c r="J19" s="2" t="s">
        <v>19</v>
      </c>
      <c r="K19" s="2">
        <f>ConcreteExtrusionWidth</f>
        <v>3.75</v>
      </c>
      <c r="L19" s="2">
        <f>ConcreteExtrusionHeight</f>
        <v>2.2999999999999998</v>
      </c>
      <c r="M19" s="2"/>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tr">
        <f>CONCATENATE("R",Length)</f>
        <v>R130</v>
      </c>
      <c r="H20" s="2" t="s">
        <v>100</v>
      </c>
      <c r="I20" s="2" t="s">
        <v>100</v>
      </c>
      <c r="J20" s="2" t="s">
        <v>19</v>
      </c>
      <c r="K20" s="2">
        <f>ConcreteExtrusionWidth</f>
        <v>3.75</v>
      </c>
      <c r="L20" s="2">
        <f>ConcreteExtrusionHeight</f>
        <v>2.2999999999999998</v>
      </c>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98" t="s">
        <v>18</v>
      </c>
      <c r="D21" s="2" t="s">
        <v>100</v>
      </c>
      <c r="E21" s="2" t="s">
        <v>100</v>
      </c>
      <c r="F21" s="2" t="s">
        <v>100</v>
      </c>
      <c r="G21" s="2" t="s">
        <v>100</v>
      </c>
      <c r="H21" s="2" t="str">
        <f>CONCATENATE("R-",2*SiliconeExtrusionSpacing+ConcreteExtrusionSpacing)</f>
        <v>R-12</v>
      </c>
      <c r="I21" s="2" t="s">
        <v>100</v>
      </c>
      <c r="J21" s="2" t="s">
        <v>19</v>
      </c>
      <c r="K21" s="2">
        <f>ConcreteExtrusionWidth</f>
        <v>3.75</v>
      </c>
      <c r="L21" s="2">
        <f>ConcreteExtrusionHeight</f>
        <v>2.2999999999999998</v>
      </c>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55</v>
      </c>
      <c r="C22" s="98" t="s">
        <v>857</v>
      </c>
      <c r="D22" s="2">
        <v>0</v>
      </c>
      <c r="E22" s="2">
        <f>-(2*ConcreteExtrusionSpacing+2*SiliconeExtrusionSpacing)</f>
        <v>-16</v>
      </c>
      <c r="F22" s="2">
        <v>0</v>
      </c>
      <c r="G22" s="2">
        <f>FLOOR(Width/(2*ConcreteExtrusionSpacing+2*SiliconeExtrusionSpacing),1)</f>
        <v>2</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1</v>
      </c>
      <c r="C23" s="2" t="s">
        <v>18</v>
      </c>
      <c r="D23" s="2" t="s">
        <v>100</v>
      </c>
      <c r="E23" s="2" t="s">
        <v>100</v>
      </c>
      <c r="F23" s="2" t="s">
        <v>100</v>
      </c>
      <c r="G23" s="2" t="str">
        <f>CONCATENATE("R", 2*ConcreteExtrusionSpacing)</f>
        <v>R8</v>
      </c>
      <c r="H23" s="2" t="s">
        <v>100</v>
      </c>
      <c r="I23" s="2" t="str">
        <f>CONCATENATE("R", 2*ConcreteLayerHeight)</f>
        <v>R5.4</v>
      </c>
      <c r="J23" s="2" t="s">
        <v>23</v>
      </c>
      <c r="K23" s="2">
        <f>ConcreteExtrusionWidth</f>
        <v>3.75</v>
      </c>
      <c r="L23" s="2">
        <f>ConcreteExtrusionHeight</f>
        <v>2.2999999999999998</v>
      </c>
      <c r="M23" s="2"/>
      <c r="N23" s="2"/>
      <c r="O23" s="2"/>
      <c r="P23" s="2"/>
      <c r="Q23" s="2" t="s">
        <v>860</v>
      </c>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1</v>
      </c>
      <c r="C24" s="2" t="s">
        <v>18</v>
      </c>
      <c r="D24" s="2" t="s">
        <v>100</v>
      </c>
      <c r="E24" s="2" t="s">
        <v>100</v>
      </c>
      <c r="F24" s="2" t="s">
        <v>100</v>
      </c>
      <c r="G24" s="2" t="s">
        <v>100</v>
      </c>
      <c r="H24" s="2" t="str">
        <f>CONCATENATE("R", Width+2*ConcreteExtrusionSpacing)</f>
        <v>R48</v>
      </c>
      <c r="I24" s="2" t="s">
        <v>100</v>
      </c>
      <c r="J24" s="2" t="s">
        <v>23</v>
      </c>
      <c r="K24" s="2">
        <f>ConcreteExtrusionWidth</f>
        <v>3.75</v>
      </c>
      <c r="L24" s="2">
        <f>ConcreteExtrusionHeight</f>
        <v>2.2999999999999998</v>
      </c>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49</v>
      </c>
      <c r="C25" s="2" t="s">
        <v>203</v>
      </c>
      <c r="D25" s="2">
        <v>3</v>
      </c>
      <c r="E25" s="2"/>
      <c r="F25" s="2"/>
      <c r="G25" s="2"/>
      <c r="H25" s="2"/>
      <c r="I25" s="2"/>
      <c r="J25" s="2"/>
      <c r="K25" s="2"/>
      <c r="L25" s="2"/>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1</v>
      </c>
      <c r="C26" s="98" t="s">
        <v>18</v>
      </c>
      <c r="D26" s="2">
        <f>StartX-(Length+ConcreteExtrusionSpacing)</f>
        <v>141</v>
      </c>
      <c r="E26" s="2">
        <f>StartY+(0.5*ConcreteExtrusionSpacing+0.5*SiliconeExtrusionSpacing)</f>
        <v>104</v>
      </c>
      <c r="F26" s="145">
        <f>ConcreteLayerHeight</f>
        <v>2.7</v>
      </c>
      <c r="G26" s="2" t="s">
        <v>100</v>
      </c>
      <c r="H26" s="2" t="str">
        <f>CONCATENATE("R-",2*ConcreteExtrusionSpacing+SiliconeExtrusionSpacing)</f>
        <v>R-12</v>
      </c>
      <c r="I26" s="2" t="s">
        <v>100</v>
      </c>
      <c r="J26" s="2" t="s">
        <v>19</v>
      </c>
      <c r="K26" s="2">
        <f>SiliconeExtrusionWidth</f>
        <v>3.75</v>
      </c>
      <c r="L26" s="2">
        <f>SiliconeExtrusionHeight</f>
        <v>2.1868530000000002</v>
      </c>
      <c r="M26" s="2" t="str">
        <f>CONCATENATE("F=", SiliconePrintSpeed)</f>
        <v>F=1000</v>
      </c>
      <c r="N26" s="2"/>
      <c r="O26" s="2"/>
      <c r="P26" s="2"/>
      <c r="Q26" s="2" t="s">
        <v>748</v>
      </c>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1</v>
      </c>
      <c r="C27" s="98" t="s">
        <v>18</v>
      </c>
      <c r="D27" s="2" t="s">
        <v>100</v>
      </c>
      <c r="E27" s="2" t="s">
        <v>100</v>
      </c>
      <c r="F27" s="2" t="s">
        <v>100</v>
      </c>
      <c r="G27" s="2" t="str">
        <f>CONCATENATE("R",Length)</f>
        <v>R130</v>
      </c>
      <c r="H27" s="2" t="s">
        <v>100</v>
      </c>
      <c r="I27" s="2" t="s">
        <v>100</v>
      </c>
      <c r="J27" s="2" t="s">
        <v>19</v>
      </c>
      <c r="K27" s="2">
        <f>SiliconeExtrusionWidth</f>
        <v>3.75</v>
      </c>
      <c r="L27" s="2">
        <f>SiliconeExtrusionHeight</f>
        <v>2.1868530000000002</v>
      </c>
      <c r="M27" s="2" t="str">
        <f>CONCATENATE("F=", SiliconePrintSpeed)</f>
        <v>F=1000</v>
      </c>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1</v>
      </c>
      <c r="C28" s="98" t="s">
        <v>18</v>
      </c>
      <c r="D28" s="2" t="s">
        <v>100</v>
      </c>
      <c r="E28" s="2" t="s">
        <v>100</v>
      </c>
      <c r="F28" s="2" t="s">
        <v>100</v>
      </c>
      <c r="G28" s="2" t="s">
        <v>100</v>
      </c>
      <c r="H28" s="2" t="str">
        <f>CONCATENATE("R-",SiliconeExtrusionSpacing)</f>
        <v>R-4</v>
      </c>
      <c r="I28" s="2" t="s">
        <v>100</v>
      </c>
      <c r="J28" s="2" t="s">
        <v>19</v>
      </c>
      <c r="K28" s="2">
        <f>SiliconeExtrusionWidth</f>
        <v>3.75</v>
      </c>
      <c r="L28" s="2">
        <f>SiliconeExtrusionHeight</f>
        <v>2.1868530000000002</v>
      </c>
      <c r="M28" s="2" t="str">
        <f>CONCATENATE("F=", SiliconePrintSpeed)</f>
        <v>F=1000</v>
      </c>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1</v>
      </c>
      <c r="C29" s="98" t="s">
        <v>18</v>
      </c>
      <c r="D29" s="2" t="s">
        <v>100</v>
      </c>
      <c r="E29" s="2" t="s">
        <v>100</v>
      </c>
      <c r="F29" s="2" t="s">
        <v>100</v>
      </c>
      <c r="G29" s="2" t="str">
        <f>CONCATENATE("R-",Length)</f>
        <v>R-130</v>
      </c>
      <c r="H29" s="2" t="s">
        <v>100</v>
      </c>
      <c r="I29" s="2" t="s">
        <v>100</v>
      </c>
      <c r="J29" s="2" t="s">
        <v>19</v>
      </c>
      <c r="K29" s="2">
        <f>SiliconeExtrusionWidth</f>
        <v>3.75</v>
      </c>
      <c r="L29" s="2">
        <f>SiliconeExtrusionHeight</f>
        <v>2.1868530000000002</v>
      </c>
      <c r="M29" s="2" t="str">
        <f>CONCATENATE("F=", SiliconePrintSpeed)</f>
        <v>F=1000</v>
      </c>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55</v>
      </c>
      <c r="C30" s="98" t="s">
        <v>917</v>
      </c>
      <c r="D30" s="2">
        <v>0</v>
      </c>
      <c r="E30" s="2">
        <f>-(2*SiliconeExtrusionSpacing+2*ConcreteExtrusionSpacing)</f>
        <v>-16</v>
      </c>
      <c r="F30" s="2">
        <v>0</v>
      </c>
      <c r="G30" s="2">
        <f>FLOOR(Width/(2*ConcreteExtrusionSpacing+2*SiliconeExtrusionSpacing),1)-1</f>
        <v>1</v>
      </c>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39</v>
      </c>
      <c r="C31" s="2">
        <v>0</v>
      </c>
      <c r="D31" s="2">
        <v>0</v>
      </c>
      <c r="E31" s="2">
        <f>SiliconeLayerHeight</f>
        <v>2.7</v>
      </c>
      <c r="F31" s="2">
        <v>5000</v>
      </c>
      <c r="G31" s="2"/>
      <c r="H31" s="2"/>
      <c r="I31" s="2"/>
      <c r="J31" s="2"/>
      <c r="K31" s="2"/>
      <c r="L31" s="2"/>
      <c r="M31" s="2"/>
      <c r="N31" s="2"/>
      <c r="O31" s="2"/>
      <c r="P31" s="2"/>
      <c r="Q31" s="2" t="s">
        <v>749</v>
      </c>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3" t="s">
        <v>1</v>
      </c>
      <c r="C32" s="98" t="s">
        <v>18</v>
      </c>
      <c r="D32" s="2" t="s">
        <v>100</v>
      </c>
      <c r="E32" s="2" t="s">
        <v>100</v>
      </c>
      <c r="F32" s="2" t="s">
        <v>100</v>
      </c>
      <c r="G32" s="2" t="str">
        <f>CONCATENATE("R",Length)</f>
        <v>R130</v>
      </c>
      <c r="H32" s="2" t="s">
        <v>100</v>
      </c>
      <c r="I32" s="2" t="s">
        <v>100</v>
      </c>
      <c r="J32" s="2" t="s">
        <v>19</v>
      </c>
      <c r="K32" s="2">
        <f>SiliconeExtrusionWidth</f>
        <v>3.75</v>
      </c>
      <c r="L32" s="2">
        <f>SiliconeExtrusionHeight</f>
        <v>2.1868530000000002</v>
      </c>
      <c r="M32" s="2" t="str">
        <f>CONCATENATE("F=", SiliconePrintSpeed)</f>
        <v>F=1000</v>
      </c>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143" t="s">
        <v>1</v>
      </c>
      <c r="C33" s="98" t="s">
        <v>18</v>
      </c>
      <c r="D33" s="2" t="s">
        <v>100</v>
      </c>
      <c r="E33" s="2" t="s">
        <v>100</v>
      </c>
      <c r="F33" s="2" t="s">
        <v>100</v>
      </c>
      <c r="G33" s="2" t="s">
        <v>100</v>
      </c>
      <c r="H33" s="2" t="str">
        <f>CONCATENATE("R",SiliconeExtrusionSpacing)</f>
        <v>R4</v>
      </c>
      <c r="I33" s="2" t="s">
        <v>100</v>
      </c>
      <c r="J33" s="2" t="s">
        <v>19</v>
      </c>
      <c r="K33" s="2">
        <f>SiliconeExtrusionWidth</f>
        <v>3.75</v>
      </c>
      <c r="L33" s="2">
        <f>SiliconeExtrusionHeight</f>
        <v>2.1868530000000002</v>
      </c>
      <c r="M33" s="2" t="str">
        <f>CONCATENATE("F=", SiliconePrintSpeed)</f>
        <v>F=1000</v>
      </c>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143" t="s">
        <v>1</v>
      </c>
      <c r="C34" s="98" t="s">
        <v>18</v>
      </c>
      <c r="D34" s="2" t="s">
        <v>100</v>
      </c>
      <c r="E34" s="2" t="s">
        <v>100</v>
      </c>
      <c r="F34" s="2" t="s">
        <v>100</v>
      </c>
      <c r="G34" s="2" t="str">
        <f>CONCATENATE("R-",Length)</f>
        <v>R-130</v>
      </c>
      <c r="H34" s="2" t="s">
        <v>100</v>
      </c>
      <c r="I34" s="2" t="s">
        <v>100</v>
      </c>
      <c r="J34" s="2" t="s">
        <v>19</v>
      </c>
      <c r="K34" s="2">
        <f>SiliconeExtrusionWidth</f>
        <v>3.75</v>
      </c>
      <c r="L34" s="2">
        <f>SiliconeExtrusionHeight</f>
        <v>2.1868530000000002</v>
      </c>
      <c r="M34" s="2" t="str">
        <f>CONCATENATE("F=", SiliconePrintSpeed)</f>
        <v>F=1000</v>
      </c>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1</v>
      </c>
      <c r="C35" s="98" t="s">
        <v>18</v>
      </c>
      <c r="D35" s="2" t="s">
        <v>100</v>
      </c>
      <c r="E35" s="2" t="s">
        <v>100</v>
      </c>
      <c r="F35" s="2" t="s">
        <v>100</v>
      </c>
      <c r="G35" s="2" t="s">
        <v>100</v>
      </c>
      <c r="H35" s="2" t="str">
        <f>CONCATENATE("R",2*ConcreteExtrusionSpacing+SiliconeExtrusionSpacing)</f>
        <v>R12</v>
      </c>
      <c r="I35" s="2" t="s">
        <v>100</v>
      </c>
      <c r="J35" s="2" t="s">
        <v>19</v>
      </c>
      <c r="K35" s="2">
        <f>SiliconeExtrusionWidth</f>
        <v>3.75</v>
      </c>
      <c r="L35" s="2">
        <f>SiliconeExtrusionHeight</f>
        <v>2.1868530000000002</v>
      </c>
      <c r="M35" s="2" t="str">
        <f>CONCATENATE("F=", SiliconePrintSpeed)</f>
        <v>F=1000</v>
      </c>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55</v>
      </c>
      <c r="C36" s="98" t="s">
        <v>918</v>
      </c>
      <c r="D36" s="2">
        <v>0</v>
      </c>
      <c r="E36" s="2">
        <f>(2*SiliconeExtrusionSpacing+2*ConcreteExtrusionSpacing)</f>
        <v>16</v>
      </c>
      <c r="F36" s="2">
        <v>0</v>
      </c>
      <c r="G36" s="2">
        <f>FLOOR(Width/(2*ConcreteExtrusionSpacing+2*SiliconeExtrusionSpacing),1)-1</f>
        <v>1</v>
      </c>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39</v>
      </c>
      <c r="C37" s="2">
        <v>0.35</v>
      </c>
      <c r="D37" s="2">
        <v>80</v>
      </c>
      <c r="E37" s="2">
        <f>2*SiliconeLayerHeight</f>
        <v>5.4</v>
      </c>
      <c r="F37" s="2">
        <v>5000</v>
      </c>
      <c r="G37" s="2"/>
      <c r="H37" s="143"/>
      <c r="I37" s="2"/>
      <c r="J37" s="2"/>
      <c r="K37" s="2"/>
      <c r="L37" s="2"/>
      <c r="M37" s="2"/>
      <c r="N37" s="2"/>
      <c r="O37" s="2"/>
      <c r="P37" s="2"/>
      <c r="Q37" s="2"/>
      <c r="R37" s="29"/>
      <c r="S37" s="75" t="s">
        <v>705</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2" t="s">
        <v>18</v>
      </c>
      <c r="D38" s="2" t="s">
        <v>100</v>
      </c>
      <c r="E38" s="2" t="s">
        <v>100</v>
      </c>
      <c r="F38" s="2" t="s">
        <v>100</v>
      </c>
      <c r="G38" s="2" t="s">
        <v>100</v>
      </c>
      <c r="H38" s="143" t="str">
        <f>CONCATENATE("R", 2*SiliconeExtrusionSpacing)</f>
        <v>R8</v>
      </c>
      <c r="I38" s="2" t="s">
        <v>100</v>
      </c>
      <c r="J38" s="2" t="s">
        <v>23</v>
      </c>
      <c r="K38" s="2">
        <f>SiliconeExtrusionWidth</f>
        <v>3.75</v>
      </c>
      <c r="L38" s="2">
        <f>SiliconeExtrusionHeight</f>
        <v>2.1868530000000002</v>
      </c>
      <c r="M38" s="2"/>
      <c r="N38" s="2"/>
      <c r="O38" s="2"/>
      <c r="P38" s="2"/>
      <c r="Q38" s="2" t="s">
        <v>860</v>
      </c>
      <c r="R38" s="29"/>
      <c r="S38" s="75" t="s">
        <v>709</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49</v>
      </c>
      <c r="C39" s="2" t="s">
        <v>203</v>
      </c>
      <c r="D39" s="2">
        <v>2</v>
      </c>
      <c r="E39" s="2"/>
      <c r="F39" s="2"/>
      <c r="G39" s="2"/>
      <c r="H39" s="2"/>
      <c r="I39" s="2"/>
      <c r="J39" s="2"/>
      <c r="K39" s="2"/>
      <c r="L39" s="2"/>
      <c r="M39" s="2"/>
      <c r="N39" s="2"/>
      <c r="O39" s="2"/>
      <c r="P39" s="2"/>
      <c r="Q39" s="2"/>
      <c r="S39" s="92" t="s">
        <v>706</v>
      </c>
      <c r="T39" s="92">
        <v>3.75</v>
      </c>
      <c r="U39" s="92" t="s">
        <v>109</v>
      </c>
    </row>
    <row r="40" spans="1:40" x14ac:dyDescent="0.25">
      <c r="A40" s="2">
        <v>33</v>
      </c>
      <c r="B40" s="142" t="s">
        <v>658</v>
      </c>
      <c r="C40" s="2" t="s">
        <v>18</v>
      </c>
      <c r="D40" s="2" t="s">
        <v>100</v>
      </c>
      <c r="E40" s="2" t="s">
        <v>100</v>
      </c>
      <c r="F40" s="2" t="s">
        <v>100</v>
      </c>
      <c r="G40" s="2" t="s">
        <v>100</v>
      </c>
      <c r="H40" s="2" t="s">
        <v>100</v>
      </c>
      <c r="I40" s="2">
        <f>ConcreteLayerHeight</f>
        <v>2.7</v>
      </c>
      <c r="J40" s="2" t="s">
        <v>23</v>
      </c>
      <c r="K40" s="2">
        <f>ConcreteExtrusionWidth</f>
        <v>3.75</v>
      </c>
      <c r="L40" s="2">
        <f>ConcreteExtrusionHeight</f>
        <v>2.2999999999999998</v>
      </c>
      <c r="M40" s="2"/>
      <c r="N40" s="2"/>
      <c r="O40" s="2"/>
      <c r="P40" s="2"/>
      <c r="Q40" s="2"/>
      <c r="S40" s="92" t="s">
        <v>710</v>
      </c>
      <c r="T40" s="92">
        <v>3.75</v>
      </c>
      <c r="U40" s="92" t="s">
        <v>109</v>
      </c>
    </row>
    <row r="41" spans="1:40" x14ac:dyDescent="0.25">
      <c r="A41" s="2">
        <v>34</v>
      </c>
      <c r="B41" s="2" t="s">
        <v>49</v>
      </c>
      <c r="C41" s="2" t="s">
        <v>849</v>
      </c>
      <c r="D41" s="2"/>
      <c r="E41" s="2"/>
      <c r="F41" s="2"/>
      <c r="G41" s="2"/>
      <c r="H41" s="2"/>
      <c r="I41" s="2"/>
      <c r="J41" s="2"/>
      <c r="K41" s="2"/>
      <c r="L41" s="2"/>
      <c r="M41" s="2"/>
      <c r="N41" s="2"/>
      <c r="O41" s="2"/>
      <c r="P41" s="2"/>
      <c r="Q41" s="2" t="s">
        <v>721</v>
      </c>
      <c r="S41" s="92" t="s">
        <v>707</v>
      </c>
      <c r="T41" s="92">
        <v>2.2999999999999998</v>
      </c>
      <c r="U41" s="92" t="s">
        <v>109</v>
      </c>
    </row>
    <row r="42" spans="1:40" x14ac:dyDescent="0.25">
      <c r="A42" s="2">
        <v>35</v>
      </c>
      <c r="B42" s="2" t="s">
        <v>1</v>
      </c>
      <c r="C42" s="2" t="s">
        <v>18</v>
      </c>
      <c r="D42" s="2">
        <f>ConcretePrimeX+ConcretePrimeLength</f>
        <v>275</v>
      </c>
      <c r="E42" s="2">
        <f>ConcretePrimeY</f>
        <v>125</v>
      </c>
      <c r="F42" s="2" t="s">
        <v>100</v>
      </c>
      <c r="G42" s="2">
        <f>StartX</f>
        <v>275</v>
      </c>
      <c r="H42" s="2">
        <f>StartY</f>
        <v>100</v>
      </c>
      <c r="I42" s="2">
        <f>2*ConcreteLayerHeight</f>
        <v>5.4</v>
      </c>
      <c r="J42" s="2" t="s">
        <v>19</v>
      </c>
      <c r="K42" s="2">
        <f>ConcreteExtrusionWidth</f>
        <v>3.75</v>
      </c>
      <c r="L42" s="2">
        <f>ConcreteExtrusionHeight</f>
        <v>2.2999999999999998</v>
      </c>
      <c r="M42" s="2"/>
      <c r="N42" s="2"/>
      <c r="O42" s="2"/>
      <c r="P42" s="2"/>
      <c r="Q42" s="2"/>
      <c r="S42" s="92" t="s">
        <v>711</v>
      </c>
      <c r="T42" s="75">
        <f>3*0.728951</f>
        <v>2.1868530000000002</v>
      </c>
      <c r="U42" s="92" t="s">
        <v>109</v>
      </c>
    </row>
    <row r="43" spans="1:40" x14ac:dyDescent="0.25">
      <c r="A43" s="2">
        <v>36</v>
      </c>
      <c r="B43" s="143" t="s">
        <v>1</v>
      </c>
      <c r="C43" s="98" t="s">
        <v>18</v>
      </c>
      <c r="D43" s="2" t="s">
        <v>100</v>
      </c>
      <c r="E43" s="2" t="s">
        <v>100</v>
      </c>
      <c r="F43" s="2" t="s">
        <v>100</v>
      </c>
      <c r="G43" s="2" t="str">
        <f>CONCATENATE("R-",Length)</f>
        <v>R-130</v>
      </c>
      <c r="H43" s="2" t="s">
        <v>100</v>
      </c>
      <c r="I43" s="2" t="s">
        <v>100</v>
      </c>
      <c r="J43" s="2" t="s">
        <v>19</v>
      </c>
      <c r="K43" s="2">
        <f>ConcreteExtrusionWidth</f>
        <v>3.75</v>
      </c>
      <c r="L43" s="2">
        <f>ConcreteExtrusionHeight</f>
        <v>2.2999999999999998</v>
      </c>
      <c r="M43" s="2"/>
      <c r="N43" s="2"/>
      <c r="O43" s="2"/>
      <c r="P43" s="2"/>
      <c r="Q43" s="2" t="s">
        <v>762</v>
      </c>
      <c r="S43" s="75" t="s">
        <v>644</v>
      </c>
      <c r="T43" s="75" t="s">
        <v>499</v>
      </c>
      <c r="U43" s="92" t="s">
        <v>109</v>
      </c>
    </row>
    <row r="44" spans="1:40" x14ac:dyDescent="0.25">
      <c r="A44" s="2">
        <v>37</v>
      </c>
      <c r="B44" s="143" t="s">
        <v>1</v>
      </c>
      <c r="C44" s="98" t="s">
        <v>18</v>
      </c>
      <c r="D44" s="2" t="s">
        <v>100</v>
      </c>
      <c r="E44" s="2" t="s">
        <v>100</v>
      </c>
      <c r="F44" s="2" t="s">
        <v>100</v>
      </c>
      <c r="G44" s="2" t="s">
        <v>100</v>
      </c>
      <c r="H44" s="2" t="str">
        <f>CONCATENATE("R-",ConcreteExtrusionSpacing)</f>
        <v>R-4</v>
      </c>
      <c r="I44" s="2" t="s">
        <v>100</v>
      </c>
      <c r="J44" s="2" t="s">
        <v>19</v>
      </c>
      <c r="K44" s="2">
        <f>ConcreteExtrusionWidth</f>
        <v>3.75</v>
      </c>
      <c r="L44" s="2">
        <f>ConcreteExtrusionHeight</f>
        <v>2.2999999999999998</v>
      </c>
      <c r="M44" s="2"/>
      <c r="N44" s="2"/>
      <c r="O44" s="2"/>
      <c r="P44" s="2"/>
      <c r="Q44" s="2"/>
      <c r="S44" s="75" t="s">
        <v>708</v>
      </c>
      <c r="T44" s="75">
        <v>2.7</v>
      </c>
      <c r="U44" s="92" t="s">
        <v>109</v>
      </c>
    </row>
    <row r="45" spans="1:40" x14ac:dyDescent="0.25">
      <c r="A45" s="2">
        <v>38</v>
      </c>
      <c r="B45" s="143" t="s">
        <v>1</v>
      </c>
      <c r="C45" s="98" t="s">
        <v>18</v>
      </c>
      <c r="D45" s="2" t="s">
        <v>100</v>
      </c>
      <c r="E45" s="2" t="s">
        <v>100</v>
      </c>
      <c r="F45" s="2" t="s">
        <v>100</v>
      </c>
      <c r="G45" s="2" t="str">
        <f>CONCATENATE("R",Length)</f>
        <v>R130</v>
      </c>
      <c r="H45" s="2" t="s">
        <v>100</v>
      </c>
      <c r="I45" s="2" t="s">
        <v>100</v>
      </c>
      <c r="J45" s="2" t="s">
        <v>19</v>
      </c>
      <c r="K45" s="2">
        <f>ConcreteExtrusionWidth</f>
        <v>3.75</v>
      </c>
      <c r="L45" s="2">
        <f>ConcreteExtrusionHeight</f>
        <v>2.2999999999999998</v>
      </c>
      <c r="M45" s="2"/>
      <c r="N45" s="2"/>
      <c r="O45" s="2"/>
      <c r="P45" s="2"/>
      <c r="Q45" s="2"/>
      <c r="S45" s="75" t="s">
        <v>712</v>
      </c>
      <c r="T45" s="75">
        <v>2.7</v>
      </c>
      <c r="U45" s="92" t="s">
        <v>109</v>
      </c>
    </row>
    <row r="46" spans="1:40" x14ac:dyDescent="0.25">
      <c r="A46" s="2">
        <v>39</v>
      </c>
      <c r="B46" s="143" t="s">
        <v>1</v>
      </c>
      <c r="C46" s="98" t="s">
        <v>18</v>
      </c>
      <c r="D46" s="2" t="s">
        <v>100</v>
      </c>
      <c r="E46" s="2" t="s">
        <v>100</v>
      </c>
      <c r="F46" s="2" t="s">
        <v>100</v>
      </c>
      <c r="G46" s="2" t="s">
        <v>100</v>
      </c>
      <c r="H46" s="2" t="str">
        <f>CONCATENATE("R-",2*SiliconeExtrusionSpacing+ConcreteExtrusionSpacing)</f>
        <v>R-12</v>
      </c>
      <c r="I46" s="2" t="s">
        <v>100</v>
      </c>
      <c r="J46" s="2" t="s">
        <v>19</v>
      </c>
      <c r="K46" s="2">
        <f>ConcreteExtrusionWidth</f>
        <v>3.75</v>
      </c>
      <c r="L46" s="2">
        <f>ConcreteExtrusionHeight</f>
        <v>2.2999999999999998</v>
      </c>
      <c r="M46" s="2"/>
      <c r="N46" s="2"/>
      <c r="O46" s="2"/>
      <c r="P46" s="2"/>
      <c r="Q46" s="2"/>
      <c r="S46" s="75" t="s">
        <v>678</v>
      </c>
      <c r="T46" s="75">
        <v>130</v>
      </c>
      <c r="U46" s="92" t="s">
        <v>109</v>
      </c>
    </row>
    <row r="47" spans="1:40" x14ac:dyDescent="0.25">
      <c r="A47" s="2">
        <v>40</v>
      </c>
      <c r="B47" s="143" t="s">
        <v>55</v>
      </c>
      <c r="C47" s="98" t="s">
        <v>937</v>
      </c>
      <c r="D47" s="2">
        <v>0</v>
      </c>
      <c r="E47" s="2">
        <f>-(2*ConcreteExtrusionSpacing+2*SiliconeExtrusionSpacing)</f>
        <v>-16</v>
      </c>
      <c r="F47" s="2">
        <v>0</v>
      </c>
      <c r="G47" s="2">
        <f>FLOOR(Width/(2*ConcreteExtrusionSpacing+2*SiliconeExtrusionSpacing),1)</f>
        <v>2</v>
      </c>
      <c r="H47" s="2"/>
      <c r="I47" s="2"/>
      <c r="J47" s="2"/>
      <c r="K47" s="2"/>
      <c r="L47" s="2"/>
      <c r="M47" s="2"/>
      <c r="N47" s="2"/>
      <c r="O47" s="2"/>
      <c r="P47" s="2"/>
      <c r="Q47" s="2"/>
      <c r="S47" s="75" t="s">
        <v>179</v>
      </c>
      <c r="T47" s="75">
        <v>40</v>
      </c>
      <c r="U47" s="92" t="s">
        <v>109</v>
      </c>
    </row>
    <row r="48" spans="1:40" x14ac:dyDescent="0.25">
      <c r="A48" s="2">
        <v>41</v>
      </c>
      <c r="B48" s="143" t="s">
        <v>39</v>
      </c>
      <c r="C48" s="2">
        <v>0</v>
      </c>
      <c r="D48" s="2">
        <v>0</v>
      </c>
      <c r="E48" s="2">
        <f>ConcreteLayerHeight</f>
        <v>2.7</v>
      </c>
      <c r="F48" s="2">
        <v>5000</v>
      </c>
      <c r="G48" s="2"/>
      <c r="H48" s="2"/>
      <c r="I48" s="2"/>
      <c r="J48" s="2"/>
      <c r="K48" s="2"/>
      <c r="L48" s="2"/>
      <c r="M48" s="2"/>
      <c r="N48" s="2"/>
      <c r="O48" s="2"/>
      <c r="P48" s="2"/>
      <c r="Q48" s="2"/>
      <c r="S48" s="75" t="s">
        <v>180</v>
      </c>
      <c r="T48" s="75">
        <v>30</v>
      </c>
      <c r="U48" s="92" t="s">
        <v>109</v>
      </c>
    </row>
    <row r="49" spans="1:21" x14ac:dyDescent="0.25">
      <c r="A49" s="2">
        <v>42</v>
      </c>
      <c r="B49" s="143" t="s">
        <v>1</v>
      </c>
      <c r="C49" s="98" t="s">
        <v>18</v>
      </c>
      <c r="D49" s="2" t="s">
        <v>100</v>
      </c>
      <c r="E49" s="2" t="s">
        <v>100</v>
      </c>
      <c r="F49" s="2" t="s">
        <v>100</v>
      </c>
      <c r="G49" s="2" t="s">
        <v>100</v>
      </c>
      <c r="H49" s="2" t="str">
        <f>CONCATENATE("R",2*SiliconeExtrusionSpacing+ConcreteExtrusionSpacing)</f>
        <v>R12</v>
      </c>
      <c r="I49" s="2" t="s">
        <v>100</v>
      </c>
      <c r="J49" s="2" t="s">
        <v>19</v>
      </c>
      <c r="K49" s="2">
        <f>ConcreteExtrusionWidth</f>
        <v>3.75</v>
      </c>
      <c r="L49" s="2">
        <f>ConcreteExtrusionHeight</f>
        <v>2.2999999999999998</v>
      </c>
      <c r="M49" s="2"/>
      <c r="N49" s="2"/>
      <c r="O49" s="2"/>
      <c r="P49" s="2"/>
      <c r="Q49" s="2" t="s">
        <v>814</v>
      </c>
      <c r="S49" s="75" t="s">
        <v>271</v>
      </c>
      <c r="T49" s="75">
        <f>ConcretePrimeX+ConcretePrimeLength</f>
        <v>275</v>
      </c>
      <c r="U49" s="92" t="s">
        <v>109</v>
      </c>
    </row>
    <row r="50" spans="1:21" x14ac:dyDescent="0.25">
      <c r="A50" s="2">
        <v>43</v>
      </c>
      <c r="B50" s="143" t="s">
        <v>1</v>
      </c>
      <c r="C50" s="98" t="s">
        <v>18</v>
      </c>
      <c r="D50" s="2" t="s">
        <v>100</v>
      </c>
      <c r="E50" s="2" t="s">
        <v>100</v>
      </c>
      <c r="F50" s="2" t="s">
        <v>100</v>
      </c>
      <c r="G50" s="2" t="str">
        <f>CONCATENATE("R-",Length)</f>
        <v>R-130</v>
      </c>
      <c r="H50" s="2" t="s">
        <v>100</v>
      </c>
      <c r="I50" s="2" t="s">
        <v>100</v>
      </c>
      <c r="J50" s="2" t="s">
        <v>19</v>
      </c>
      <c r="K50" s="2">
        <f>ConcreteExtrusionWidth</f>
        <v>3.75</v>
      </c>
      <c r="L50" s="2">
        <f>ConcreteExtrusionHeight</f>
        <v>2.2999999999999998</v>
      </c>
      <c r="M50" s="2"/>
      <c r="N50" s="2"/>
      <c r="O50" s="2"/>
      <c r="P50" s="2"/>
      <c r="Q50" s="2"/>
      <c r="S50" s="75" t="s">
        <v>272</v>
      </c>
      <c r="T50" s="75">
        <v>100</v>
      </c>
      <c r="U50" s="92" t="s">
        <v>109</v>
      </c>
    </row>
    <row r="51" spans="1:21" x14ac:dyDescent="0.25">
      <c r="A51" s="2">
        <v>44</v>
      </c>
      <c r="B51" s="143" t="s">
        <v>1</v>
      </c>
      <c r="C51" s="98" t="s">
        <v>18</v>
      </c>
      <c r="D51" s="2" t="s">
        <v>100</v>
      </c>
      <c r="E51" s="2" t="s">
        <v>100</v>
      </c>
      <c r="F51" s="2" t="s">
        <v>100</v>
      </c>
      <c r="G51" s="2" t="s">
        <v>100</v>
      </c>
      <c r="H51" s="2" t="str">
        <f>CONCATENATE("R",ConcreteExtrusionSpacing)</f>
        <v>R4</v>
      </c>
      <c r="I51" s="2" t="s">
        <v>100</v>
      </c>
      <c r="J51" s="2" t="s">
        <v>19</v>
      </c>
      <c r="K51" s="2">
        <f>ConcreteExtrusionWidth</f>
        <v>3.75</v>
      </c>
      <c r="L51" s="2">
        <f>ConcreteExtrusionHeight</f>
        <v>2.2999999999999998</v>
      </c>
      <c r="M51" s="2"/>
      <c r="N51" s="2"/>
      <c r="O51" s="2"/>
      <c r="P51" s="2"/>
      <c r="Q51" s="2"/>
      <c r="S51" s="75" t="s">
        <v>713</v>
      </c>
      <c r="T51" s="75">
        <v>175</v>
      </c>
      <c r="U51" s="92" t="s">
        <v>109</v>
      </c>
    </row>
    <row r="52" spans="1:21" x14ac:dyDescent="0.25">
      <c r="A52" s="2">
        <v>45</v>
      </c>
      <c r="B52" s="143" t="s">
        <v>1</v>
      </c>
      <c r="C52" s="98" t="s">
        <v>18</v>
      </c>
      <c r="D52" s="2" t="s">
        <v>100</v>
      </c>
      <c r="E52" s="2" t="s">
        <v>100</v>
      </c>
      <c r="F52" s="2" t="s">
        <v>100</v>
      </c>
      <c r="G52" s="2" t="str">
        <f>CONCATENATE("R",Length)</f>
        <v>R130</v>
      </c>
      <c r="H52" s="2" t="s">
        <v>100</v>
      </c>
      <c r="I52" s="2" t="s">
        <v>100</v>
      </c>
      <c r="J52" s="2" t="s">
        <v>19</v>
      </c>
      <c r="K52" s="2">
        <f>ConcreteExtrusionWidth</f>
        <v>3.75</v>
      </c>
      <c r="L52" s="2">
        <f>ConcreteExtrusionHeight</f>
        <v>2.2999999999999998</v>
      </c>
      <c r="M52" s="2"/>
      <c r="N52" s="2"/>
      <c r="O52" s="2"/>
      <c r="P52" s="2"/>
      <c r="Q52" s="2"/>
      <c r="S52" s="92" t="s">
        <v>714</v>
      </c>
      <c r="T52" s="92">
        <v>125</v>
      </c>
      <c r="U52" s="92" t="s">
        <v>109</v>
      </c>
    </row>
    <row r="53" spans="1:21" x14ac:dyDescent="0.25">
      <c r="A53" s="2">
        <v>46</v>
      </c>
      <c r="B53" s="143" t="s">
        <v>55</v>
      </c>
      <c r="C53" s="98" t="s">
        <v>938</v>
      </c>
      <c r="D53" s="2">
        <v>0</v>
      </c>
      <c r="E53" s="2">
        <f>(2*ConcreteExtrusionSpacing+2*SiliconeExtrusionSpacing)</f>
        <v>16</v>
      </c>
      <c r="F53" s="2">
        <v>0</v>
      </c>
      <c r="G53" s="2">
        <f>FLOOR(Width/(2*ConcreteExtrusionSpacing+2*SiliconeExtrusionSpacing),1)</f>
        <v>2</v>
      </c>
      <c r="H53" s="2"/>
      <c r="I53" s="2"/>
      <c r="J53" s="2"/>
      <c r="K53" s="2"/>
      <c r="L53" s="2"/>
      <c r="M53" s="2"/>
      <c r="N53" s="2"/>
      <c r="O53" s="2"/>
      <c r="P53" s="2"/>
      <c r="Q53" s="2"/>
      <c r="S53" s="92" t="s">
        <v>715</v>
      </c>
      <c r="T53" s="92">
        <v>100</v>
      </c>
      <c r="U53" s="92" t="s">
        <v>109</v>
      </c>
    </row>
    <row r="54" spans="1:21" x14ac:dyDescent="0.25">
      <c r="A54" s="2">
        <v>47</v>
      </c>
      <c r="B54" s="143" t="s">
        <v>1</v>
      </c>
      <c r="C54" s="2" t="s">
        <v>18</v>
      </c>
      <c r="D54" s="2" t="s">
        <v>100</v>
      </c>
      <c r="E54" s="2" t="s">
        <v>100</v>
      </c>
      <c r="F54" s="2" t="s">
        <v>100</v>
      </c>
      <c r="G54" s="2" t="str">
        <f>CONCATENATE("R", 2*ConcreteExtrusionSpacing)</f>
        <v>R8</v>
      </c>
      <c r="H54" s="2" t="s">
        <v>100</v>
      </c>
      <c r="I54" s="2" t="str">
        <f>CONCATENATE("R", 2*ConcreteLayerHeight)</f>
        <v>R5.4</v>
      </c>
      <c r="J54" s="2" t="s">
        <v>23</v>
      </c>
      <c r="K54" s="2">
        <f>ConcreteExtrusionWidth</f>
        <v>3.75</v>
      </c>
      <c r="L54" s="2">
        <f>ConcreteExtrusionHeight</f>
        <v>2.2999999999999998</v>
      </c>
      <c r="M54" s="2"/>
      <c r="N54" s="2"/>
      <c r="O54" s="2"/>
      <c r="P54" s="2"/>
      <c r="Q54" s="2" t="s">
        <v>860</v>
      </c>
      <c r="S54" s="92" t="s">
        <v>865</v>
      </c>
      <c r="T54" s="92">
        <v>1000</v>
      </c>
      <c r="U54" s="92" t="s">
        <v>109</v>
      </c>
    </row>
    <row r="55" spans="1:21" x14ac:dyDescent="0.25">
      <c r="A55" s="2">
        <v>48</v>
      </c>
      <c r="B55" s="143" t="s">
        <v>1</v>
      </c>
      <c r="C55" s="2" t="s">
        <v>18</v>
      </c>
      <c r="D55" s="2" t="s">
        <v>100</v>
      </c>
      <c r="E55" s="2" t="s">
        <v>100</v>
      </c>
      <c r="F55" s="2" t="s">
        <v>100</v>
      </c>
      <c r="G55" s="2" t="s">
        <v>100</v>
      </c>
      <c r="H55" s="2" t="str">
        <f>CONCATENATE("R", 2*ConcreteExtrusionSpacing)</f>
        <v>R8</v>
      </c>
      <c r="I55" s="2" t="s">
        <v>100</v>
      </c>
      <c r="J55" s="2" t="s">
        <v>23</v>
      </c>
      <c r="K55" s="2">
        <f>ConcreteExtrusionWidth</f>
        <v>3.75</v>
      </c>
      <c r="L55" s="2">
        <f>ConcreteExtrusionHeight</f>
        <v>2.2999999999999998</v>
      </c>
      <c r="M55" s="2"/>
      <c r="N55" s="2"/>
      <c r="O55" s="2"/>
      <c r="P55" s="2"/>
      <c r="Q55" s="2"/>
    </row>
    <row r="56" spans="1:21" x14ac:dyDescent="0.25">
      <c r="A56" s="2">
        <v>49</v>
      </c>
      <c r="B56" s="143" t="s">
        <v>55</v>
      </c>
      <c r="C56" s="98" t="s">
        <v>939</v>
      </c>
      <c r="D56" s="2">
        <v>0</v>
      </c>
      <c r="E56" s="2">
        <v>0</v>
      </c>
      <c r="F56" s="2">
        <f>2*ConcreteLayerHeight</f>
        <v>5.4</v>
      </c>
      <c r="G56" s="2">
        <f>FLOOR((Height-ConcreteLayerHeight)/(2*ConcreteLayerHeight),1)-1</f>
        <v>4</v>
      </c>
      <c r="H56" s="2"/>
      <c r="I56" s="2"/>
      <c r="J56" s="2"/>
      <c r="K56" s="2"/>
      <c r="L56" s="2"/>
      <c r="M56" s="2"/>
      <c r="N56" s="2"/>
      <c r="O56" s="2"/>
      <c r="P56" s="2"/>
      <c r="Q56" s="2"/>
    </row>
    <row r="57" spans="1:21" x14ac:dyDescent="0.25">
      <c r="A57" s="2">
        <v>50</v>
      </c>
      <c r="B57" s="143" t="s">
        <v>49</v>
      </c>
      <c r="C57" s="2" t="s">
        <v>203</v>
      </c>
      <c r="D57" s="2">
        <v>3</v>
      </c>
      <c r="E57" s="2"/>
      <c r="F57" s="2"/>
      <c r="G57" s="2"/>
      <c r="H57" s="2"/>
      <c r="I57" s="2"/>
      <c r="J57" s="2"/>
      <c r="K57" s="2"/>
      <c r="L57" s="2"/>
      <c r="M57" s="2"/>
      <c r="N57" s="2"/>
      <c r="O57" s="2"/>
      <c r="P57" s="2"/>
      <c r="Q57" s="2"/>
    </row>
    <row r="58" spans="1:21" x14ac:dyDescent="0.25">
      <c r="A58" s="2">
        <v>51</v>
      </c>
      <c r="B58" s="143" t="s">
        <v>1</v>
      </c>
      <c r="C58" s="98" t="s">
        <v>18</v>
      </c>
      <c r="D58" s="2">
        <f>StartX-(Length+ConcreteExtrusionSpacing)</f>
        <v>141</v>
      </c>
      <c r="E58" s="2">
        <f>StartY+(0.5*ConcreteExtrusionSpacing+0.5*SiliconeExtrusionSpacing)</f>
        <v>104</v>
      </c>
      <c r="F58" s="145">
        <f>(FLOOR((Height-ConcreteLayerHeight)/(2*ConcreteLayerHeight),1))*2*ConcreteLayerHeight+ConcreteLayerHeight</f>
        <v>29.7</v>
      </c>
      <c r="G58" s="2" t="s">
        <v>100</v>
      </c>
      <c r="H58" s="2" t="str">
        <f>CONCATENATE("R-",2*ConcreteExtrusionSpacing+SiliconeExtrusionSpacing)</f>
        <v>R-12</v>
      </c>
      <c r="I58" s="2" t="s">
        <v>100</v>
      </c>
      <c r="J58" s="2" t="s">
        <v>19</v>
      </c>
      <c r="K58" s="2">
        <f>SiliconeExtrusionWidth</f>
        <v>3.75</v>
      </c>
      <c r="L58" s="2">
        <f>SiliconeExtrusionHeight</f>
        <v>2.1868530000000002</v>
      </c>
      <c r="M58" s="2" t="str">
        <f>CONCATENATE("F=", SiliconePrintSpeed)</f>
        <v>F=1000</v>
      </c>
      <c r="N58" s="2"/>
      <c r="O58" s="2"/>
      <c r="P58" s="2"/>
      <c r="Q58" s="2" t="s">
        <v>1084</v>
      </c>
    </row>
    <row r="59" spans="1:21" x14ac:dyDescent="0.25">
      <c r="A59" s="2">
        <v>52</v>
      </c>
      <c r="B59" s="143" t="s">
        <v>1</v>
      </c>
      <c r="C59" s="98" t="s">
        <v>18</v>
      </c>
      <c r="D59" s="2" t="s">
        <v>100</v>
      </c>
      <c r="E59" s="2" t="s">
        <v>100</v>
      </c>
      <c r="F59" s="2" t="s">
        <v>100</v>
      </c>
      <c r="G59" s="2" t="str">
        <f>CONCATENATE("R",Length)</f>
        <v>R130</v>
      </c>
      <c r="H59" s="2" t="s">
        <v>100</v>
      </c>
      <c r="I59" s="2" t="s">
        <v>100</v>
      </c>
      <c r="J59" s="2" t="s">
        <v>19</v>
      </c>
      <c r="K59" s="2">
        <f>SiliconeExtrusionWidth</f>
        <v>3.75</v>
      </c>
      <c r="L59" s="2">
        <f>SiliconeExtrusionHeight</f>
        <v>2.1868530000000002</v>
      </c>
      <c r="M59" s="2" t="str">
        <f>CONCATENATE("F=", SiliconePrintSpeed)</f>
        <v>F=1000</v>
      </c>
      <c r="N59" s="2"/>
      <c r="O59" s="2"/>
      <c r="P59" s="2"/>
      <c r="Q59" s="2"/>
    </row>
    <row r="60" spans="1:21" x14ac:dyDescent="0.25">
      <c r="A60" s="2">
        <v>53</v>
      </c>
      <c r="B60" s="143" t="s">
        <v>1</v>
      </c>
      <c r="C60" s="98" t="s">
        <v>18</v>
      </c>
      <c r="D60" s="2" t="s">
        <v>100</v>
      </c>
      <c r="E60" s="2" t="s">
        <v>100</v>
      </c>
      <c r="F60" s="2" t="s">
        <v>100</v>
      </c>
      <c r="G60" s="2" t="s">
        <v>100</v>
      </c>
      <c r="H60" s="2" t="str">
        <f>CONCATENATE("R-",SiliconeExtrusionSpacing)</f>
        <v>R-4</v>
      </c>
      <c r="I60" s="2" t="s">
        <v>100</v>
      </c>
      <c r="J60" s="2" t="s">
        <v>19</v>
      </c>
      <c r="K60" s="2">
        <f>SiliconeExtrusionWidth</f>
        <v>3.75</v>
      </c>
      <c r="L60" s="2">
        <f>SiliconeExtrusionHeight</f>
        <v>2.1868530000000002</v>
      </c>
      <c r="M60" s="2" t="str">
        <f>CONCATENATE("F=", SiliconePrintSpeed)</f>
        <v>F=1000</v>
      </c>
      <c r="N60" s="2"/>
      <c r="O60" s="2"/>
      <c r="P60" s="2"/>
      <c r="Q60" s="2"/>
    </row>
    <row r="61" spans="1:21" x14ac:dyDescent="0.25">
      <c r="A61" s="2">
        <v>54</v>
      </c>
      <c r="B61" s="143" t="s">
        <v>1</v>
      </c>
      <c r="C61" s="98" t="s">
        <v>18</v>
      </c>
      <c r="D61" s="2" t="s">
        <v>100</v>
      </c>
      <c r="E61" s="2" t="s">
        <v>100</v>
      </c>
      <c r="F61" s="2" t="s">
        <v>100</v>
      </c>
      <c r="G61" s="2" t="str">
        <f>CONCATENATE("R-",Length)</f>
        <v>R-130</v>
      </c>
      <c r="H61" s="2" t="s">
        <v>100</v>
      </c>
      <c r="I61" s="2" t="s">
        <v>100</v>
      </c>
      <c r="J61" s="2" t="s">
        <v>19</v>
      </c>
      <c r="K61" s="2">
        <f>SiliconeExtrusionWidth</f>
        <v>3.75</v>
      </c>
      <c r="L61" s="2">
        <f>SiliconeExtrusionHeight</f>
        <v>2.1868530000000002</v>
      </c>
      <c r="M61" s="2" t="str">
        <f>CONCATENATE("F=", SiliconePrintSpeed)</f>
        <v>F=1000</v>
      </c>
      <c r="N61" s="2"/>
      <c r="O61" s="2"/>
      <c r="P61" s="2"/>
      <c r="Q61" s="2"/>
    </row>
    <row r="62" spans="1:21" x14ac:dyDescent="0.25">
      <c r="A62" s="2">
        <v>55</v>
      </c>
      <c r="B62" s="143" t="s">
        <v>55</v>
      </c>
      <c r="C62" s="98" t="s">
        <v>1085</v>
      </c>
      <c r="D62" s="2">
        <v>0</v>
      </c>
      <c r="E62" s="2">
        <f>-(2*SiliconeExtrusionSpacing+2*ConcreteExtrusionSpacing)</f>
        <v>-16</v>
      </c>
      <c r="F62" s="2">
        <v>0</v>
      </c>
      <c r="G62" s="2">
        <f>FLOOR(Width/(2*ConcreteExtrusionSpacing+2*SiliconeExtrusionSpacing),1)-1</f>
        <v>1</v>
      </c>
      <c r="H62" s="2"/>
      <c r="I62" s="2"/>
      <c r="J62" s="2"/>
      <c r="K62" s="2"/>
      <c r="L62" s="2"/>
      <c r="M62" s="2"/>
      <c r="N62" s="2"/>
      <c r="O62" s="2"/>
      <c r="P62" s="2"/>
      <c r="Q62" s="2"/>
    </row>
    <row r="63" spans="1:21" x14ac:dyDescent="0.25">
      <c r="A63" s="2">
        <v>56</v>
      </c>
      <c r="B63" s="143" t="s">
        <v>39</v>
      </c>
      <c r="C63" s="2">
        <v>0.35</v>
      </c>
      <c r="D63" s="2">
        <v>80</v>
      </c>
      <c r="E63" s="2">
        <f>2*SiliconeLayerHeight</f>
        <v>5.4</v>
      </c>
      <c r="F63" s="2">
        <v>5000</v>
      </c>
      <c r="G63" s="2"/>
      <c r="H63" s="143"/>
      <c r="I63" s="2"/>
      <c r="J63" s="2"/>
      <c r="K63" s="2"/>
      <c r="L63" s="2"/>
      <c r="M63" s="2"/>
      <c r="N63" s="2"/>
      <c r="O63" s="2"/>
      <c r="P63" s="2"/>
      <c r="Q63" s="2"/>
    </row>
    <row r="64" spans="1:21" x14ac:dyDescent="0.25">
      <c r="A64" s="2">
        <v>57</v>
      </c>
      <c r="B64" s="143" t="s">
        <v>1</v>
      </c>
      <c r="C64" s="2" t="s">
        <v>18</v>
      </c>
      <c r="D64" s="2" t="s">
        <v>100</v>
      </c>
      <c r="E64" s="2" t="s">
        <v>100</v>
      </c>
      <c r="F64" s="2" t="s">
        <v>100</v>
      </c>
      <c r="G64" s="143" t="str">
        <f>CONCATENATE("R-", 2*SiliconeExtrusionSpacing)</f>
        <v>R-8</v>
      </c>
      <c r="H64" s="143" t="str">
        <f>CONCATENATE("R", Width+2*SiliconeExtrusionSpacing)</f>
        <v>R48</v>
      </c>
      <c r="I64" s="2" t="s">
        <v>100</v>
      </c>
      <c r="J64" s="2" t="s">
        <v>23</v>
      </c>
      <c r="K64" s="2">
        <f>SiliconeExtrusionWidth</f>
        <v>3.75</v>
      </c>
      <c r="L64" s="2">
        <f>SiliconeExtrusionHeight</f>
        <v>2.1868530000000002</v>
      </c>
      <c r="M64" s="2"/>
      <c r="N64" s="2"/>
      <c r="O64" s="2"/>
      <c r="P64" s="2"/>
      <c r="Q64" s="2" t="s">
        <v>860</v>
      </c>
    </row>
    <row r="65" spans="1:17" x14ac:dyDescent="0.25">
      <c r="A65" s="2">
        <v>58</v>
      </c>
      <c r="B65" s="143"/>
      <c r="C65" s="98"/>
      <c r="D65" s="2"/>
      <c r="E65" s="2"/>
      <c r="F65" s="2"/>
      <c r="G65" s="2"/>
      <c r="H65" s="2"/>
      <c r="I65" s="2"/>
      <c r="J65" s="2"/>
      <c r="K65" s="2"/>
      <c r="L65" s="2"/>
      <c r="M65" s="2"/>
      <c r="N65" s="2"/>
      <c r="O65" s="2"/>
      <c r="P65" s="2"/>
      <c r="Q65" s="2"/>
    </row>
    <row r="66" spans="1:17" x14ac:dyDescent="0.25">
      <c r="A66" s="2">
        <v>59</v>
      </c>
      <c r="B66" s="143"/>
      <c r="C66" s="98"/>
      <c r="D66" s="2"/>
      <c r="E66" s="2"/>
      <c r="F66" s="2"/>
      <c r="G66" s="2"/>
      <c r="H66" s="2"/>
      <c r="I66" s="2"/>
      <c r="J66" s="2"/>
      <c r="K66" s="2"/>
      <c r="L66" s="2"/>
      <c r="M66" s="2"/>
      <c r="N66" s="2"/>
      <c r="O66" s="2"/>
      <c r="P66" s="2"/>
      <c r="Q66" s="2"/>
    </row>
    <row r="67" spans="1:17" x14ac:dyDescent="0.25">
      <c r="A67" s="2">
        <v>60</v>
      </c>
      <c r="B67" s="143"/>
      <c r="C67" s="98"/>
      <c r="D67" s="2"/>
      <c r="E67" s="2"/>
      <c r="F67" s="2"/>
      <c r="G67" s="2"/>
      <c r="H67" s="2"/>
      <c r="I67" s="2"/>
      <c r="J67" s="2"/>
      <c r="K67" s="2"/>
      <c r="L67" s="2"/>
      <c r="M67" s="2"/>
      <c r="N67" s="2"/>
      <c r="O67" s="2"/>
      <c r="P67" s="2"/>
      <c r="Q67" s="2"/>
    </row>
    <row r="68" spans="1:17" x14ac:dyDescent="0.25">
      <c r="A68" s="2">
        <v>61</v>
      </c>
      <c r="B68" s="143"/>
      <c r="C68" s="98"/>
      <c r="D68" s="2"/>
      <c r="E68" s="2"/>
      <c r="F68" s="2"/>
      <c r="G68" s="2"/>
      <c r="H68" s="2"/>
      <c r="I68" s="2"/>
      <c r="J68" s="2"/>
      <c r="K68" s="2"/>
      <c r="L68" s="2"/>
      <c r="M68" s="2"/>
      <c r="N68" s="2"/>
      <c r="O68" s="2"/>
      <c r="P68" s="2"/>
      <c r="Q68" s="2"/>
    </row>
    <row r="69" spans="1:17" x14ac:dyDescent="0.25">
      <c r="A69" s="2">
        <v>62</v>
      </c>
      <c r="B69" s="143"/>
      <c r="C69" s="98"/>
      <c r="D69" s="2"/>
      <c r="E69" s="2"/>
      <c r="F69" s="2"/>
      <c r="G69" s="2"/>
      <c r="H69" s="2"/>
      <c r="I69" s="2"/>
      <c r="J69" s="2"/>
      <c r="K69" s="2"/>
      <c r="L69" s="2"/>
      <c r="M69" s="2"/>
      <c r="N69" s="2"/>
      <c r="O69" s="2"/>
      <c r="P69" s="2"/>
      <c r="Q69"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817</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776</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777</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703</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778</v>
      </c>
      <c r="K7" s="60" t="s">
        <v>100</v>
      </c>
      <c r="L7" s="60" t="s">
        <v>19</v>
      </c>
      <c r="M7" s="60">
        <v>3.75</v>
      </c>
      <c r="N7" s="60">
        <v>2.8</v>
      </c>
      <c r="P7" s="72"/>
      <c r="Q7" s="72"/>
    </row>
    <row r="8" spans="1:17" ht="16.350000000000001" customHeight="1" x14ac:dyDescent="0.25">
      <c r="A8" s="71">
        <v>7</v>
      </c>
      <c r="B8" s="71">
        <v>7</v>
      </c>
      <c r="C8" s="60">
        <v>7</v>
      </c>
      <c r="D8" s="60" t="s">
        <v>55</v>
      </c>
      <c r="E8" s="60" t="s">
        <v>779</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780</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703</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781</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776</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782</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703</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783</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776</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784</v>
      </c>
      <c r="K20" s="60" t="s">
        <v>100</v>
      </c>
      <c r="L20" s="60" t="s">
        <v>19</v>
      </c>
      <c r="M20" s="60">
        <v>3.75</v>
      </c>
      <c r="N20" s="60">
        <v>2.8</v>
      </c>
      <c r="Q20" s="72"/>
    </row>
    <row r="21" spans="1:17" ht="16.350000000000001" customHeight="1" x14ac:dyDescent="0.25">
      <c r="A21" s="71">
        <v>20</v>
      </c>
      <c r="B21" s="71">
        <v>20</v>
      </c>
      <c r="C21" s="60">
        <v>20</v>
      </c>
      <c r="D21" s="60" t="s">
        <v>55</v>
      </c>
      <c r="E21" s="60" t="s">
        <v>785</v>
      </c>
      <c r="F21" s="60">
        <v>0</v>
      </c>
      <c r="G21" s="60">
        <v>16.399999999999999</v>
      </c>
      <c r="H21" s="60">
        <v>0</v>
      </c>
      <c r="I21" s="60">
        <v>1</v>
      </c>
      <c r="Q21" s="72"/>
    </row>
    <row r="22" spans="1:17" ht="16.350000000000001" customHeight="1" x14ac:dyDescent="0.25">
      <c r="A22" s="71">
        <v>21</v>
      </c>
      <c r="B22" s="71">
        <v>21</v>
      </c>
      <c r="C22" s="60">
        <v>21</v>
      </c>
      <c r="D22" s="60" t="s">
        <v>704</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716</v>
      </c>
      <c r="F25" s="60">
        <v>155</v>
      </c>
      <c r="G25" s="60" t="s">
        <v>708</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776</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777</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703</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778</v>
      </c>
      <c r="K30" s="60" t="s">
        <v>100</v>
      </c>
      <c r="L30" s="60" t="s">
        <v>19</v>
      </c>
      <c r="M30" s="60">
        <v>3.75</v>
      </c>
      <c r="N30" s="60">
        <v>2.8</v>
      </c>
      <c r="Q30" s="72"/>
    </row>
    <row r="31" spans="1:17" ht="16.350000000000001" customHeight="1" x14ac:dyDescent="0.25">
      <c r="A31" s="71">
        <v>30</v>
      </c>
      <c r="B31" s="71">
        <v>30</v>
      </c>
      <c r="C31" s="60">
        <v>30</v>
      </c>
      <c r="D31" s="60" t="s">
        <v>55</v>
      </c>
      <c r="E31" s="60" t="s">
        <v>825</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808</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776</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703</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826</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780</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703</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781</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776</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821</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703</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783</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776</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784</v>
      </c>
      <c r="K49" s="60" t="s">
        <v>100</v>
      </c>
      <c r="L49" s="60" t="s">
        <v>19</v>
      </c>
      <c r="M49" s="60">
        <v>3.75</v>
      </c>
      <c r="N49" s="60">
        <v>2.8</v>
      </c>
      <c r="O49" s="72"/>
      <c r="Q49" s="72"/>
    </row>
    <row r="50" spans="1:17" ht="16.350000000000001" customHeight="1" x14ac:dyDescent="0.25">
      <c r="A50" s="71">
        <v>38</v>
      </c>
      <c r="B50" s="71">
        <v>20</v>
      </c>
      <c r="C50" s="60">
        <v>49</v>
      </c>
      <c r="D50" s="60" t="s">
        <v>55</v>
      </c>
      <c r="E50" s="60" t="s">
        <v>822</v>
      </c>
      <c r="F50" s="60">
        <v>0</v>
      </c>
      <c r="G50" s="60">
        <v>16.399999999999999</v>
      </c>
      <c r="H50" s="60">
        <v>0</v>
      </c>
      <c r="I50" s="60">
        <v>1</v>
      </c>
      <c r="Q50" s="72"/>
    </row>
    <row r="51" spans="1:17" ht="16.350000000000001" customHeight="1" x14ac:dyDescent="0.25">
      <c r="A51" s="71">
        <v>38</v>
      </c>
      <c r="B51" s="71">
        <v>21</v>
      </c>
      <c r="C51" s="60">
        <v>50</v>
      </c>
      <c r="D51" s="60" t="s">
        <v>704</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718</v>
      </c>
      <c r="F54" s="60">
        <v>155</v>
      </c>
      <c r="G54" s="60" t="s">
        <v>719</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776</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777</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703</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778</v>
      </c>
      <c r="K59" s="60" t="s">
        <v>100</v>
      </c>
      <c r="L59" s="60" t="s">
        <v>19</v>
      </c>
      <c r="M59" s="60">
        <v>3.75</v>
      </c>
      <c r="N59" s="60">
        <v>2.8</v>
      </c>
      <c r="Q59" s="72"/>
    </row>
    <row r="60" spans="1:17" ht="16.350000000000001" customHeight="1" x14ac:dyDescent="0.25">
      <c r="A60" s="71">
        <v>38</v>
      </c>
      <c r="B60" s="71">
        <v>30</v>
      </c>
      <c r="C60" s="60">
        <v>59</v>
      </c>
      <c r="D60" s="60" t="s">
        <v>55</v>
      </c>
      <c r="E60" s="60" t="s">
        <v>827</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808</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776</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703</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828</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780</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703</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781</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776</v>
      </c>
      <c r="J72" s="60" t="s">
        <v>100</v>
      </c>
      <c r="K72" s="60" t="s">
        <v>100</v>
      </c>
      <c r="L72" s="60" t="s">
        <v>19</v>
      </c>
      <c r="M72" s="60">
        <v>3.75</v>
      </c>
      <c r="N72" s="60">
        <v>2.8</v>
      </c>
    </row>
    <row r="73" spans="1:17" ht="16.350000000000001" customHeight="1" x14ac:dyDescent="0.25">
      <c r="A73" s="71">
        <v>38</v>
      </c>
      <c r="B73" s="71">
        <v>14</v>
      </c>
      <c r="C73" s="60">
        <v>72</v>
      </c>
      <c r="D73" s="60" t="s">
        <v>55</v>
      </c>
      <c r="E73" s="60" t="s">
        <v>829</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703</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783</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776</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784</v>
      </c>
      <c r="K78" s="60" t="s">
        <v>100</v>
      </c>
      <c r="L78" s="60" t="s">
        <v>19</v>
      </c>
      <c r="M78" s="60">
        <v>3.75</v>
      </c>
      <c r="N78" s="60">
        <v>2.8</v>
      </c>
    </row>
    <row r="79" spans="1:17" ht="16.350000000000001" customHeight="1" x14ac:dyDescent="0.25">
      <c r="A79" s="71">
        <v>38</v>
      </c>
      <c r="B79" s="71">
        <v>20</v>
      </c>
      <c r="C79" s="60">
        <v>78</v>
      </c>
      <c r="D79" s="60" t="s">
        <v>55</v>
      </c>
      <c r="E79" s="60" t="s">
        <v>830</v>
      </c>
      <c r="F79" s="60">
        <v>0</v>
      </c>
      <c r="G79" s="60">
        <v>16.399999999999999</v>
      </c>
      <c r="H79" s="60">
        <v>0</v>
      </c>
      <c r="I79" s="60">
        <v>1</v>
      </c>
    </row>
    <row r="80" spans="1:17" ht="16.350000000000001" customHeight="1" x14ac:dyDescent="0.25">
      <c r="A80" s="71">
        <v>38</v>
      </c>
      <c r="B80" s="71">
        <v>21</v>
      </c>
      <c r="C80" s="60">
        <v>79</v>
      </c>
      <c r="D80" s="60" t="s">
        <v>704</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718</v>
      </c>
      <c r="F83" s="60">
        <v>155</v>
      </c>
      <c r="G83" s="60" t="s">
        <v>720</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776</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777</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703</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778</v>
      </c>
      <c r="K88" s="60" t="s">
        <v>100</v>
      </c>
      <c r="L88" s="60" t="s">
        <v>19</v>
      </c>
      <c r="M88" s="60">
        <v>3.75</v>
      </c>
      <c r="N88" s="60">
        <v>2.8</v>
      </c>
    </row>
    <row r="89" spans="1:15" ht="16.350000000000001" customHeight="1" x14ac:dyDescent="0.25">
      <c r="A89" s="71">
        <v>38</v>
      </c>
      <c r="B89" s="71">
        <v>30</v>
      </c>
      <c r="C89" s="60">
        <v>88</v>
      </c>
      <c r="D89" s="60" t="s">
        <v>55</v>
      </c>
      <c r="E89" s="60" t="s">
        <v>831</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808</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776</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703</v>
      </c>
      <c r="J94" s="60" t="s">
        <v>100</v>
      </c>
      <c r="K94" s="60" t="s">
        <v>100</v>
      </c>
      <c r="L94" s="60" t="s">
        <v>19</v>
      </c>
      <c r="M94" s="60">
        <v>3.75</v>
      </c>
      <c r="N94" s="60">
        <v>2.8</v>
      </c>
    </row>
    <row r="95" spans="1:15" ht="16.350000000000001" customHeight="1" x14ac:dyDescent="0.25">
      <c r="A95" s="71">
        <v>38</v>
      </c>
      <c r="B95" s="71">
        <v>36</v>
      </c>
      <c r="C95" s="60">
        <v>94</v>
      </c>
      <c r="D95" s="60" t="s">
        <v>55</v>
      </c>
      <c r="E95" s="60" t="s">
        <v>832</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780</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703</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781</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776</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811</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703</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783</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776</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784</v>
      </c>
      <c r="K107" s="60" t="s">
        <v>100</v>
      </c>
      <c r="L107" s="60" t="s">
        <v>19</v>
      </c>
      <c r="M107" s="60">
        <v>3.75</v>
      </c>
      <c r="N107" s="60">
        <v>2.8</v>
      </c>
    </row>
    <row r="108" spans="1:15" ht="16.350000000000001" customHeight="1" x14ac:dyDescent="0.25">
      <c r="A108" s="71">
        <v>38</v>
      </c>
      <c r="B108" s="71">
        <v>20</v>
      </c>
      <c r="C108" s="60">
        <v>107</v>
      </c>
      <c r="D108" s="60" t="s">
        <v>55</v>
      </c>
      <c r="E108" s="60" t="s">
        <v>786</v>
      </c>
      <c r="F108" s="60">
        <v>0</v>
      </c>
      <c r="G108" s="60">
        <v>16.399999999999999</v>
      </c>
      <c r="H108" s="60">
        <v>0</v>
      </c>
      <c r="I108" s="60">
        <v>1</v>
      </c>
    </row>
    <row r="109" spans="1:15" ht="16.350000000000001" customHeight="1" x14ac:dyDescent="0.25">
      <c r="A109" s="71">
        <v>38</v>
      </c>
      <c r="B109" s="71">
        <v>21</v>
      </c>
      <c r="C109" s="60">
        <v>108</v>
      </c>
      <c r="D109" s="60" t="s">
        <v>704</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718</v>
      </c>
      <c r="F112" s="60">
        <v>155</v>
      </c>
      <c r="G112" s="60" t="s">
        <v>787</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776</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777</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703</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778</v>
      </c>
      <c r="K117" s="60" t="s">
        <v>100</v>
      </c>
      <c r="L117" s="60" t="s">
        <v>19</v>
      </c>
      <c r="M117" s="60">
        <v>3.75</v>
      </c>
      <c r="N117" s="60">
        <v>2.8</v>
      </c>
    </row>
    <row r="118" spans="1:15" ht="16.350000000000001" customHeight="1" x14ac:dyDescent="0.25">
      <c r="A118" s="71">
        <v>38</v>
      </c>
      <c r="B118" s="71">
        <v>30</v>
      </c>
      <c r="C118" s="60">
        <v>117</v>
      </c>
      <c r="D118" s="60" t="s">
        <v>55</v>
      </c>
      <c r="E118" s="60" t="s">
        <v>833</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808</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776</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703</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834</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780</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703</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781</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776</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835</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703</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783</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776</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784</v>
      </c>
      <c r="K136" s="60" t="s">
        <v>100</v>
      </c>
      <c r="L136" s="60" t="s">
        <v>19</v>
      </c>
      <c r="M136" s="60">
        <v>3.75</v>
      </c>
      <c r="N136" s="60">
        <v>2.8</v>
      </c>
    </row>
    <row r="137" spans="1:15" ht="16.350000000000001" customHeight="1" x14ac:dyDescent="0.25">
      <c r="A137" s="71">
        <v>38</v>
      </c>
      <c r="B137" s="71">
        <v>20</v>
      </c>
      <c r="C137" s="60">
        <v>136</v>
      </c>
      <c r="D137" s="60" t="s">
        <v>55</v>
      </c>
      <c r="E137" s="60" t="s">
        <v>836</v>
      </c>
      <c r="F137" s="60">
        <v>0</v>
      </c>
      <c r="G137" s="60">
        <v>16.399999999999999</v>
      </c>
      <c r="H137" s="60">
        <v>0</v>
      </c>
      <c r="I137" s="60">
        <v>1</v>
      </c>
      <c r="O137" s="72"/>
    </row>
    <row r="138" spans="1:15" ht="16.350000000000001" customHeight="1" x14ac:dyDescent="0.25">
      <c r="A138" s="71">
        <v>38</v>
      </c>
      <c r="B138" s="71">
        <v>21</v>
      </c>
      <c r="C138" s="60">
        <v>137</v>
      </c>
      <c r="D138" s="60" t="s">
        <v>704</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718</v>
      </c>
      <c r="F141" s="60">
        <v>155</v>
      </c>
      <c r="G141" s="60" t="s">
        <v>788</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776</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777</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703</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778</v>
      </c>
      <c r="K146" s="60" t="s">
        <v>100</v>
      </c>
      <c r="L146" s="60" t="s">
        <v>19</v>
      </c>
      <c r="M146" s="60">
        <v>3.75</v>
      </c>
      <c r="N146" s="60">
        <v>2.8</v>
      </c>
    </row>
    <row r="147" spans="1:15" ht="16.350000000000001" customHeight="1" x14ac:dyDescent="0.25">
      <c r="A147" s="71">
        <v>38</v>
      </c>
      <c r="B147" s="71">
        <v>30</v>
      </c>
      <c r="C147" s="60">
        <v>146</v>
      </c>
      <c r="D147" s="60" t="s">
        <v>55</v>
      </c>
      <c r="E147" s="60" t="s">
        <v>837</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808</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776</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703</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838</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780</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703</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781</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776</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839</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703</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783</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776</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784</v>
      </c>
      <c r="K165" s="60" t="s">
        <v>100</v>
      </c>
      <c r="L165" s="60" t="s">
        <v>19</v>
      </c>
      <c r="M165" s="60">
        <v>3.75</v>
      </c>
      <c r="N165" s="60">
        <v>2.8</v>
      </c>
    </row>
    <row r="166" spans="1:15" ht="16.350000000000001" customHeight="1" x14ac:dyDescent="0.25">
      <c r="A166" s="71">
        <v>38</v>
      </c>
      <c r="B166" s="71">
        <v>20</v>
      </c>
      <c r="C166" s="60">
        <v>165</v>
      </c>
      <c r="D166" s="60" t="s">
        <v>55</v>
      </c>
      <c r="E166" s="60" t="s">
        <v>840</v>
      </c>
      <c r="F166" s="60">
        <v>0</v>
      </c>
      <c r="G166" s="60">
        <v>16.399999999999999</v>
      </c>
      <c r="H166" s="60">
        <v>0</v>
      </c>
      <c r="I166" s="60">
        <v>1</v>
      </c>
    </row>
    <row r="167" spans="1:15" ht="16.350000000000001" customHeight="1" x14ac:dyDescent="0.25">
      <c r="A167" s="71">
        <v>38</v>
      </c>
      <c r="B167" s="71">
        <v>21</v>
      </c>
      <c r="C167" s="60">
        <v>166</v>
      </c>
      <c r="D167" s="60" t="s">
        <v>704</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718</v>
      </c>
      <c r="F170" s="60">
        <v>155</v>
      </c>
      <c r="G170" s="60" t="s">
        <v>790</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776</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777</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703</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778</v>
      </c>
      <c r="K175" s="60" t="s">
        <v>100</v>
      </c>
      <c r="L175" s="60" t="s">
        <v>19</v>
      </c>
      <c r="M175" s="60">
        <v>3.75</v>
      </c>
      <c r="N175" s="60">
        <v>2.8</v>
      </c>
    </row>
    <row r="176" spans="1:15" ht="16.350000000000001" customHeight="1" x14ac:dyDescent="0.25">
      <c r="A176" s="71">
        <v>38</v>
      </c>
      <c r="B176" s="71">
        <v>30</v>
      </c>
      <c r="C176" s="60">
        <v>175</v>
      </c>
      <c r="D176" s="60" t="s">
        <v>55</v>
      </c>
      <c r="E176" s="60" t="s">
        <v>789</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808</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776</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703</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841</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780</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703</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781</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776</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815</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703</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783</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776</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784</v>
      </c>
      <c r="K194" s="60" t="s">
        <v>100</v>
      </c>
      <c r="L194" s="60" t="s">
        <v>19</v>
      </c>
      <c r="M194" s="60">
        <v>3.75</v>
      </c>
      <c r="N194" s="60">
        <v>2.8</v>
      </c>
    </row>
    <row r="195" spans="1:15" ht="16.350000000000001" customHeight="1" x14ac:dyDescent="0.25">
      <c r="A195" s="71">
        <v>38</v>
      </c>
      <c r="B195" s="71">
        <v>20</v>
      </c>
      <c r="C195" s="60">
        <v>194</v>
      </c>
      <c r="D195" s="60" t="s">
        <v>55</v>
      </c>
      <c r="E195" s="60" t="s">
        <v>842</v>
      </c>
      <c r="F195" s="60">
        <v>0</v>
      </c>
      <c r="G195" s="60">
        <v>16.399999999999999</v>
      </c>
      <c r="H195" s="60">
        <v>0</v>
      </c>
      <c r="I195" s="60">
        <v>1</v>
      </c>
    </row>
    <row r="196" spans="1:15" ht="16.350000000000001" customHeight="1" x14ac:dyDescent="0.25">
      <c r="A196" s="71">
        <v>38</v>
      </c>
      <c r="B196" s="71">
        <v>21</v>
      </c>
      <c r="C196" s="60">
        <v>195</v>
      </c>
      <c r="D196" s="60" t="s">
        <v>704</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718</v>
      </c>
      <c r="F199" s="60">
        <v>155</v>
      </c>
      <c r="G199" s="60" t="s">
        <v>812</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776</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777</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703</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778</v>
      </c>
      <c r="K204" s="60" t="s">
        <v>100</v>
      </c>
      <c r="L204" s="60" t="s">
        <v>19</v>
      </c>
      <c r="M204" s="60">
        <v>3.75</v>
      </c>
      <c r="N204" s="60">
        <v>2.8</v>
      </c>
    </row>
    <row r="205" spans="1:15" ht="16.350000000000001" customHeight="1" x14ac:dyDescent="0.25">
      <c r="A205" s="71">
        <v>38</v>
      </c>
      <c r="B205" s="71">
        <v>30</v>
      </c>
      <c r="C205" s="60">
        <v>204</v>
      </c>
      <c r="D205" s="60" t="s">
        <v>55</v>
      </c>
      <c r="E205" s="60" t="s">
        <v>823</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808</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776</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703</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816</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780</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703</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781</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776</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824</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703</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783</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776</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784</v>
      </c>
      <c r="K223" s="60" t="s">
        <v>100</v>
      </c>
      <c r="L223" s="60" t="s">
        <v>19</v>
      </c>
      <c r="M223" s="60">
        <v>3.75</v>
      </c>
      <c r="N223" s="60">
        <v>2.8</v>
      </c>
    </row>
    <row r="224" spans="1:15" ht="16.350000000000001" customHeight="1" x14ac:dyDescent="0.25">
      <c r="A224" s="71">
        <v>38</v>
      </c>
      <c r="B224" s="71">
        <v>20</v>
      </c>
      <c r="C224" s="60">
        <v>223</v>
      </c>
      <c r="D224" s="60" t="s">
        <v>55</v>
      </c>
      <c r="E224" s="60" t="s">
        <v>843</v>
      </c>
      <c r="F224" s="60">
        <v>0</v>
      </c>
      <c r="G224" s="60">
        <v>16.399999999999999</v>
      </c>
      <c r="H224" s="60">
        <v>0</v>
      </c>
      <c r="I224" s="60">
        <v>1</v>
      </c>
    </row>
    <row r="225" spans="1:15" ht="16.350000000000001" customHeight="1" x14ac:dyDescent="0.25">
      <c r="A225" s="71">
        <v>38</v>
      </c>
      <c r="B225" s="71">
        <v>21</v>
      </c>
      <c r="C225" s="60">
        <v>224</v>
      </c>
      <c r="D225" s="60" t="s">
        <v>704</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718</v>
      </c>
      <c r="F228" s="60">
        <v>155</v>
      </c>
      <c r="G228" s="60" t="s">
        <v>813</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776</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777</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703</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778</v>
      </c>
      <c r="K233" s="60" t="s">
        <v>100</v>
      </c>
      <c r="L233" s="60" t="s">
        <v>19</v>
      </c>
      <c r="M233" s="60">
        <v>3.75</v>
      </c>
      <c r="N233" s="60">
        <v>2.8</v>
      </c>
    </row>
    <row r="234" spans="1:15" ht="16.350000000000001" customHeight="1" x14ac:dyDescent="0.25">
      <c r="A234" s="71">
        <v>38</v>
      </c>
      <c r="B234" s="71">
        <v>30</v>
      </c>
      <c r="C234" s="60">
        <v>233</v>
      </c>
      <c r="D234" s="60" t="s">
        <v>55</v>
      </c>
      <c r="E234" s="60" t="s">
        <v>844</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808</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776</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703</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845</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346"/>
  <sheetViews>
    <sheetView zoomScale="75" zoomScaleNormal="85" workbookViewId="0">
      <selection activeCell="O1" sqref="O1:O346"/>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849</v>
      </c>
      <c r="N2">
        <v>1</v>
      </c>
      <c r="O2" s="60" t="s">
        <v>290</v>
      </c>
      <c r="P2" t="s">
        <v>738</v>
      </c>
      <c r="Q2" t="s">
        <v>849</v>
      </c>
    </row>
    <row r="3" spans="1:17" x14ac:dyDescent="0.25">
      <c r="A3" t="s">
        <v>23</v>
      </c>
      <c r="B3">
        <v>274</v>
      </c>
      <c r="C3">
        <v>125</v>
      </c>
      <c r="D3">
        <v>2.7</v>
      </c>
      <c r="E3">
        <v>274</v>
      </c>
      <c r="F3">
        <v>125</v>
      </c>
      <c r="G3">
        <v>0</v>
      </c>
      <c r="H3">
        <v>0</v>
      </c>
      <c r="I3">
        <v>0</v>
      </c>
      <c r="K3">
        <v>3000</v>
      </c>
      <c r="N3">
        <v>0</v>
      </c>
      <c r="O3" s="60">
        <v>0</v>
      </c>
      <c r="P3" t="s">
        <v>659</v>
      </c>
      <c r="Q3" t="s">
        <v>880</v>
      </c>
    </row>
    <row r="4" spans="1:17" x14ac:dyDescent="0.25">
      <c r="A4" t="s">
        <v>19</v>
      </c>
      <c r="B4">
        <v>274</v>
      </c>
      <c r="C4">
        <v>125</v>
      </c>
      <c r="D4">
        <v>0</v>
      </c>
      <c r="E4">
        <v>275</v>
      </c>
      <c r="F4">
        <v>100</v>
      </c>
      <c r="G4">
        <v>0</v>
      </c>
      <c r="H4">
        <v>3.75</v>
      </c>
      <c r="I4">
        <v>2.2999999999999998</v>
      </c>
      <c r="J4">
        <v>0.17172613929479411</v>
      </c>
      <c r="K4">
        <v>600</v>
      </c>
      <c r="L4">
        <v>0</v>
      </c>
      <c r="N4">
        <v>2</v>
      </c>
      <c r="O4" s="60" t="s">
        <v>690</v>
      </c>
      <c r="P4" t="s">
        <v>689</v>
      </c>
      <c r="Q4" t="s">
        <v>881</v>
      </c>
    </row>
    <row r="5" spans="1:17" x14ac:dyDescent="0.25">
      <c r="A5" t="s">
        <v>19</v>
      </c>
      <c r="B5">
        <v>275</v>
      </c>
      <c r="C5">
        <v>100</v>
      </c>
      <c r="D5">
        <v>0</v>
      </c>
      <c r="E5">
        <v>145</v>
      </c>
      <c r="F5">
        <v>100</v>
      </c>
      <c r="G5">
        <v>0</v>
      </c>
      <c r="H5">
        <v>3.75</v>
      </c>
      <c r="I5">
        <v>2.2999999999999998</v>
      </c>
      <c r="J5">
        <v>0.89226239970893917</v>
      </c>
      <c r="K5">
        <v>600</v>
      </c>
      <c r="L5">
        <v>0</v>
      </c>
      <c r="N5">
        <v>3</v>
      </c>
      <c r="O5" s="60" t="s">
        <v>692</v>
      </c>
      <c r="P5" t="s">
        <v>691</v>
      </c>
      <c r="Q5" t="s">
        <v>861</v>
      </c>
    </row>
    <row r="6" spans="1:17" x14ac:dyDescent="0.25">
      <c r="A6" t="s">
        <v>19</v>
      </c>
      <c r="B6">
        <v>145</v>
      </c>
      <c r="C6">
        <v>100</v>
      </c>
      <c r="D6">
        <v>0</v>
      </c>
      <c r="E6">
        <v>145</v>
      </c>
      <c r="F6">
        <v>96</v>
      </c>
      <c r="G6">
        <v>0</v>
      </c>
      <c r="H6">
        <v>3.75</v>
      </c>
      <c r="I6">
        <v>2.2999999999999998</v>
      </c>
      <c r="J6">
        <v>2.7454227683351973E-2</v>
      </c>
      <c r="K6">
        <v>600</v>
      </c>
      <c r="L6">
        <v>0</v>
      </c>
      <c r="N6">
        <v>4</v>
      </c>
      <c r="O6" s="60" t="s">
        <v>663</v>
      </c>
      <c r="P6" t="s">
        <v>693</v>
      </c>
      <c r="Q6" t="s">
        <v>882</v>
      </c>
    </row>
    <row r="7" spans="1:17" x14ac:dyDescent="0.25">
      <c r="A7" t="s">
        <v>19</v>
      </c>
      <c r="B7">
        <v>145</v>
      </c>
      <c r="C7">
        <v>96</v>
      </c>
      <c r="D7">
        <v>0</v>
      </c>
      <c r="E7">
        <v>275</v>
      </c>
      <c r="F7">
        <v>96</v>
      </c>
      <c r="G7">
        <v>0</v>
      </c>
      <c r="H7">
        <v>3.75</v>
      </c>
      <c r="I7">
        <v>2.2999999999999998</v>
      </c>
      <c r="J7">
        <v>0.89226239970893917</v>
      </c>
      <c r="K7">
        <v>600</v>
      </c>
      <c r="L7">
        <v>0</v>
      </c>
      <c r="N7">
        <v>5</v>
      </c>
      <c r="O7" s="60" t="s">
        <v>698</v>
      </c>
      <c r="P7" t="s">
        <v>723</v>
      </c>
      <c r="Q7" t="s">
        <v>862</v>
      </c>
    </row>
    <row r="8" spans="1:17" x14ac:dyDescent="0.25">
      <c r="A8" t="s">
        <v>19</v>
      </c>
      <c r="B8">
        <v>275</v>
      </c>
      <c r="C8">
        <v>96</v>
      </c>
      <c r="D8">
        <v>0</v>
      </c>
      <c r="E8">
        <v>275</v>
      </c>
      <c r="F8">
        <v>92</v>
      </c>
      <c r="G8">
        <v>0</v>
      </c>
      <c r="H8">
        <v>3.75</v>
      </c>
      <c r="I8">
        <v>2.2999999999999998</v>
      </c>
      <c r="J8">
        <v>2.7454227683351973E-2</v>
      </c>
      <c r="K8">
        <v>600</v>
      </c>
      <c r="L8">
        <v>0</v>
      </c>
      <c r="N8">
        <v>6</v>
      </c>
      <c r="O8" s="60" t="s">
        <v>664</v>
      </c>
      <c r="P8" t="s">
        <v>724</v>
      </c>
      <c r="Q8" t="s">
        <v>883</v>
      </c>
    </row>
    <row r="9" spans="1:17" x14ac:dyDescent="0.25">
      <c r="A9" t="s">
        <v>19</v>
      </c>
      <c r="B9">
        <v>275</v>
      </c>
      <c r="C9">
        <v>92</v>
      </c>
      <c r="D9">
        <v>0</v>
      </c>
      <c r="E9">
        <v>145</v>
      </c>
      <c r="F9">
        <v>92</v>
      </c>
      <c r="G9">
        <v>0</v>
      </c>
      <c r="H9">
        <v>3.75</v>
      </c>
      <c r="I9">
        <v>2.2999999999999998</v>
      </c>
      <c r="J9">
        <v>0.89226239970893917</v>
      </c>
      <c r="K9">
        <v>600</v>
      </c>
      <c r="L9">
        <v>0</v>
      </c>
      <c r="N9">
        <v>7</v>
      </c>
      <c r="O9" s="60" t="s">
        <v>725</v>
      </c>
      <c r="P9" t="s">
        <v>726</v>
      </c>
      <c r="Q9" t="s">
        <v>861</v>
      </c>
    </row>
    <row r="10" spans="1:17" x14ac:dyDescent="0.25">
      <c r="A10" t="s">
        <v>19</v>
      </c>
      <c r="B10">
        <v>145</v>
      </c>
      <c r="C10">
        <v>92</v>
      </c>
      <c r="D10">
        <v>0</v>
      </c>
      <c r="E10">
        <v>145</v>
      </c>
      <c r="F10">
        <v>88</v>
      </c>
      <c r="G10">
        <v>0</v>
      </c>
      <c r="H10">
        <v>3.75</v>
      </c>
      <c r="I10">
        <v>2.2999999999999998</v>
      </c>
      <c r="J10">
        <v>2.7454227683351973E-2</v>
      </c>
      <c r="K10">
        <v>600</v>
      </c>
      <c r="L10">
        <v>0</v>
      </c>
      <c r="N10">
        <v>7</v>
      </c>
      <c r="O10" s="60" t="s">
        <v>727</v>
      </c>
      <c r="P10" t="s">
        <v>728</v>
      </c>
      <c r="Q10" t="s">
        <v>884</v>
      </c>
    </row>
    <row r="11" spans="1:17" x14ac:dyDescent="0.25">
      <c r="A11" t="s">
        <v>19</v>
      </c>
      <c r="B11">
        <v>145</v>
      </c>
      <c r="C11">
        <v>88</v>
      </c>
      <c r="D11">
        <v>0</v>
      </c>
      <c r="E11">
        <v>275</v>
      </c>
      <c r="F11">
        <v>88</v>
      </c>
      <c r="G11">
        <v>0</v>
      </c>
      <c r="H11">
        <v>3.75</v>
      </c>
      <c r="I11">
        <v>2.2999999999999998</v>
      </c>
      <c r="J11">
        <v>0.89226239970893917</v>
      </c>
      <c r="K11">
        <v>600</v>
      </c>
      <c r="L11">
        <v>0</v>
      </c>
      <c r="N11">
        <v>7</v>
      </c>
      <c r="O11" s="60" t="s">
        <v>729</v>
      </c>
      <c r="P11" t="s">
        <v>730</v>
      </c>
      <c r="Q11" t="s">
        <v>862</v>
      </c>
    </row>
    <row r="12" spans="1:17" x14ac:dyDescent="0.25">
      <c r="A12" t="s">
        <v>19</v>
      </c>
      <c r="B12">
        <v>275</v>
      </c>
      <c r="C12">
        <v>88</v>
      </c>
      <c r="D12">
        <v>0</v>
      </c>
      <c r="E12">
        <v>275</v>
      </c>
      <c r="F12">
        <v>84</v>
      </c>
      <c r="G12">
        <v>0</v>
      </c>
      <c r="H12">
        <v>3.75</v>
      </c>
      <c r="I12">
        <v>2.2999999999999998</v>
      </c>
      <c r="J12">
        <v>2.7454227683351973E-2</v>
      </c>
      <c r="K12">
        <v>600</v>
      </c>
      <c r="L12">
        <v>0</v>
      </c>
      <c r="N12">
        <v>7</v>
      </c>
      <c r="O12" s="60" t="s">
        <v>731</v>
      </c>
      <c r="P12" t="s">
        <v>732</v>
      </c>
      <c r="Q12" t="s">
        <v>885</v>
      </c>
    </row>
    <row r="13" spans="1:17" x14ac:dyDescent="0.25">
      <c r="A13" t="s">
        <v>19</v>
      </c>
      <c r="B13">
        <v>275</v>
      </c>
      <c r="C13">
        <v>84</v>
      </c>
      <c r="D13">
        <v>0</v>
      </c>
      <c r="E13">
        <v>145</v>
      </c>
      <c r="F13">
        <v>84</v>
      </c>
      <c r="G13">
        <v>0</v>
      </c>
      <c r="H13">
        <v>3.75</v>
      </c>
      <c r="I13">
        <v>2.2999999999999998</v>
      </c>
      <c r="J13">
        <v>0.89226239970893917</v>
      </c>
      <c r="K13">
        <v>600</v>
      </c>
      <c r="L13">
        <v>0</v>
      </c>
      <c r="N13">
        <v>7</v>
      </c>
      <c r="O13" s="60" t="s">
        <v>733</v>
      </c>
      <c r="P13" t="s">
        <v>726</v>
      </c>
      <c r="Q13" t="s">
        <v>861</v>
      </c>
    </row>
    <row r="14" spans="1:17" x14ac:dyDescent="0.25">
      <c r="A14" t="s">
        <v>19</v>
      </c>
      <c r="B14">
        <v>145</v>
      </c>
      <c r="C14">
        <v>84</v>
      </c>
      <c r="D14">
        <v>0</v>
      </c>
      <c r="E14">
        <v>145</v>
      </c>
      <c r="F14">
        <v>80</v>
      </c>
      <c r="G14">
        <v>0</v>
      </c>
      <c r="H14">
        <v>3.75</v>
      </c>
      <c r="I14">
        <v>2.2999999999999998</v>
      </c>
      <c r="J14">
        <v>2.7454227683351973E-2</v>
      </c>
      <c r="K14">
        <v>600</v>
      </c>
      <c r="L14">
        <v>0</v>
      </c>
      <c r="N14">
        <v>7</v>
      </c>
      <c r="O14" s="60" t="s">
        <v>734</v>
      </c>
      <c r="P14" t="s">
        <v>728</v>
      </c>
      <c r="Q14" t="s">
        <v>886</v>
      </c>
    </row>
    <row r="15" spans="1:17" x14ac:dyDescent="0.25">
      <c r="A15" t="s">
        <v>19</v>
      </c>
      <c r="B15">
        <v>145</v>
      </c>
      <c r="C15">
        <v>80</v>
      </c>
      <c r="D15">
        <v>0</v>
      </c>
      <c r="E15">
        <v>275</v>
      </c>
      <c r="F15">
        <v>80</v>
      </c>
      <c r="G15">
        <v>0</v>
      </c>
      <c r="H15">
        <v>3.75</v>
      </c>
      <c r="I15">
        <v>2.2999999999999998</v>
      </c>
      <c r="J15">
        <v>0.89226239970893917</v>
      </c>
      <c r="K15">
        <v>600</v>
      </c>
      <c r="L15">
        <v>0</v>
      </c>
      <c r="N15">
        <v>7</v>
      </c>
      <c r="O15" s="60" t="s">
        <v>735</v>
      </c>
      <c r="P15" t="s">
        <v>730</v>
      </c>
      <c r="Q15" t="s">
        <v>862</v>
      </c>
    </row>
    <row r="16" spans="1:17" x14ac:dyDescent="0.25">
      <c r="A16" t="s">
        <v>19</v>
      </c>
      <c r="B16">
        <v>275</v>
      </c>
      <c r="C16">
        <v>80</v>
      </c>
      <c r="D16">
        <v>0</v>
      </c>
      <c r="E16">
        <v>275</v>
      </c>
      <c r="F16">
        <v>76</v>
      </c>
      <c r="G16">
        <v>0</v>
      </c>
      <c r="H16">
        <v>3.75</v>
      </c>
      <c r="I16">
        <v>2.2999999999999998</v>
      </c>
      <c r="J16">
        <v>2.7454227683351973E-2</v>
      </c>
      <c r="K16">
        <v>600</v>
      </c>
      <c r="L16">
        <v>0</v>
      </c>
      <c r="N16">
        <v>7</v>
      </c>
      <c r="O16" s="60" t="s">
        <v>736</v>
      </c>
      <c r="P16" t="s">
        <v>732</v>
      </c>
      <c r="Q16" t="s">
        <v>887</v>
      </c>
    </row>
    <row r="17" spans="1:17" x14ac:dyDescent="0.25">
      <c r="A17" t="s">
        <v>19</v>
      </c>
      <c r="B17">
        <v>275</v>
      </c>
      <c r="C17">
        <v>76</v>
      </c>
      <c r="D17">
        <v>0</v>
      </c>
      <c r="E17">
        <v>145</v>
      </c>
      <c r="F17">
        <v>76</v>
      </c>
      <c r="G17">
        <v>0</v>
      </c>
      <c r="H17">
        <v>3.75</v>
      </c>
      <c r="I17">
        <v>2.2999999999999998</v>
      </c>
      <c r="J17">
        <v>0.89226239970893917</v>
      </c>
      <c r="K17">
        <v>600</v>
      </c>
      <c r="L17">
        <v>0</v>
      </c>
      <c r="N17">
        <v>7</v>
      </c>
      <c r="O17" s="60" t="s">
        <v>866</v>
      </c>
      <c r="P17" t="s">
        <v>726</v>
      </c>
      <c r="Q17" t="s">
        <v>861</v>
      </c>
    </row>
    <row r="18" spans="1:17" x14ac:dyDescent="0.25">
      <c r="A18" t="s">
        <v>19</v>
      </c>
      <c r="B18">
        <v>145</v>
      </c>
      <c r="C18">
        <v>76</v>
      </c>
      <c r="D18">
        <v>0</v>
      </c>
      <c r="E18">
        <v>145</v>
      </c>
      <c r="F18">
        <v>72</v>
      </c>
      <c r="G18">
        <v>0</v>
      </c>
      <c r="H18">
        <v>3.75</v>
      </c>
      <c r="I18">
        <v>2.2999999999999998</v>
      </c>
      <c r="J18">
        <v>2.7454227683351973E-2</v>
      </c>
      <c r="K18">
        <v>600</v>
      </c>
      <c r="L18">
        <v>0</v>
      </c>
      <c r="N18">
        <v>7</v>
      </c>
      <c r="O18" s="60" t="s">
        <v>867</v>
      </c>
      <c r="P18" t="s">
        <v>728</v>
      </c>
      <c r="Q18" t="s">
        <v>888</v>
      </c>
    </row>
    <row r="19" spans="1:17" x14ac:dyDescent="0.25">
      <c r="A19" t="s">
        <v>19</v>
      </c>
      <c r="B19">
        <v>145</v>
      </c>
      <c r="C19">
        <v>72</v>
      </c>
      <c r="D19">
        <v>0</v>
      </c>
      <c r="E19">
        <v>275</v>
      </c>
      <c r="F19">
        <v>72</v>
      </c>
      <c r="G19">
        <v>0</v>
      </c>
      <c r="H19">
        <v>3.75</v>
      </c>
      <c r="I19">
        <v>2.2999999999999998</v>
      </c>
      <c r="J19">
        <v>0.89226239970893917</v>
      </c>
      <c r="K19">
        <v>600</v>
      </c>
      <c r="L19">
        <v>0</v>
      </c>
      <c r="N19">
        <v>7</v>
      </c>
      <c r="O19" s="60" t="s">
        <v>868</v>
      </c>
      <c r="P19" t="s">
        <v>730</v>
      </c>
      <c r="Q19" t="s">
        <v>862</v>
      </c>
    </row>
    <row r="20" spans="1:17" x14ac:dyDescent="0.25">
      <c r="A20" t="s">
        <v>19</v>
      </c>
      <c r="B20">
        <v>275</v>
      </c>
      <c r="C20">
        <v>72</v>
      </c>
      <c r="D20">
        <v>0</v>
      </c>
      <c r="E20">
        <v>275</v>
      </c>
      <c r="F20">
        <v>68</v>
      </c>
      <c r="G20">
        <v>0</v>
      </c>
      <c r="H20">
        <v>3.75</v>
      </c>
      <c r="I20">
        <v>2.2999999999999998</v>
      </c>
      <c r="J20">
        <v>2.7454227683351973E-2</v>
      </c>
      <c r="K20">
        <v>600</v>
      </c>
      <c r="L20">
        <v>0</v>
      </c>
      <c r="N20">
        <v>7</v>
      </c>
      <c r="O20" s="60" t="s">
        <v>869</v>
      </c>
      <c r="P20" t="s">
        <v>732</v>
      </c>
      <c r="Q20" t="s">
        <v>889</v>
      </c>
    </row>
    <row r="21" spans="1:17" x14ac:dyDescent="0.25">
      <c r="A21" t="s">
        <v>19</v>
      </c>
      <c r="B21">
        <v>275</v>
      </c>
      <c r="C21">
        <v>68</v>
      </c>
      <c r="D21">
        <v>0</v>
      </c>
      <c r="E21">
        <v>145</v>
      </c>
      <c r="F21">
        <v>68</v>
      </c>
      <c r="G21">
        <v>0</v>
      </c>
      <c r="H21">
        <v>3.75</v>
      </c>
      <c r="I21">
        <v>2.2999999999999998</v>
      </c>
      <c r="J21">
        <v>0.89226239970893917</v>
      </c>
      <c r="K21">
        <v>600</v>
      </c>
      <c r="L21">
        <v>0</v>
      </c>
      <c r="N21">
        <v>7</v>
      </c>
      <c r="O21" s="60" t="s">
        <v>870</v>
      </c>
      <c r="P21" t="s">
        <v>726</v>
      </c>
      <c r="Q21" t="s">
        <v>861</v>
      </c>
    </row>
    <row r="22" spans="1:17" x14ac:dyDescent="0.25">
      <c r="A22" t="s">
        <v>19</v>
      </c>
      <c r="B22">
        <v>145</v>
      </c>
      <c r="C22">
        <v>68</v>
      </c>
      <c r="D22">
        <v>0</v>
      </c>
      <c r="E22">
        <v>145</v>
      </c>
      <c r="F22">
        <v>64</v>
      </c>
      <c r="G22">
        <v>0</v>
      </c>
      <c r="H22">
        <v>3.75</v>
      </c>
      <c r="I22">
        <v>2.2999999999999998</v>
      </c>
      <c r="J22">
        <v>2.7454227683351973E-2</v>
      </c>
      <c r="K22">
        <v>600</v>
      </c>
      <c r="L22">
        <v>0</v>
      </c>
      <c r="N22">
        <v>7</v>
      </c>
      <c r="O22" s="60" t="s">
        <v>871</v>
      </c>
      <c r="P22" t="s">
        <v>728</v>
      </c>
      <c r="Q22" t="s">
        <v>890</v>
      </c>
    </row>
    <row r="23" spans="1:17" x14ac:dyDescent="0.25">
      <c r="A23" t="s">
        <v>19</v>
      </c>
      <c r="B23">
        <v>145</v>
      </c>
      <c r="C23">
        <v>64</v>
      </c>
      <c r="D23">
        <v>0</v>
      </c>
      <c r="E23">
        <v>275</v>
      </c>
      <c r="F23">
        <v>64</v>
      </c>
      <c r="G23">
        <v>0</v>
      </c>
      <c r="H23">
        <v>3.75</v>
      </c>
      <c r="I23">
        <v>2.2999999999999998</v>
      </c>
      <c r="J23">
        <v>0.89226239970893917</v>
      </c>
      <c r="K23">
        <v>600</v>
      </c>
      <c r="L23">
        <v>0</v>
      </c>
      <c r="N23">
        <v>7</v>
      </c>
      <c r="O23" s="60" t="s">
        <v>872</v>
      </c>
      <c r="P23" t="s">
        <v>730</v>
      </c>
      <c r="Q23" t="s">
        <v>862</v>
      </c>
    </row>
    <row r="24" spans="1:17" x14ac:dyDescent="0.25">
      <c r="A24" t="s">
        <v>19</v>
      </c>
      <c r="B24">
        <v>275</v>
      </c>
      <c r="C24">
        <v>64</v>
      </c>
      <c r="D24">
        <v>0</v>
      </c>
      <c r="E24">
        <v>275</v>
      </c>
      <c r="F24">
        <v>60</v>
      </c>
      <c r="G24">
        <v>0</v>
      </c>
      <c r="H24">
        <v>3.75</v>
      </c>
      <c r="I24">
        <v>2.2999999999999998</v>
      </c>
      <c r="J24">
        <v>2.7454227683351973E-2</v>
      </c>
      <c r="K24">
        <v>600</v>
      </c>
      <c r="L24">
        <v>0</v>
      </c>
      <c r="N24">
        <v>7</v>
      </c>
      <c r="O24" s="60" t="s">
        <v>873</v>
      </c>
      <c r="P24" t="s">
        <v>732</v>
      </c>
      <c r="Q24" t="s">
        <v>891</v>
      </c>
    </row>
    <row r="25" spans="1:17" x14ac:dyDescent="0.25">
      <c r="A25" t="s">
        <v>39</v>
      </c>
      <c r="B25">
        <v>0</v>
      </c>
      <c r="C25">
        <v>0</v>
      </c>
      <c r="N25">
        <v>9</v>
      </c>
      <c r="O25" s="60" t="s">
        <v>737</v>
      </c>
      <c r="P25" t="s">
        <v>696</v>
      </c>
      <c r="Q25" t="s">
        <v>750</v>
      </c>
    </row>
    <row r="26" spans="1:17" x14ac:dyDescent="0.25">
      <c r="A26" t="s">
        <v>697</v>
      </c>
      <c r="B26">
        <v>2.7</v>
      </c>
      <c r="C26">
        <v>3000</v>
      </c>
      <c r="N26">
        <v>9</v>
      </c>
      <c r="O26" s="60" t="s">
        <v>737</v>
      </c>
      <c r="P26" t="s">
        <v>696</v>
      </c>
      <c r="Q26" t="s">
        <v>892</v>
      </c>
    </row>
    <row r="27" spans="1:17" x14ac:dyDescent="0.25">
      <c r="A27" t="s">
        <v>23</v>
      </c>
      <c r="B27">
        <v>275</v>
      </c>
      <c r="C27">
        <v>60</v>
      </c>
      <c r="D27">
        <v>0</v>
      </c>
      <c r="E27">
        <v>275</v>
      </c>
      <c r="F27">
        <v>60</v>
      </c>
      <c r="G27">
        <v>2.7</v>
      </c>
      <c r="H27">
        <v>0</v>
      </c>
      <c r="I27">
        <v>0</v>
      </c>
      <c r="K27">
        <v>3000</v>
      </c>
      <c r="N27">
        <v>0</v>
      </c>
      <c r="O27" s="60">
        <v>0</v>
      </c>
      <c r="P27" t="s">
        <v>659</v>
      </c>
      <c r="Q27" t="s">
        <v>893</v>
      </c>
    </row>
    <row r="28" spans="1:17" x14ac:dyDescent="0.25">
      <c r="A28" t="s">
        <v>23</v>
      </c>
      <c r="B28">
        <v>275</v>
      </c>
      <c r="C28">
        <v>60</v>
      </c>
      <c r="D28">
        <v>2.7</v>
      </c>
      <c r="E28">
        <v>275</v>
      </c>
      <c r="F28">
        <v>100</v>
      </c>
      <c r="G28">
        <v>2.7</v>
      </c>
      <c r="H28">
        <v>0</v>
      </c>
      <c r="I28">
        <v>0</v>
      </c>
      <c r="J28">
        <v>0</v>
      </c>
      <c r="K28">
        <v>5250</v>
      </c>
      <c r="L28">
        <v>0</v>
      </c>
      <c r="N28">
        <v>10</v>
      </c>
      <c r="O28" s="60" t="s">
        <v>685</v>
      </c>
      <c r="P28" t="s">
        <v>740</v>
      </c>
      <c r="Q28" t="s">
        <v>1070</v>
      </c>
    </row>
    <row r="29" spans="1:17" x14ac:dyDescent="0.25">
      <c r="A29" t="s">
        <v>19</v>
      </c>
      <c r="B29">
        <v>275</v>
      </c>
      <c r="C29">
        <v>100</v>
      </c>
      <c r="D29">
        <v>2.7</v>
      </c>
      <c r="E29">
        <v>145</v>
      </c>
      <c r="F29">
        <v>100</v>
      </c>
      <c r="G29">
        <v>2.7</v>
      </c>
      <c r="H29">
        <v>3.75</v>
      </c>
      <c r="I29">
        <v>2.2999999999999998</v>
      </c>
      <c r="J29">
        <v>0.89226239970893917</v>
      </c>
      <c r="K29">
        <v>600</v>
      </c>
      <c r="L29">
        <v>0</v>
      </c>
      <c r="N29">
        <v>11</v>
      </c>
      <c r="O29" s="60" t="s">
        <v>741</v>
      </c>
      <c r="P29" t="s">
        <v>742</v>
      </c>
      <c r="Q29" t="s">
        <v>903</v>
      </c>
    </row>
    <row r="30" spans="1:17" x14ac:dyDescent="0.25">
      <c r="A30" t="s">
        <v>19</v>
      </c>
      <c r="B30">
        <v>145</v>
      </c>
      <c r="C30">
        <v>100</v>
      </c>
      <c r="D30">
        <v>2.7</v>
      </c>
      <c r="E30">
        <v>145</v>
      </c>
      <c r="F30">
        <v>96</v>
      </c>
      <c r="G30">
        <v>2.7</v>
      </c>
      <c r="H30">
        <v>3.75</v>
      </c>
      <c r="I30">
        <v>2.2999999999999998</v>
      </c>
      <c r="J30">
        <v>2.7454227683351973E-2</v>
      </c>
      <c r="K30">
        <v>600</v>
      </c>
      <c r="L30">
        <v>0</v>
      </c>
      <c r="N30">
        <v>12</v>
      </c>
      <c r="O30" s="60" t="s">
        <v>686</v>
      </c>
      <c r="P30" t="s">
        <v>743</v>
      </c>
      <c r="Q30" t="s">
        <v>882</v>
      </c>
    </row>
    <row r="31" spans="1:17" x14ac:dyDescent="0.25">
      <c r="A31" t="s">
        <v>19</v>
      </c>
      <c r="B31">
        <v>145</v>
      </c>
      <c r="C31">
        <v>96</v>
      </c>
      <c r="D31">
        <v>2.7</v>
      </c>
      <c r="E31">
        <v>275</v>
      </c>
      <c r="F31">
        <v>96</v>
      </c>
      <c r="G31">
        <v>2.7</v>
      </c>
      <c r="H31">
        <v>3.75</v>
      </c>
      <c r="I31">
        <v>2.2999999999999998</v>
      </c>
      <c r="J31">
        <v>0.89226239970893917</v>
      </c>
      <c r="K31">
        <v>600</v>
      </c>
      <c r="L31">
        <v>0</v>
      </c>
      <c r="N31">
        <v>13</v>
      </c>
      <c r="O31" s="60" t="s">
        <v>744</v>
      </c>
      <c r="P31" t="s">
        <v>745</v>
      </c>
      <c r="Q31" t="s">
        <v>862</v>
      </c>
    </row>
    <row r="32" spans="1:17" x14ac:dyDescent="0.25">
      <c r="A32" t="s">
        <v>19</v>
      </c>
      <c r="B32">
        <v>275</v>
      </c>
      <c r="C32">
        <v>96</v>
      </c>
      <c r="D32">
        <v>2.7</v>
      </c>
      <c r="E32">
        <v>275</v>
      </c>
      <c r="F32">
        <v>84</v>
      </c>
      <c r="G32">
        <v>2.7</v>
      </c>
      <c r="H32">
        <v>3.75</v>
      </c>
      <c r="I32">
        <v>2.2999999999999998</v>
      </c>
      <c r="J32">
        <v>8.236268305005591E-2</v>
      </c>
      <c r="K32">
        <v>600</v>
      </c>
      <c r="L32">
        <v>0</v>
      </c>
      <c r="N32">
        <v>14</v>
      </c>
      <c r="O32" s="60" t="s">
        <v>687</v>
      </c>
      <c r="P32" t="s">
        <v>752</v>
      </c>
      <c r="Q32" t="s">
        <v>898</v>
      </c>
    </row>
    <row r="33" spans="1:17" x14ac:dyDescent="0.25">
      <c r="A33" t="s">
        <v>19</v>
      </c>
      <c r="B33">
        <v>275</v>
      </c>
      <c r="C33">
        <v>84</v>
      </c>
      <c r="D33">
        <v>2.7</v>
      </c>
      <c r="E33">
        <v>145</v>
      </c>
      <c r="F33">
        <v>84</v>
      </c>
      <c r="G33">
        <v>2.7</v>
      </c>
      <c r="H33">
        <v>3.75</v>
      </c>
      <c r="I33">
        <v>2.2999999999999998</v>
      </c>
      <c r="J33">
        <v>0.89226239970893917</v>
      </c>
      <c r="K33">
        <v>600</v>
      </c>
      <c r="L33">
        <v>0</v>
      </c>
      <c r="N33">
        <v>15</v>
      </c>
      <c r="O33" s="60" t="s">
        <v>852</v>
      </c>
      <c r="P33" t="s">
        <v>894</v>
      </c>
      <c r="Q33" t="s">
        <v>861</v>
      </c>
    </row>
    <row r="34" spans="1:17" x14ac:dyDescent="0.25">
      <c r="A34" t="s">
        <v>19</v>
      </c>
      <c r="B34">
        <v>145</v>
      </c>
      <c r="C34">
        <v>84</v>
      </c>
      <c r="D34">
        <v>2.7</v>
      </c>
      <c r="E34">
        <v>145</v>
      </c>
      <c r="F34">
        <v>80</v>
      </c>
      <c r="G34">
        <v>2.7</v>
      </c>
      <c r="H34">
        <v>3.75</v>
      </c>
      <c r="I34">
        <v>2.2999999999999998</v>
      </c>
      <c r="J34">
        <v>2.7454227683351973E-2</v>
      </c>
      <c r="K34">
        <v>600</v>
      </c>
      <c r="L34">
        <v>0</v>
      </c>
      <c r="N34">
        <v>15</v>
      </c>
      <c r="O34" s="60" t="s">
        <v>853</v>
      </c>
      <c r="P34" t="s">
        <v>746</v>
      </c>
      <c r="Q34" t="s">
        <v>886</v>
      </c>
    </row>
    <row r="35" spans="1:17" x14ac:dyDescent="0.25">
      <c r="A35" t="s">
        <v>19</v>
      </c>
      <c r="B35">
        <v>145</v>
      </c>
      <c r="C35">
        <v>80</v>
      </c>
      <c r="D35">
        <v>2.7</v>
      </c>
      <c r="E35">
        <v>275</v>
      </c>
      <c r="F35">
        <v>80</v>
      </c>
      <c r="G35">
        <v>2.7</v>
      </c>
      <c r="H35">
        <v>3.75</v>
      </c>
      <c r="I35">
        <v>2.2999999999999998</v>
      </c>
      <c r="J35">
        <v>0.89226239970893917</v>
      </c>
      <c r="K35">
        <v>600</v>
      </c>
      <c r="L35">
        <v>0</v>
      </c>
      <c r="N35">
        <v>15</v>
      </c>
      <c r="O35" s="60" t="s">
        <v>854</v>
      </c>
      <c r="P35" t="s">
        <v>747</v>
      </c>
      <c r="Q35" t="s">
        <v>862</v>
      </c>
    </row>
    <row r="36" spans="1:17" x14ac:dyDescent="0.25">
      <c r="A36" t="s">
        <v>19</v>
      </c>
      <c r="B36">
        <v>275</v>
      </c>
      <c r="C36">
        <v>80</v>
      </c>
      <c r="D36">
        <v>2.7</v>
      </c>
      <c r="E36">
        <v>275</v>
      </c>
      <c r="F36">
        <v>68</v>
      </c>
      <c r="G36">
        <v>2.7</v>
      </c>
      <c r="H36">
        <v>3.75</v>
      </c>
      <c r="I36">
        <v>2.2999999999999998</v>
      </c>
      <c r="J36">
        <v>8.236268305005591E-2</v>
      </c>
      <c r="K36">
        <v>600</v>
      </c>
      <c r="L36">
        <v>0</v>
      </c>
      <c r="N36">
        <v>15</v>
      </c>
      <c r="O36" s="60" t="s">
        <v>858</v>
      </c>
      <c r="P36" t="s">
        <v>818</v>
      </c>
      <c r="Q36" t="s">
        <v>899</v>
      </c>
    </row>
    <row r="37" spans="1:17" x14ac:dyDescent="0.25">
      <c r="A37" t="s">
        <v>19</v>
      </c>
      <c r="B37">
        <v>275</v>
      </c>
      <c r="C37">
        <v>68</v>
      </c>
      <c r="D37">
        <v>2.7</v>
      </c>
      <c r="E37">
        <v>145</v>
      </c>
      <c r="F37">
        <v>68</v>
      </c>
      <c r="G37">
        <v>2.7</v>
      </c>
      <c r="H37">
        <v>3.75</v>
      </c>
      <c r="I37">
        <v>2.2999999999999998</v>
      </c>
      <c r="J37">
        <v>0.89226239970893917</v>
      </c>
      <c r="K37">
        <v>600</v>
      </c>
      <c r="L37">
        <v>0</v>
      </c>
      <c r="N37">
        <v>15</v>
      </c>
      <c r="O37" s="60" t="s">
        <v>874</v>
      </c>
      <c r="P37" t="s">
        <v>894</v>
      </c>
      <c r="Q37" t="s">
        <v>861</v>
      </c>
    </row>
    <row r="38" spans="1:17" x14ac:dyDescent="0.25">
      <c r="A38" t="s">
        <v>19</v>
      </c>
      <c r="B38">
        <v>145</v>
      </c>
      <c r="C38">
        <v>68</v>
      </c>
      <c r="D38">
        <v>2.7</v>
      </c>
      <c r="E38">
        <v>145</v>
      </c>
      <c r="F38">
        <v>64</v>
      </c>
      <c r="G38">
        <v>2.7</v>
      </c>
      <c r="H38">
        <v>3.75</v>
      </c>
      <c r="I38">
        <v>2.2999999999999998</v>
      </c>
      <c r="J38">
        <v>2.7454227683351973E-2</v>
      </c>
      <c r="K38">
        <v>600</v>
      </c>
      <c r="L38">
        <v>0</v>
      </c>
      <c r="N38">
        <v>15</v>
      </c>
      <c r="O38" s="60" t="s">
        <v>875</v>
      </c>
      <c r="P38" t="s">
        <v>746</v>
      </c>
      <c r="Q38" t="s">
        <v>890</v>
      </c>
    </row>
    <row r="39" spans="1:17" x14ac:dyDescent="0.25">
      <c r="A39" t="s">
        <v>19</v>
      </c>
      <c r="B39">
        <v>145</v>
      </c>
      <c r="C39">
        <v>64</v>
      </c>
      <c r="D39">
        <v>2.7</v>
      </c>
      <c r="E39">
        <v>275</v>
      </c>
      <c r="F39">
        <v>64</v>
      </c>
      <c r="G39">
        <v>2.7</v>
      </c>
      <c r="H39">
        <v>3.75</v>
      </c>
      <c r="I39">
        <v>2.2999999999999998</v>
      </c>
      <c r="J39">
        <v>0.89226239970893917</v>
      </c>
      <c r="K39">
        <v>600</v>
      </c>
      <c r="L39">
        <v>0</v>
      </c>
      <c r="N39">
        <v>15</v>
      </c>
      <c r="O39" s="60" t="s">
        <v>876</v>
      </c>
      <c r="P39" t="s">
        <v>747</v>
      </c>
      <c r="Q39" t="s">
        <v>862</v>
      </c>
    </row>
    <row r="40" spans="1:17" x14ac:dyDescent="0.25">
      <c r="A40" t="s">
        <v>19</v>
      </c>
      <c r="B40">
        <v>275</v>
      </c>
      <c r="C40">
        <v>64</v>
      </c>
      <c r="D40">
        <v>2.7</v>
      </c>
      <c r="E40">
        <v>275</v>
      </c>
      <c r="F40">
        <v>52</v>
      </c>
      <c r="G40">
        <v>2.7</v>
      </c>
      <c r="H40">
        <v>3.75</v>
      </c>
      <c r="I40">
        <v>2.2999999999999998</v>
      </c>
      <c r="J40">
        <v>8.236268305005591E-2</v>
      </c>
      <c r="K40">
        <v>600</v>
      </c>
      <c r="L40">
        <v>0</v>
      </c>
      <c r="N40">
        <v>15</v>
      </c>
      <c r="O40" s="60" t="s">
        <v>877</v>
      </c>
      <c r="P40" t="s">
        <v>818</v>
      </c>
      <c r="Q40" t="s">
        <v>900</v>
      </c>
    </row>
    <row r="41" spans="1:17" x14ac:dyDescent="0.25">
      <c r="A41" t="s">
        <v>23</v>
      </c>
      <c r="B41">
        <v>275</v>
      </c>
      <c r="C41">
        <v>52</v>
      </c>
      <c r="D41">
        <v>2.7</v>
      </c>
      <c r="E41">
        <v>283</v>
      </c>
      <c r="F41">
        <v>52</v>
      </c>
      <c r="G41">
        <v>8.1000000000000014</v>
      </c>
      <c r="H41">
        <v>0</v>
      </c>
      <c r="I41">
        <v>0</v>
      </c>
      <c r="J41">
        <v>0</v>
      </c>
      <c r="K41">
        <v>3000</v>
      </c>
      <c r="L41">
        <v>0</v>
      </c>
      <c r="N41">
        <v>16</v>
      </c>
      <c r="O41" s="60" t="s">
        <v>751</v>
      </c>
      <c r="P41" t="s">
        <v>754</v>
      </c>
      <c r="Q41" t="s">
        <v>895</v>
      </c>
    </row>
    <row r="42" spans="1:17" x14ac:dyDescent="0.25">
      <c r="A42" t="s">
        <v>23</v>
      </c>
      <c r="B42">
        <v>283</v>
      </c>
      <c r="C42">
        <v>52</v>
      </c>
      <c r="D42">
        <v>8.1000000000000014</v>
      </c>
      <c r="E42">
        <v>283</v>
      </c>
      <c r="F42">
        <v>100</v>
      </c>
      <c r="G42">
        <v>8.1000000000000014</v>
      </c>
      <c r="H42">
        <v>0</v>
      </c>
      <c r="I42">
        <v>0</v>
      </c>
      <c r="J42">
        <v>0</v>
      </c>
      <c r="K42">
        <v>3000</v>
      </c>
      <c r="L42">
        <v>0</v>
      </c>
      <c r="N42">
        <v>17</v>
      </c>
      <c r="O42" s="60" t="s">
        <v>753</v>
      </c>
      <c r="P42" t="s">
        <v>756</v>
      </c>
      <c r="Q42" t="s">
        <v>901</v>
      </c>
    </row>
    <row r="43" spans="1:17" x14ac:dyDescent="0.25">
      <c r="A43" t="s">
        <v>49</v>
      </c>
      <c r="B43" t="s">
        <v>203</v>
      </c>
      <c r="C43">
        <v>3</v>
      </c>
      <c r="N43">
        <v>18</v>
      </c>
      <c r="O43" s="60" t="s">
        <v>755</v>
      </c>
      <c r="P43" t="s">
        <v>761</v>
      </c>
      <c r="Q43" t="s">
        <v>739</v>
      </c>
    </row>
    <row r="44" spans="1:17" x14ac:dyDescent="0.25">
      <c r="A44" t="s">
        <v>23</v>
      </c>
      <c r="B44">
        <v>283</v>
      </c>
      <c r="C44">
        <v>100</v>
      </c>
      <c r="D44">
        <v>8.1000000000000014</v>
      </c>
      <c r="E44">
        <v>141</v>
      </c>
      <c r="F44">
        <v>104</v>
      </c>
      <c r="G44">
        <v>2.7</v>
      </c>
      <c r="H44">
        <v>0</v>
      </c>
      <c r="I44">
        <v>0</v>
      </c>
      <c r="K44">
        <v>3000</v>
      </c>
      <c r="N44">
        <v>0</v>
      </c>
      <c r="O44" s="60">
        <v>0</v>
      </c>
      <c r="P44" t="s">
        <v>659</v>
      </c>
      <c r="Q44" t="s">
        <v>904</v>
      </c>
    </row>
    <row r="45" spans="1:17" x14ac:dyDescent="0.25">
      <c r="A45" t="s">
        <v>19</v>
      </c>
      <c r="B45">
        <v>141</v>
      </c>
      <c r="C45">
        <v>104</v>
      </c>
      <c r="D45">
        <v>2.7</v>
      </c>
      <c r="E45">
        <v>141</v>
      </c>
      <c r="F45">
        <v>92</v>
      </c>
      <c r="G45">
        <v>2.7</v>
      </c>
      <c r="H45">
        <v>3.75</v>
      </c>
      <c r="I45">
        <v>2.1868530000000002</v>
      </c>
      <c r="J45">
        <v>7.8310904572201731E-2</v>
      </c>
      <c r="K45">
        <v>1000</v>
      </c>
      <c r="L45">
        <v>0</v>
      </c>
      <c r="N45">
        <v>19</v>
      </c>
      <c r="O45" s="60" t="s">
        <v>757</v>
      </c>
      <c r="P45" t="s">
        <v>758</v>
      </c>
      <c r="Q45" t="s">
        <v>905</v>
      </c>
    </row>
    <row r="46" spans="1:17" x14ac:dyDescent="0.25">
      <c r="A46" t="s">
        <v>19</v>
      </c>
      <c r="B46">
        <v>141</v>
      </c>
      <c r="C46">
        <v>92</v>
      </c>
      <c r="D46">
        <v>2.7</v>
      </c>
      <c r="E46">
        <v>271</v>
      </c>
      <c r="F46">
        <v>92</v>
      </c>
      <c r="G46">
        <v>2.7</v>
      </c>
      <c r="H46">
        <v>3.75</v>
      </c>
      <c r="I46">
        <v>2.1868530000000002</v>
      </c>
      <c r="J46">
        <v>0.84836813286551871</v>
      </c>
      <c r="K46">
        <v>1000</v>
      </c>
      <c r="L46">
        <v>0</v>
      </c>
      <c r="N46">
        <v>20</v>
      </c>
      <c r="O46" s="60" t="s">
        <v>855</v>
      </c>
      <c r="P46" t="s">
        <v>764</v>
      </c>
      <c r="Q46" t="s">
        <v>906</v>
      </c>
    </row>
    <row r="47" spans="1:17" x14ac:dyDescent="0.25">
      <c r="A47" t="s">
        <v>19</v>
      </c>
      <c r="B47">
        <v>271</v>
      </c>
      <c r="C47">
        <v>92</v>
      </c>
      <c r="D47">
        <v>2.7</v>
      </c>
      <c r="E47">
        <v>271</v>
      </c>
      <c r="F47">
        <v>88</v>
      </c>
      <c r="G47">
        <v>2.7</v>
      </c>
      <c r="H47">
        <v>3.75</v>
      </c>
      <c r="I47">
        <v>2.1868530000000002</v>
      </c>
      <c r="J47">
        <v>2.6103634857400575E-2</v>
      </c>
      <c r="K47">
        <v>1000</v>
      </c>
      <c r="L47">
        <v>0</v>
      </c>
      <c r="N47">
        <v>21</v>
      </c>
      <c r="O47" s="60" t="s">
        <v>907</v>
      </c>
      <c r="P47" t="s">
        <v>765</v>
      </c>
      <c r="Q47" t="s">
        <v>908</v>
      </c>
    </row>
    <row r="48" spans="1:17" x14ac:dyDescent="0.25">
      <c r="A48" t="s">
        <v>19</v>
      </c>
      <c r="B48">
        <v>271</v>
      </c>
      <c r="C48">
        <v>88</v>
      </c>
      <c r="D48">
        <v>2.7</v>
      </c>
      <c r="E48">
        <v>141</v>
      </c>
      <c r="F48">
        <v>88</v>
      </c>
      <c r="G48">
        <v>2.7</v>
      </c>
      <c r="H48">
        <v>3.75</v>
      </c>
      <c r="I48">
        <v>2.1868530000000002</v>
      </c>
      <c r="J48">
        <v>0.84836813286551871</v>
      </c>
      <c r="K48">
        <v>1000</v>
      </c>
      <c r="L48">
        <v>0</v>
      </c>
      <c r="N48">
        <v>22</v>
      </c>
      <c r="O48" s="60" t="s">
        <v>760</v>
      </c>
      <c r="P48" t="s">
        <v>767</v>
      </c>
      <c r="Q48" t="s">
        <v>909</v>
      </c>
    </row>
    <row r="49" spans="1:17" x14ac:dyDescent="0.25">
      <c r="A49" t="s">
        <v>19</v>
      </c>
      <c r="B49">
        <v>141</v>
      </c>
      <c r="C49">
        <v>88</v>
      </c>
      <c r="D49">
        <v>2.7</v>
      </c>
      <c r="E49">
        <v>141</v>
      </c>
      <c r="F49">
        <v>76</v>
      </c>
      <c r="G49">
        <v>2.7</v>
      </c>
      <c r="H49">
        <v>3.75</v>
      </c>
      <c r="I49">
        <v>2.1868530000000002</v>
      </c>
      <c r="J49">
        <v>7.8310904572201731E-2</v>
      </c>
      <c r="K49">
        <v>1000</v>
      </c>
      <c r="L49">
        <v>0</v>
      </c>
      <c r="N49">
        <v>23</v>
      </c>
      <c r="O49" s="60" t="s">
        <v>919</v>
      </c>
      <c r="P49" t="s">
        <v>759</v>
      </c>
      <c r="Q49" t="s">
        <v>920</v>
      </c>
    </row>
    <row r="50" spans="1:17" x14ac:dyDescent="0.25">
      <c r="A50" t="s">
        <v>19</v>
      </c>
      <c r="B50">
        <v>141</v>
      </c>
      <c r="C50">
        <v>76</v>
      </c>
      <c r="D50">
        <v>2.7</v>
      </c>
      <c r="E50">
        <v>271</v>
      </c>
      <c r="F50">
        <v>76</v>
      </c>
      <c r="G50">
        <v>2.7</v>
      </c>
      <c r="H50">
        <v>3.75</v>
      </c>
      <c r="I50">
        <v>2.1868530000000002</v>
      </c>
      <c r="J50">
        <v>0.84836813286551871</v>
      </c>
      <c r="K50">
        <v>1000</v>
      </c>
      <c r="L50">
        <v>0</v>
      </c>
      <c r="N50">
        <v>23</v>
      </c>
      <c r="O50" s="60" t="s">
        <v>921</v>
      </c>
      <c r="P50" t="s">
        <v>819</v>
      </c>
      <c r="Q50" t="s">
        <v>906</v>
      </c>
    </row>
    <row r="51" spans="1:17" x14ac:dyDescent="0.25">
      <c r="A51" t="s">
        <v>19</v>
      </c>
      <c r="B51">
        <v>271</v>
      </c>
      <c r="C51">
        <v>76</v>
      </c>
      <c r="D51">
        <v>2.7</v>
      </c>
      <c r="E51">
        <v>271</v>
      </c>
      <c r="F51">
        <v>72</v>
      </c>
      <c r="G51">
        <v>2.7</v>
      </c>
      <c r="H51">
        <v>3.75</v>
      </c>
      <c r="I51">
        <v>2.1868530000000002</v>
      </c>
      <c r="J51">
        <v>2.6103634857400575E-2</v>
      </c>
      <c r="K51">
        <v>1000</v>
      </c>
      <c r="L51">
        <v>0</v>
      </c>
      <c r="N51">
        <v>23</v>
      </c>
      <c r="O51" s="60" t="s">
        <v>922</v>
      </c>
      <c r="P51" t="s">
        <v>859</v>
      </c>
      <c r="Q51" t="s">
        <v>913</v>
      </c>
    </row>
    <row r="52" spans="1:17" x14ac:dyDescent="0.25">
      <c r="A52" t="s">
        <v>19</v>
      </c>
      <c r="B52">
        <v>271</v>
      </c>
      <c r="C52">
        <v>72</v>
      </c>
      <c r="D52">
        <v>2.7</v>
      </c>
      <c r="E52">
        <v>141</v>
      </c>
      <c r="F52">
        <v>72</v>
      </c>
      <c r="G52">
        <v>2.7</v>
      </c>
      <c r="H52">
        <v>3.75</v>
      </c>
      <c r="I52">
        <v>2.1868530000000002</v>
      </c>
      <c r="J52">
        <v>0.84836813286551871</v>
      </c>
      <c r="K52">
        <v>1000</v>
      </c>
      <c r="L52">
        <v>0</v>
      </c>
      <c r="N52">
        <v>23</v>
      </c>
      <c r="O52" s="60" t="s">
        <v>924</v>
      </c>
      <c r="P52" t="s">
        <v>923</v>
      </c>
      <c r="Q52" t="s">
        <v>909</v>
      </c>
    </row>
    <row r="53" spans="1:17" x14ac:dyDescent="0.25">
      <c r="A53" t="s">
        <v>39</v>
      </c>
      <c r="B53">
        <v>0</v>
      </c>
      <c r="C53">
        <v>0</v>
      </c>
      <c r="N53">
        <v>24</v>
      </c>
      <c r="O53" s="60" t="s">
        <v>763</v>
      </c>
      <c r="P53" t="s">
        <v>699</v>
      </c>
      <c r="Q53" t="s">
        <v>750</v>
      </c>
    </row>
    <row r="54" spans="1:17" x14ac:dyDescent="0.25">
      <c r="A54" t="s">
        <v>697</v>
      </c>
      <c r="B54">
        <v>2.7</v>
      </c>
      <c r="C54">
        <v>5000</v>
      </c>
      <c r="N54">
        <v>24</v>
      </c>
      <c r="O54" s="60" t="s">
        <v>763</v>
      </c>
      <c r="P54" t="s">
        <v>699</v>
      </c>
      <c r="Q54" t="s">
        <v>910</v>
      </c>
    </row>
    <row r="55" spans="1:17" x14ac:dyDescent="0.25">
      <c r="A55" t="s">
        <v>23</v>
      </c>
      <c r="B55">
        <v>141</v>
      </c>
      <c r="C55">
        <v>72</v>
      </c>
      <c r="D55">
        <v>2.7</v>
      </c>
      <c r="E55">
        <v>141</v>
      </c>
      <c r="F55">
        <v>72</v>
      </c>
      <c r="G55">
        <v>5.4</v>
      </c>
      <c r="H55">
        <v>0</v>
      </c>
      <c r="I55">
        <v>0</v>
      </c>
      <c r="K55">
        <v>3000</v>
      </c>
      <c r="N55">
        <v>0</v>
      </c>
      <c r="O55" s="60">
        <v>0</v>
      </c>
      <c r="P55" t="s">
        <v>659</v>
      </c>
      <c r="Q55" t="s">
        <v>911</v>
      </c>
    </row>
    <row r="56" spans="1:17" x14ac:dyDescent="0.25">
      <c r="A56" t="s">
        <v>19</v>
      </c>
      <c r="B56">
        <v>141</v>
      </c>
      <c r="C56">
        <v>72</v>
      </c>
      <c r="D56">
        <v>5.4</v>
      </c>
      <c r="E56">
        <v>271</v>
      </c>
      <c r="F56">
        <v>72</v>
      </c>
      <c r="G56">
        <v>5.4</v>
      </c>
      <c r="H56">
        <v>3.75</v>
      </c>
      <c r="I56">
        <v>2.1868530000000002</v>
      </c>
      <c r="J56">
        <v>0.84836813286551871</v>
      </c>
      <c r="K56">
        <v>1000</v>
      </c>
      <c r="L56">
        <v>0</v>
      </c>
      <c r="N56">
        <v>25</v>
      </c>
      <c r="O56" s="60" t="s">
        <v>912</v>
      </c>
      <c r="P56" t="s">
        <v>769</v>
      </c>
      <c r="Q56" t="s">
        <v>925</v>
      </c>
    </row>
    <row r="57" spans="1:17" x14ac:dyDescent="0.25">
      <c r="A57" t="s">
        <v>19</v>
      </c>
      <c r="B57">
        <v>271</v>
      </c>
      <c r="C57">
        <v>72</v>
      </c>
      <c r="D57">
        <v>5.4</v>
      </c>
      <c r="E57">
        <v>271</v>
      </c>
      <c r="F57">
        <v>76</v>
      </c>
      <c r="G57">
        <v>5.4</v>
      </c>
      <c r="H57">
        <v>3.75</v>
      </c>
      <c r="I57">
        <v>2.1868530000000002</v>
      </c>
      <c r="J57">
        <v>2.6103634857400575E-2</v>
      </c>
      <c r="K57">
        <v>1000</v>
      </c>
      <c r="L57">
        <v>0</v>
      </c>
      <c r="N57">
        <v>26</v>
      </c>
      <c r="O57" s="60" t="s">
        <v>766</v>
      </c>
      <c r="P57" t="s">
        <v>771</v>
      </c>
      <c r="Q57" t="s">
        <v>926</v>
      </c>
    </row>
    <row r="58" spans="1:17" x14ac:dyDescent="0.25">
      <c r="A58" t="s">
        <v>19</v>
      </c>
      <c r="B58">
        <v>271</v>
      </c>
      <c r="C58">
        <v>76</v>
      </c>
      <c r="D58">
        <v>5.4</v>
      </c>
      <c r="E58">
        <v>141</v>
      </c>
      <c r="F58">
        <v>76</v>
      </c>
      <c r="G58">
        <v>5.4</v>
      </c>
      <c r="H58">
        <v>3.75</v>
      </c>
      <c r="I58">
        <v>2.1868530000000002</v>
      </c>
      <c r="J58">
        <v>0.84836813286551871</v>
      </c>
      <c r="K58">
        <v>1000</v>
      </c>
      <c r="L58">
        <v>0</v>
      </c>
      <c r="N58">
        <v>27</v>
      </c>
      <c r="O58" s="60" t="s">
        <v>768</v>
      </c>
      <c r="P58" t="s">
        <v>791</v>
      </c>
      <c r="Q58" t="s">
        <v>909</v>
      </c>
    </row>
    <row r="59" spans="1:17" x14ac:dyDescent="0.25">
      <c r="A59" t="s">
        <v>19</v>
      </c>
      <c r="B59">
        <v>141</v>
      </c>
      <c r="C59">
        <v>76</v>
      </c>
      <c r="D59">
        <v>5.4</v>
      </c>
      <c r="E59">
        <v>141</v>
      </c>
      <c r="F59">
        <v>88</v>
      </c>
      <c r="G59">
        <v>5.4</v>
      </c>
      <c r="H59">
        <v>3.75</v>
      </c>
      <c r="I59">
        <v>2.1868530000000002</v>
      </c>
      <c r="J59">
        <v>7.8310904572201731E-2</v>
      </c>
      <c r="K59">
        <v>1000</v>
      </c>
      <c r="L59">
        <v>0</v>
      </c>
      <c r="N59">
        <v>28</v>
      </c>
      <c r="O59" s="60" t="s">
        <v>770</v>
      </c>
      <c r="P59" t="s">
        <v>793</v>
      </c>
      <c r="Q59" t="s">
        <v>927</v>
      </c>
    </row>
    <row r="60" spans="1:17" x14ac:dyDescent="0.25">
      <c r="A60" t="s">
        <v>19</v>
      </c>
      <c r="B60">
        <v>141</v>
      </c>
      <c r="C60">
        <v>88</v>
      </c>
      <c r="D60">
        <v>5.4</v>
      </c>
      <c r="E60">
        <v>271</v>
      </c>
      <c r="F60">
        <v>88</v>
      </c>
      <c r="G60">
        <v>5.4</v>
      </c>
      <c r="H60">
        <v>3.75</v>
      </c>
      <c r="I60">
        <v>2.1868530000000002</v>
      </c>
      <c r="J60">
        <v>0.84836813286551871</v>
      </c>
      <c r="K60">
        <v>1000</v>
      </c>
      <c r="L60">
        <v>0</v>
      </c>
      <c r="N60">
        <v>29</v>
      </c>
      <c r="O60" s="60" t="s">
        <v>928</v>
      </c>
      <c r="P60" t="s">
        <v>1071</v>
      </c>
      <c r="Q60" t="s">
        <v>906</v>
      </c>
    </row>
    <row r="61" spans="1:17" x14ac:dyDescent="0.25">
      <c r="A61" t="s">
        <v>19</v>
      </c>
      <c r="B61">
        <v>271</v>
      </c>
      <c r="C61">
        <v>88</v>
      </c>
      <c r="D61">
        <v>5.4</v>
      </c>
      <c r="E61">
        <v>271</v>
      </c>
      <c r="F61">
        <v>92</v>
      </c>
      <c r="G61">
        <v>5.4</v>
      </c>
      <c r="H61">
        <v>3.75</v>
      </c>
      <c r="I61">
        <v>2.1868530000000002</v>
      </c>
      <c r="J61">
        <v>2.6103634857400575E-2</v>
      </c>
      <c r="K61">
        <v>1000</v>
      </c>
      <c r="L61">
        <v>0</v>
      </c>
      <c r="N61">
        <v>29</v>
      </c>
      <c r="O61" s="60" t="s">
        <v>929</v>
      </c>
      <c r="P61" t="s">
        <v>772</v>
      </c>
      <c r="Q61" t="s">
        <v>930</v>
      </c>
    </row>
    <row r="62" spans="1:17" x14ac:dyDescent="0.25">
      <c r="A62" t="s">
        <v>19</v>
      </c>
      <c r="B62">
        <v>271</v>
      </c>
      <c r="C62">
        <v>92</v>
      </c>
      <c r="D62">
        <v>5.4</v>
      </c>
      <c r="E62">
        <v>141</v>
      </c>
      <c r="F62">
        <v>92</v>
      </c>
      <c r="G62">
        <v>5.4</v>
      </c>
      <c r="H62">
        <v>3.75</v>
      </c>
      <c r="I62">
        <v>2.1868530000000002</v>
      </c>
      <c r="J62">
        <v>0.84836813286551871</v>
      </c>
      <c r="K62">
        <v>1000</v>
      </c>
      <c r="L62">
        <v>0</v>
      </c>
      <c r="N62">
        <v>29</v>
      </c>
      <c r="O62" s="60" t="s">
        <v>931</v>
      </c>
      <c r="P62" t="s">
        <v>820</v>
      </c>
      <c r="Q62" t="s">
        <v>909</v>
      </c>
    </row>
    <row r="63" spans="1:17" x14ac:dyDescent="0.25">
      <c r="A63" t="s">
        <v>19</v>
      </c>
      <c r="B63">
        <v>141</v>
      </c>
      <c r="C63">
        <v>92</v>
      </c>
      <c r="D63">
        <v>5.4</v>
      </c>
      <c r="E63">
        <v>141</v>
      </c>
      <c r="F63">
        <v>104</v>
      </c>
      <c r="G63">
        <v>5.4</v>
      </c>
      <c r="H63">
        <v>3.75</v>
      </c>
      <c r="I63">
        <v>2.1868530000000002</v>
      </c>
      <c r="J63">
        <v>7.8310904572201731E-2</v>
      </c>
      <c r="K63">
        <v>1000</v>
      </c>
      <c r="L63">
        <v>0</v>
      </c>
      <c r="N63">
        <v>29</v>
      </c>
      <c r="O63" s="60" t="s">
        <v>932</v>
      </c>
      <c r="P63" t="s">
        <v>846</v>
      </c>
      <c r="Q63" t="s">
        <v>933</v>
      </c>
    </row>
    <row r="64" spans="1:17" x14ac:dyDescent="0.25">
      <c r="A64" t="s">
        <v>39</v>
      </c>
      <c r="B64">
        <v>-0.35</v>
      </c>
      <c r="C64">
        <v>80</v>
      </c>
      <c r="N64">
        <v>30</v>
      </c>
      <c r="O64" s="60" t="s">
        <v>773</v>
      </c>
      <c r="P64" t="s">
        <v>701</v>
      </c>
      <c r="Q64" t="s">
        <v>700</v>
      </c>
    </row>
    <row r="65" spans="1:17" x14ac:dyDescent="0.25">
      <c r="A65" t="s">
        <v>697</v>
      </c>
      <c r="B65">
        <v>5.4</v>
      </c>
      <c r="C65">
        <v>5000</v>
      </c>
      <c r="N65">
        <v>30</v>
      </c>
      <c r="O65" s="60" t="s">
        <v>773</v>
      </c>
      <c r="P65" t="s">
        <v>701</v>
      </c>
      <c r="Q65" t="s">
        <v>934</v>
      </c>
    </row>
    <row r="66" spans="1:17" x14ac:dyDescent="0.25">
      <c r="A66" t="s">
        <v>23</v>
      </c>
      <c r="B66">
        <v>141</v>
      </c>
      <c r="C66">
        <v>104</v>
      </c>
      <c r="D66">
        <v>5.4</v>
      </c>
      <c r="E66">
        <v>141</v>
      </c>
      <c r="F66">
        <v>104</v>
      </c>
      <c r="G66">
        <v>10.8</v>
      </c>
      <c r="H66">
        <v>0</v>
      </c>
      <c r="I66">
        <v>0</v>
      </c>
      <c r="K66">
        <v>3000</v>
      </c>
      <c r="N66">
        <v>0</v>
      </c>
      <c r="O66" s="60">
        <v>0</v>
      </c>
      <c r="P66" t="s">
        <v>659</v>
      </c>
      <c r="Q66" t="s">
        <v>935</v>
      </c>
    </row>
    <row r="67" spans="1:17" x14ac:dyDescent="0.25">
      <c r="A67" t="s">
        <v>23</v>
      </c>
      <c r="B67">
        <v>141</v>
      </c>
      <c r="C67">
        <v>104</v>
      </c>
      <c r="D67">
        <v>10.8</v>
      </c>
      <c r="E67">
        <v>141</v>
      </c>
      <c r="F67">
        <v>112</v>
      </c>
      <c r="G67">
        <v>10.8</v>
      </c>
      <c r="H67">
        <v>0</v>
      </c>
      <c r="I67">
        <v>0</v>
      </c>
      <c r="J67">
        <v>0</v>
      </c>
      <c r="K67">
        <v>3000</v>
      </c>
      <c r="L67">
        <v>0</v>
      </c>
      <c r="N67">
        <v>31</v>
      </c>
      <c r="O67" s="60" t="s">
        <v>774</v>
      </c>
      <c r="P67" t="s">
        <v>795</v>
      </c>
      <c r="Q67" t="s">
        <v>936</v>
      </c>
    </row>
    <row r="68" spans="1:17" x14ac:dyDescent="0.25">
      <c r="A68" t="s">
        <v>49</v>
      </c>
      <c r="B68" t="s">
        <v>203</v>
      </c>
      <c r="C68">
        <v>2</v>
      </c>
      <c r="N68">
        <v>32</v>
      </c>
      <c r="O68" s="60" t="s">
        <v>916</v>
      </c>
      <c r="P68" t="s">
        <v>775</v>
      </c>
      <c r="Q68" t="s">
        <v>499</v>
      </c>
    </row>
    <row r="69" spans="1:17" x14ac:dyDescent="0.25">
      <c r="A69" t="s">
        <v>49</v>
      </c>
      <c r="B69" t="s">
        <v>849</v>
      </c>
      <c r="N69">
        <v>34</v>
      </c>
      <c r="O69" s="60" t="s">
        <v>792</v>
      </c>
      <c r="P69" t="s">
        <v>802</v>
      </c>
      <c r="Q69" t="s">
        <v>849</v>
      </c>
    </row>
    <row r="70" spans="1:17" x14ac:dyDescent="0.25">
      <c r="A70" t="s">
        <v>23</v>
      </c>
      <c r="B70">
        <v>141</v>
      </c>
      <c r="C70">
        <v>112</v>
      </c>
      <c r="D70">
        <v>10.8</v>
      </c>
      <c r="E70">
        <v>275</v>
      </c>
      <c r="F70">
        <v>125</v>
      </c>
      <c r="G70">
        <v>10.8</v>
      </c>
      <c r="H70">
        <v>0</v>
      </c>
      <c r="I70">
        <v>0</v>
      </c>
      <c r="K70">
        <v>3000</v>
      </c>
      <c r="N70">
        <v>0</v>
      </c>
      <c r="O70" s="60">
        <v>0</v>
      </c>
      <c r="P70" t="s">
        <v>659</v>
      </c>
      <c r="Q70" t="s">
        <v>1081</v>
      </c>
    </row>
    <row r="71" spans="1:17" x14ac:dyDescent="0.25">
      <c r="A71" t="s">
        <v>19</v>
      </c>
      <c r="B71">
        <v>275</v>
      </c>
      <c r="C71">
        <v>125</v>
      </c>
      <c r="D71">
        <v>10.8</v>
      </c>
      <c r="E71">
        <v>275</v>
      </c>
      <c r="F71">
        <v>100</v>
      </c>
      <c r="G71">
        <v>5.4</v>
      </c>
      <c r="H71">
        <v>3.75</v>
      </c>
      <c r="I71">
        <v>2.2999999999999998</v>
      </c>
      <c r="J71">
        <v>0.17554611885264862</v>
      </c>
      <c r="K71">
        <v>600</v>
      </c>
      <c r="L71">
        <v>0</v>
      </c>
      <c r="N71">
        <v>35</v>
      </c>
      <c r="O71" s="60" t="s">
        <v>794</v>
      </c>
      <c r="P71" t="s">
        <v>797</v>
      </c>
      <c r="Q71" t="s">
        <v>1082</v>
      </c>
    </row>
    <row r="72" spans="1:17" x14ac:dyDescent="0.25">
      <c r="A72" t="s">
        <v>19</v>
      </c>
      <c r="B72">
        <v>275</v>
      </c>
      <c r="C72">
        <v>100</v>
      </c>
      <c r="D72">
        <v>5.4</v>
      </c>
      <c r="E72">
        <v>145</v>
      </c>
      <c r="F72">
        <v>100</v>
      </c>
      <c r="G72">
        <v>5.4</v>
      </c>
      <c r="H72">
        <v>3.75</v>
      </c>
      <c r="I72">
        <v>2.2999999999999998</v>
      </c>
      <c r="J72">
        <v>0.89226239970893917</v>
      </c>
      <c r="K72">
        <v>600</v>
      </c>
      <c r="L72">
        <v>0</v>
      </c>
      <c r="N72">
        <v>36</v>
      </c>
      <c r="O72" s="60" t="s">
        <v>796</v>
      </c>
      <c r="P72" t="s">
        <v>799</v>
      </c>
      <c r="Q72" t="s">
        <v>861</v>
      </c>
    </row>
    <row r="73" spans="1:17" x14ac:dyDescent="0.25">
      <c r="A73" t="s">
        <v>19</v>
      </c>
      <c r="B73">
        <v>145</v>
      </c>
      <c r="C73">
        <v>100</v>
      </c>
      <c r="D73">
        <v>5.4</v>
      </c>
      <c r="E73">
        <v>145</v>
      </c>
      <c r="F73">
        <v>96</v>
      </c>
      <c r="G73">
        <v>5.4</v>
      </c>
      <c r="H73">
        <v>3.75</v>
      </c>
      <c r="I73">
        <v>2.2999999999999998</v>
      </c>
      <c r="J73">
        <v>2.7454227683351973E-2</v>
      </c>
      <c r="K73">
        <v>600</v>
      </c>
      <c r="L73">
        <v>0</v>
      </c>
      <c r="N73">
        <v>37</v>
      </c>
      <c r="O73" s="60" t="s">
        <v>798</v>
      </c>
      <c r="P73" t="s">
        <v>803</v>
      </c>
      <c r="Q73" t="s">
        <v>882</v>
      </c>
    </row>
    <row r="74" spans="1:17" x14ac:dyDescent="0.25">
      <c r="A74" t="s">
        <v>19</v>
      </c>
      <c r="B74">
        <v>145</v>
      </c>
      <c r="C74">
        <v>96</v>
      </c>
      <c r="D74">
        <v>5.4</v>
      </c>
      <c r="E74">
        <v>275</v>
      </c>
      <c r="F74">
        <v>96</v>
      </c>
      <c r="G74">
        <v>5.4</v>
      </c>
      <c r="H74">
        <v>3.75</v>
      </c>
      <c r="I74">
        <v>2.2999999999999998</v>
      </c>
      <c r="J74">
        <v>0.89226239970893917</v>
      </c>
      <c r="K74">
        <v>600</v>
      </c>
      <c r="L74">
        <v>0</v>
      </c>
      <c r="N74">
        <v>38</v>
      </c>
      <c r="O74" s="60" t="s">
        <v>940</v>
      </c>
      <c r="P74" t="s">
        <v>804</v>
      </c>
      <c r="Q74" t="s">
        <v>862</v>
      </c>
    </row>
    <row r="75" spans="1:17" x14ac:dyDescent="0.25">
      <c r="A75" t="s">
        <v>19</v>
      </c>
      <c r="B75">
        <v>275</v>
      </c>
      <c r="C75">
        <v>96</v>
      </c>
      <c r="D75">
        <v>5.4</v>
      </c>
      <c r="E75">
        <v>275</v>
      </c>
      <c r="F75">
        <v>84</v>
      </c>
      <c r="G75">
        <v>5.4</v>
      </c>
      <c r="H75">
        <v>3.75</v>
      </c>
      <c r="I75">
        <v>2.2999999999999998</v>
      </c>
      <c r="J75">
        <v>8.236268305005591E-2</v>
      </c>
      <c r="K75">
        <v>600</v>
      </c>
      <c r="L75">
        <v>0</v>
      </c>
      <c r="N75">
        <v>39</v>
      </c>
      <c r="O75" s="60" t="s">
        <v>801</v>
      </c>
      <c r="P75" t="s">
        <v>805</v>
      </c>
      <c r="Q75" t="s">
        <v>898</v>
      </c>
    </row>
    <row r="76" spans="1:17" x14ac:dyDescent="0.25">
      <c r="A76" t="s">
        <v>19</v>
      </c>
      <c r="B76">
        <v>275</v>
      </c>
      <c r="C76">
        <v>84</v>
      </c>
      <c r="D76">
        <v>5.4</v>
      </c>
      <c r="E76">
        <v>145</v>
      </c>
      <c r="F76">
        <v>84</v>
      </c>
      <c r="G76">
        <v>5.4</v>
      </c>
      <c r="H76">
        <v>3.75</v>
      </c>
      <c r="I76">
        <v>2.2999999999999998</v>
      </c>
      <c r="J76">
        <v>0.89226239970893917</v>
      </c>
      <c r="K76">
        <v>600</v>
      </c>
      <c r="L76">
        <v>0</v>
      </c>
      <c r="N76">
        <v>40</v>
      </c>
      <c r="O76" s="60" t="s">
        <v>941</v>
      </c>
      <c r="P76" t="s">
        <v>800</v>
      </c>
      <c r="Q76" t="s">
        <v>861</v>
      </c>
    </row>
    <row r="77" spans="1:17" x14ac:dyDescent="0.25">
      <c r="A77" t="s">
        <v>19</v>
      </c>
      <c r="B77">
        <v>145</v>
      </c>
      <c r="C77">
        <v>84</v>
      </c>
      <c r="D77">
        <v>5.4</v>
      </c>
      <c r="E77">
        <v>145</v>
      </c>
      <c r="F77">
        <v>80</v>
      </c>
      <c r="G77">
        <v>5.4</v>
      </c>
      <c r="H77">
        <v>3.75</v>
      </c>
      <c r="I77">
        <v>2.2999999999999998</v>
      </c>
      <c r="J77">
        <v>2.7454227683351973E-2</v>
      </c>
      <c r="K77">
        <v>600</v>
      </c>
      <c r="L77">
        <v>0</v>
      </c>
      <c r="N77">
        <v>40</v>
      </c>
      <c r="O77" s="60" t="s">
        <v>942</v>
      </c>
      <c r="P77" t="s">
        <v>809</v>
      </c>
      <c r="Q77" t="s">
        <v>886</v>
      </c>
    </row>
    <row r="78" spans="1:17" x14ac:dyDescent="0.25">
      <c r="A78" t="s">
        <v>19</v>
      </c>
      <c r="B78">
        <v>145</v>
      </c>
      <c r="C78">
        <v>80</v>
      </c>
      <c r="D78">
        <v>5.4</v>
      </c>
      <c r="E78">
        <v>275</v>
      </c>
      <c r="F78">
        <v>80</v>
      </c>
      <c r="G78">
        <v>5.4</v>
      </c>
      <c r="H78">
        <v>3.75</v>
      </c>
      <c r="I78">
        <v>2.2999999999999998</v>
      </c>
      <c r="J78">
        <v>0.89226239970893917</v>
      </c>
      <c r="K78">
        <v>600</v>
      </c>
      <c r="L78">
        <v>0</v>
      </c>
      <c r="N78">
        <v>40</v>
      </c>
      <c r="O78" s="60" t="s">
        <v>943</v>
      </c>
      <c r="P78" t="s">
        <v>810</v>
      </c>
      <c r="Q78" t="s">
        <v>862</v>
      </c>
    </row>
    <row r="79" spans="1:17" x14ac:dyDescent="0.25">
      <c r="A79" t="s">
        <v>19</v>
      </c>
      <c r="B79">
        <v>275</v>
      </c>
      <c r="C79">
        <v>80</v>
      </c>
      <c r="D79">
        <v>5.4</v>
      </c>
      <c r="E79">
        <v>275</v>
      </c>
      <c r="F79">
        <v>68</v>
      </c>
      <c r="G79">
        <v>5.4</v>
      </c>
      <c r="H79">
        <v>3.75</v>
      </c>
      <c r="I79">
        <v>2.2999999999999998</v>
      </c>
      <c r="J79">
        <v>8.236268305005591E-2</v>
      </c>
      <c r="K79">
        <v>600</v>
      </c>
      <c r="L79">
        <v>0</v>
      </c>
      <c r="N79">
        <v>40</v>
      </c>
      <c r="O79" s="60" t="s">
        <v>945</v>
      </c>
      <c r="P79" t="s">
        <v>944</v>
      </c>
      <c r="Q79" t="s">
        <v>899</v>
      </c>
    </row>
    <row r="80" spans="1:17" x14ac:dyDescent="0.25">
      <c r="A80" t="s">
        <v>19</v>
      </c>
      <c r="B80">
        <v>275</v>
      </c>
      <c r="C80">
        <v>68</v>
      </c>
      <c r="D80">
        <v>5.4</v>
      </c>
      <c r="E80">
        <v>145</v>
      </c>
      <c r="F80">
        <v>68</v>
      </c>
      <c r="G80">
        <v>5.4</v>
      </c>
      <c r="H80">
        <v>3.75</v>
      </c>
      <c r="I80">
        <v>2.2999999999999998</v>
      </c>
      <c r="J80">
        <v>0.89226239970893917</v>
      </c>
      <c r="K80">
        <v>600</v>
      </c>
      <c r="L80">
        <v>0</v>
      </c>
      <c r="N80">
        <v>40</v>
      </c>
      <c r="O80" s="60" t="s">
        <v>946</v>
      </c>
      <c r="P80" t="s">
        <v>800</v>
      </c>
      <c r="Q80" t="s">
        <v>861</v>
      </c>
    </row>
    <row r="81" spans="1:17" x14ac:dyDescent="0.25">
      <c r="A81" t="s">
        <v>19</v>
      </c>
      <c r="B81">
        <v>145</v>
      </c>
      <c r="C81">
        <v>68</v>
      </c>
      <c r="D81">
        <v>5.4</v>
      </c>
      <c r="E81">
        <v>145</v>
      </c>
      <c r="F81">
        <v>64</v>
      </c>
      <c r="G81">
        <v>5.4</v>
      </c>
      <c r="H81">
        <v>3.75</v>
      </c>
      <c r="I81">
        <v>2.2999999999999998</v>
      </c>
      <c r="J81">
        <v>2.7454227683351973E-2</v>
      </c>
      <c r="K81">
        <v>600</v>
      </c>
      <c r="L81">
        <v>0</v>
      </c>
      <c r="N81">
        <v>40</v>
      </c>
      <c r="O81" s="60" t="s">
        <v>947</v>
      </c>
      <c r="P81" t="s">
        <v>809</v>
      </c>
      <c r="Q81" t="s">
        <v>890</v>
      </c>
    </row>
    <row r="82" spans="1:17" x14ac:dyDescent="0.25">
      <c r="A82" t="s">
        <v>19</v>
      </c>
      <c r="B82">
        <v>145</v>
      </c>
      <c r="C82">
        <v>64</v>
      </c>
      <c r="D82">
        <v>5.4</v>
      </c>
      <c r="E82">
        <v>275</v>
      </c>
      <c r="F82">
        <v>64</v>
      </c>
      <c r="G82">
        <v>5.4</v>
      </c>
      <c r="H82">
        <v>3.75</v>
      </c>
      <c r="I82">
        <v>2.2999999999999998</v>
      </c>
      <c r="J82">
        <v>0.89226239970893917</v>
      </c>
      <c r="K82">
        <v>600</v>
      </c>
      <c r="L82">
        <v>0</v>
      </c>
      <c r="N82">
        <v>40</v>
      </c>
      <c r="O82" s="60" t="s">
        <v>948</v>
      </c>
      <c r="P82" t="s">
        <v>810</v>
      </c>
      <c r="Q82" t="s">
        <v>862</v>
      </c>
    </row>
    <row r="83" spans="1:17" x14ac:dyDescent="0.25">
      <c r="A83" t="s">
        <v>19</v>
      </c>
      <c r="B83">
        <v>275</v>
      </c>
      <c r="C83">
        <v>64</v>
      </c>
      <c r="D83">
        <v>5.4</v>
      </c>
      <c r="E83">
        <v>275</v>
      </c>
      <c r="F83">
        <v>52</v>
      </c>
      <c r="G83">
        <v>5.4</v>
      </c>
      <c r="H83">
        <v>3.75</v>
      </c>
      <c r="I83">
        <v>2.2999999999999998</v>
      </c>
      <c r="J83">
        <v>8.236268305005591E-2</v>
      </c>
      <c r="K83">
        <v>600</v>
      </c>
      <c r="L83">
        <v>0</v>
      </c>
      <c r="N83">
        <v>40</v>
      </c>
      <c r="O83" s="60" t="s">
        <v>949</v>
      </c>
      <c r="P83" t="s">
        <v>944</v>
      </c>
      <c r="Q83" t="s">
        <v>900</v>
      </c>
    </row>
    <row r="84" spans="1:17" x14ac:dyDescent="0.25">
      <c r="A84" t="s">
        <v>39</v>
      </c>
      <c r="B84">
        <v>0</v>
      </c>
      <c r="C84">
        <v>0</v>
      </c>
      <c r="N84">
        <v>41</v>
      </c>
      <c r="O84" s="60" t="s">
        <v>950</v>
      </c>
      <c r="P84" t="s">
        <v>951</v>
      </c>
      <c r="Q84" t="s">
        <v>750</v>
      </c>
    </row>
    <row r="85" spans="1:17" x14ac:dyDescent="0.25">
      <c r="A85" t="s">
        <v>697</v>
      </c>
      <c r="B85">
        <v>2.7</v>
      </c>
      <c r="C85">
        <v>5000</v>
      </c>
      <c r="N85">
        <v>41</v>
      </c>
      <c r="O85" s="60" t="s">
        <v>950</v>
      </c>
      <c r="P85" t="s">
        <v>951</v>
      </c>
      <c r="Q85" t="s">
        <v>914</v>
      </c>
    </row>
    <row r="86" spans="1:17" x14ac:dyDescent="0.25">
      <c r="A86" t="s">
        <v>23</v>
      </c>
      <c r="B86">
        <v>275</v>
      </c>
      <c r="C86">
        <v>52</v>
      </c>
      <c r="D86">
        <v>5.4</v>
      </c>
      <c r="E86">
        <v>275</v>
      </c>
      <c r="F86">
        <v>52</v>
      </c>
      <c r="G86">
        <v>8.1000000000000014</v>
      </c>
      <c r="H86">
        <v>0</v>
      </c>
      <c r="I86">
        <v>0</v>
      </c>
      <c r="K86">
        <v>3000</v>
      </c>
      <c r="N86">
        <v>0</v>
      </c>
      <c r="O86" s="60">
        <v>0</v>
      </c>
      <c r="P86" t="s">
        <v>659</v>
      </c>
      <c r="Q86" t="s">
        <v>915</v>
      </c>
    </row>
    <row r="87" spans="1:17" x14ac:dyDescent="0.25">
      <c r="A87" t="s">
        <v>19</v>
      </c>
      <c r="B87">
        <v>275</v>
      </c>
      <c r="C87">
        <v>52</v>
      </c>
      <c r="D87">
        <v>8.1000000000000014</v>
      </c>
      <c r="E87">
        <v>275</v>
      </c>
      <c r="F87">
        <v>64</v>
      </c>
      <c r="G87">
        <v>8.1000000000000014</v>
      </c>
      <c r="H87">
        <v>3.75</v>
      </c>
      <c r="I87">
        <v>2.2999999999999998</v>
      </c>
      <c r="J87">
        <v>8.236268305005591E-2</v>
      </c>
      <c r="K87">
        <v>600</v>
      </c>
      <c r="L87">
        <v>0</v>
      </c>
      <c r="N87">
        <v>42</v>
      </c>
      <c r="O87" s="60" t="s">
        <v>952</v>
      </c>
      <c r="P87" t="s">
        <v>806</v>
      </c>
      <c r="Q87" t="s">
        <v>954</v>
      </c>
    </row>
    <row r="88" spans="1:17" x14ac:dyDescent="0.25">
      <c r="A88" t="s">
        <v>19</v>
      </c>
      <c r="B88">
        <v>275</v>
      </c>
      <c r="C88">
        <v>64</v>
      </c>
      <c r="D88">
        <v>8.1000000000000014</v>
      </c>
      <c r="E88">
        <v>145</v>
      </c>
      <c r="F88">
        <v>64</v>
      </c>
      <c r="G88">
        <v>8.1000000000000014</v>
      </c>
      <c r="H88">
        <v>3.75</v>
      </c>
      <c r="I88">
        <v>2.2999999999999998</v>
      </c>
      <c r="J88">
        <v>0.89226239970893917</v>
      </c>
      <c r="K88">
        <v>600</v>
      </c>
      <c r="L88">
        <v>0</v>
      </c>
      <c r="N88">
        <v>43</v>
      </c>
      <c r="O88" s="60" t="s">
        <v>955</v>
      </c>
      <c r="P88" t="s">
        <v>953</v>
      </c>
      <c r="Q88" t="s">
        <v>861</v>
      </c>
    </row>
    <row r="89" spans="1:17" x14ac:dyDescent="0.25">
      <c r="A89" t="s">
        <v>19</v>
      </c>
      <c r="B89">
        <v>145</v>
      </c>
      <c r="C89">
        <v>64</v>
      </c>
      <c r="D89">
        <v>8.1000000000000014</v>
      </c>
      <c r="E89">
        <v>145</v>
      </c>
      <c r="F89">
        <v>68</v>
      </c>
      <c r="G89">
        <v>8.1000000000000014</v>
      </c>
      <c r="H89">
        <v>3.75</v>
      </c>
      <c r="I89">
        <v>2.2999999999999998</v>
      </c>
      <c r="J89">
        <v>2.7454227683351973E-2</v>
      </c>
      <c r="K89">
        <v>600</v>
      </c>
      <c r="L89">
        <v>0</v>
      </c>
      <c r="N89">
        <v>44</v>
      </c>
      <c r="O89" s="60" t="s">
        <v>957</v>
      </c>
      <c r="P89" t="s">
        <v>956</v>
      </c>
      <c r="Q89" t="s">
        <v>889</v>
      </c>
    </row>
    <row r="90" spans="1:17" x14ac:dyDescent="0.25">
      <c r="A90" t="s">
        <v>19</v>
      </c>
      <c r="B90">
        <v>145</v>
      </c>
      <c r="C90">
        <v>68</v>
      </c>
      <c r="D90">
        <v>8.1000000000000014</v>
      </c>
      <c r="E90">
        <v>275</v>
      </c>
      <c r="F90">
        <v>68</v>
      </c>
      <c r="G90">
        <v>8.1000000000000014</v>
      </c>
      <c r="H90">
        <v>3.75</v>
      </c>
      <c r="I90">
        <v>2.2999999999999998</v>
      </c>
      <c r="J90">
        <v>0.89226239970893917</v>
      </c>
      <c r="K90">
        <v>600</v>
      </c>
      <c r="L90">
        <v>0</v>
      </c>
      <c r="N90">
        <v>45</v>
      </c>
      <c r="O90" s="60" t="s">
        <v>959</v>
      </c>
      <c r="P90" t="s">
        <v>958</v>
      </c>
      <c r="Q90" t="s">
        <v>862</v>
      </c>
    </row>
    <row r="91" spans="1:17" x14ac:dyDescent="0.25">
      <c r="A91" t="s">
        <v>19</v>
      </c>
      <c r="B91">
        <v>275</v>
      </c>
      <c r="C91">
        <v>68</v>
      </c>
      <c r="D91">
        <v>8.1000000000000014</v>
      </c>
      <c r="E91">
        <v>275</v>
      </c>
      <c r="F91">
        <v>80</v>
      </c>
      <c r="G91">
        <v>8.1000000000000014</v>
      </c>
      <c r="H91">
        <v>3.75</v>
      </c>
      <c r="I91">
        <v>2.2999999999999998</v>
      </c>
      <c r="J91">
        <v>8.236268305005591E-2</v>
      </c>
      <c r="K91">
        <v>600</v>
      </c>
      <c r="L91">
        <v>0</v>
      </c>
      <c r="N91">
        <v>46</v>
      </c>
      <c r="O91" s="60" t="s">
        <v>961</v>
      </c>
      <c r="P91" t="s">
        <v>807</v>
      </c>
      <c r="Q91" t="s">
        <v>963</v>
      </c>
    </row>
    <row r="92" spans="1:17" x14ac:dyDescent="0.25">
      <c r="A92" t="s">
        <v>19</v>
      </c>
      <c r="B92">
        <v>275</v>
      </c>
      <c r="C92">
        <v>80</v>
      </c>
      <c r="D92">
        <v>8.1000000000000014</v>
      </c>
      <c r="E92">
        <v>145</v>
      </c>
      <c r="F92">
        <v>80</v>
      </c>
      <c r="G92">
        <v>8.1000000000000014</v>
      </c>
      <c r="H92">
        <v>3.75</v>
      </c>
      <c r="I92">
        <v>2.2999999999999998</v>
      </c>
      <c r="J92">
        <v>0.89226239970893917</v>
      </c>
      <c r="K92">
        <v>600</v>
      </c>
      <c r="L92">
        <v>0</v>
      </c>
      <c r="N92">
        <v>46</v>
      </c>
      <c r="O92" s="60" t="s">
        <v>964</v>
      </c>
      <c r="P92" t="s">
        <v>962</v>
      </c>
      <c r="Q92" t="s">
        <v>861</v>
      </c>
    </row>
    <row r="93" spans="1:17" x14ac:dyDescent="0.25">
      <c r="A93" t="s">
        <v>19</v>
      </c>
      <c r="B93">
        <v>145</v>
      </c>
      <c r="C93">
        <v>80</v>
      </c>
      <c r="D93">
        <v>8.1000000000000014</v>
      </c>
      <c r="E93">
        <v>145</v>
      </c>
      <c r="F93">
        <v>84</v>
      </c>
      <c r="G93">
        <v>8.1000000000000014</v>
      </c>
      <c r="H93">
        <v>3.75</v>
      </c>
      <c r="I93">
        <v>2.2999999999999998</v>
      </c>
      <c r="J93">
        <v>2.7454227683351973E-2</v>
      </c>
      <c r="K93">
        <v>600</v>
      </c>
      <c r="L93">
        <v>0</v>
      </c>
      <c r="N93">
        <v>46</v>
      </c>
      <c r="O93" s="60" t="s">
        <v>966</v>
      </c>
      <c r="P93" t="s">
        <v>965</v>
      </c>
      <c r="Q93" t="s">
        <v>885</v>
      </c>
    </row>
    <row r="94" spans="1:17" x14ac:dyDescent="0.25">
      <c r="A94" t="s">
        <v>19</v>
      </c>
      <c r="B94">
        <v>145</v>
      </c>
      <c r="C94">
        <v>84</v>
      </c>
      <c r="D94">
        <v>8.1000000000000014</v>
      </c>
      <c r="E94">
        <v>275</v>
      </c>
      <c r="F94">
        <v>84</v>
      </c>
      <c r="G94">
        <v>8.1000000000000014</v>
      </c>
      <c r="H94">
        <v>3.75</v>
      </c>
      <c r="I94">
        <v>2.2999999999999998</v>
      </c>
      <c r="J94">
        <v>0.89226239970893917</v>
      </c>
      <c r="K94">
        <v>600</v>
      </c>
      <c r="L94">
        <v>0</v>
      </c>
      <c r="N94">
        <v>46</v>
      </c>
      <c r="O94" s="60" t="s">
        <v>968</v>
      </c>
      <c r="P94" t="s">
        <v>967</v>
      </c>
      <c r="Q94" t="s">
        <v>862</v>
      </c>
    </row>
    <row r="95" spans="1:17" x14ac:dyDescent="0.25">
      <c r="A95" t="s">
        <v>19</v>
      </c>
      <c r="B95">
        <v>275</v>
      </c>
      <c r="C95">
        <v>84</v>
      </c>
      <c r="D95">
        <v>8.1000000000000014</v>
      </c>
      <c r="E95">
        <v>275</v>
      </c>
      <c r="F95">
        <v>96</v>
      </c>
      <c r="G95">
        <v>8.1000000000000014</v>
      </c>
      <c r="H95">
        <v>3.75</v>
      </c>
      <c r="I95">
        <v>2.2999999999999998</v>
      </c>
      <c r="J95">
        <v>8.236268305005591E-2</v>
      </c>
      <c r="K95">
        <v>600</v>
      </c>
      <c r="L95">
        <v>0</v>
      </c>
      <c r="N95">
        <v>46</v>
      </c>
      <c r="O95" s="60" t="s">
        <v>969</v>
      </c>
      <c r="P95" t="s">
        <v>807</v>
      </c>
      <c r="Q95" t="s">
        <v>970</v>
      </c>
    </row>
    <row r="96" spans="1:17" x14ac:dyDescent="0.25">
      <c r="A96" t="s">
        <v>19</v>
      </c>
      <c r="B96">
        <v>275</v>
      </c>
      <c r="C96">
        <v>96</v>
      </c>
      <c r="D96">
        <v>8.1000000000000014</v>
      </c>
      <c r="E96">
        <v>145</v>
      </c>
      <c r="F96">
        <v>96</v>
      </c>
      <c r="G96">
        <v>8.1000000000000014</v>
      </c>
      <c r="H96">
        <v>3.75</v>
      </c>
      <c r="I96">
        <v>2.2999999999999998</v>
      </c>
      <c r="J96">
        <v>0.89226239970893917</v>
      </c>
      <c r="K96">
        <v>600</v>
      </c>
      <c r="L96">
        <v>0</v>
      </c>
      <c r="N96">
        <v>46</v>
      </c>
      <c r="O96" s="60" t="s">
        <v>971</v>
      </c>
      <c r="P96" t="s">
        <v>962</v>
      </c>
      <c r="Q96" t="s">
        <v>861</v>
      </c>
    </row>
    <row r="97" spans="1:17" x14ac:dyDescent="0.25">
      <c r="A97" t="s">
        <v>19</v>
      </c>
      <c r="B97">
        <v>145</v>
      </c>
      <c r="C97">
        <v>96</v>
      </c>
      <c r="D97">
        <v>8.1000000000000014</v>
      </c>
      <c r="E97">
        <v>145</v>
      </c>
      <c r="F97">
        <v>100</v>
      </c>
      <c r="G97">
        <v>8.1000000000000014</v>
      </c>
      <c r="H97">
        <v>3.75</v>
      </c>
      <c r="I97">
        <v>2.2999999999999998</v>
      </c>
      <c r="J97">
        <v>2.7454227683351973E-2</v>
      </c>
      <c r="K97">
        <v>600</v>
      </c>
      <c r="L97">
        <v>0</v>
      </c>
      <c r="N97">
        <v>46</v>
      </c>
      <c r="O97" s="60" t="s">
        <v>972</v>
      </c>
      <c r="P97" t="s">
        <v>965</v>
      </c>
      <c r="Q97" t="s">
        <v>973</v>
      </c>
    </row>
    <row r="98" spans="1:17" x14ac:dyDescent="0.25">
      <c r="A98" t="s">
        <v>19</v>
      </c>
      <c r="B98">
        <v>145</v>
      </c>
      <c r="C98">
        <v>100</v>
      </c>
      <c r="D98">
        <v>8.1000000000000014</v>
      </c>
      <c r="E98">
        <v>275</v>
      </c>
      <c r="F98">
        <v>100</v>
      </c>
      <c r="G98">
        <v>8.1000000000000014</v>
      </c>
      <c r="H98">
        <v>3.75</v>
      </c>
      <c r="I98">
        <v>2.2999999999999998</v>
      </c>
      <c r="J98">
        <v>0.89226239970893917</v>
      </c>
      <c r="K98">
        <v>600</v>
      </c>
      <c r="L98">
        <v>0</v>
      </c>
      <c r="N98">
        <v>46</v>
      </c>
      <c r="O98" s="60" t="s">
        <v>974</v>
      </c>
      <c r="P98" t="s">
        <v>967</v>
      </c>
      <c r="Q98" t="s">
        <v>862</v>
      </c>
    </row>
    <row r="99" spans="1:17" x14ac:dyDescent="0.25">
      <c r="A99" t="s">
        <v>23</v>
      </c>
      <c r="B99">
        <v>275</v>
      </c>
      <c r="C99">
        <v>100</v>
      </c>
      <c r="D99">
        <v>8.1000000000000014</v>
      </c>
      <c r="E99">
        <v>283</v>
      </c>
      <c r="F99">
        <v>100</v>
      </c>
      <c r="G99">
        <v>13.500000000000002</v>
      </c>
      <c r="H99">
        <v>0</v>
      </c>
      <c r="I99">
        <v>0</v>
      </c>
      <c r="J99">
        <v>0</v>
      </c>
      <c r="K99">
        <v>3000</v>
      </c>
      <c r="L99">
        <v>0</v>
      </c>
      <c r="N99">
        <v>47</v>
      </c>
      <c r="O99" s="60" t="s">
        <v>975</v>
      </c>
      <c r="P99" t="s">
        <v>960</v>
      </c>
      <c r="Q99" t="s">
        <v>1077</v>
      </c>
    </row>
    <row r="100" spans="1:17" x14ac:dyDescent="0.25">
      <c r="A100" t="s">
        <v>23</v>
      </c>
      <c r="B100">
        <v>283</v>
      </c>
      <c r="C100">
        <v>100</v>
      </c>
      <c r="D100">
        <v>13.500000000000002</v>
      </c>
      <c r="E100">
        <v>283</v>
      </c>
      <c r="F100">
        <v>108</v>
      </c>
      <c r="G100">
        <v>13.500000000000002</v>
      </c>
      <c r="H100">
        <v>0</v>
      </c>
      <c r="I100">
        <v>0</v>
      </c>
      <c r="J100">
        <v>0</v>
      </c>
      <c r="K100">
        <v>3000</v>
      </c>
      <c r="L100">
        <v>0</v>
      </c>
      <c r="N100">
        <v>48</v>
      </c>
      <c r="O100" s="60" t="s">
        <v>977</v>
      </c>
      <c r="P100" t="s">
        <v>976</v>
      </c>
      <c r="Q100" t="s">
        <v>979</v>
      </c>
    </row>
    <row r="101" spans="1:17" x14ac:dyDescent="0.25">
      <c r="A101" t="s">
        <v>49</v>
      </c>
      <c r="B101" t="s">
        <v>203</v>
      </c>
      <c r="C101">
        <v>3</v>
      </c>
      <c r="N101">
        <v>49</v>
      </c>
      <c r="O101" s="60" t="s">
        <v>980</v>
      </c>
      <c r="P101" t="s">
        <v>981</v>
      </c>
      <c r="Q101" t="s">
        <v>739</v>
      </c>
    </row>
    <row r="102" spans="1:17" x14ac:dyDescent="0.25">
      <c r="A102" t="s">
        <v>23</v>
      </c>
      <c r="B102">
        <v>283</v>
      </c>
      <c r="C102">
        <v>108</v>
      </c>
      <c r="D102">
        <v>13.500000000000002</v>
      </c>
      <c r="E102">
        <v>141</v>
      </c>
      <c r="F102">
        <v>104</v>
      </c>
      <c r="G102">
        <v>8.1000000000000014</v>
      </c>
      <c r="H102">
        <v>0</v>
      </c>
      <c r="I102">
        <v>0</v>
      </c>
      <c r="K102">
        <v>3000</v>
      </c>
      <c r="N102">
        <v>0</v>
      </c>
      <c r="O102" s="60">
        <v>0</v>
      </c>
      <c r="P102" t="s">
        <v>659</v>
      </c>
      <c r="Q102" t="s">
        <v>982</v>
      </c>
    </row>
    <row r="103" spans="1:17" x14ac:dyDescent="0.25">
      <c r="A103" t="s">
        <v>19</v>
      </c>
      <c r="B103">
        <v>141</v>
      </c>
      <c r="C103">
        <v>104</v>
      </c>
      <c r="D103">
        <v>8.1000000000000014</v>
      </c>
      <c r="E103">
        <v>141</v>
      </c>
      <c r="F103">
        <v>92</v>
      </c>
      <c r="G103">
        <v>8.1000000000000014</v>
      </c>
      <c r="H103">
        <v>3.75</v>
      </c>
      <c r="I103">
        <v>2.1868530000000002</v>
      </c>
      <c r="J103">
        <v>7.8310904572201731E-2</v>
      </c>
      <c r="K103">
        <v>1000</v>
      </c>
      <c r="L103">
        <v>0</v>
      </c>
      <c r="N103">
        <v>49</v>
      </c>
      <c r="O103" s="60" t="s">
        <v>983</v>
      </c>
      <c r="P103" t="s">
        <v>1072</v>
      </c>
      <c r="Q103" t="s">
        <v>905</v>
      </c>
    </row>
    <row r="104" spans="1:17" x14ac:dyDescent="0.25">
      <c r="A104" t="s">
        <v>19</v>
      </c>
      <c r="B104">
        <v>141</v>
      </c>
      <c r="C104">
        <v>92</v>
      </c>
      <c r="D104">
        <v>8.1000000000000014</v>
      </c>
      <c r="E104">
        <v>271</v>
      </c>
      <c r="F104">
        <v>92</v>
      </c>
      <c r="G104">
        <v>8.1000000000000014</v>
      </c>
      <c r="H104">
        <v>3.75</v>
      </c>
      <c r="I104">
        <v>2.1868530000000002</v>
      </c>
      <c r="J104">
        <v>0.84836813286551871</v>
      </c>
      <c r="K104">
        <v>1000</v>
      </c>
      <c r="L104">
        <v>0</v>
      </c>
      <c r="N104">
        <v>49</v>
      </c>
      <c r="O104" s="60" t="s">
        <v>985</v>
      </c>
      <c r="P104" t="s">
        <v>984</v>
      </c>
      <c r="Q104" t="s">
        <v>906</v>
      </c>
    </row>
    <row r="105" spans="1:17" x14ac:dyDescent="0.25">
      <c r="A105" t="s">
        <v>19</v>
      </c>
      <c r="B105">
        <v>271</v>
      </c>
      <c r="C105">
        <v>92</v>
      </c>
      <c r="D105">
        <v>8.1000000000000014</v>
      </c>
      <c r="E105">
        <v>271</v>
      </c>
      <c r="F105">
        <v>88</v>
      </c>
      <c r="G105">
        <v>8.1000000000000014</v>
      </c>
      <c r="H105">
        <v>3.75</v>
      </c>
      <c r="I105">
        <v>2.1868530000000002</v>
      </c>
      <c r="J105">
        <v>2.6103634857400575E-2</v>
      </c>
      <c r="K105">
        <v>1000</v>
      </c>
      <c r="L105">
        <v>0</v>
      </c>
      <c r="N105">
        <v>49</v>
      </c>
      <c r="O105" s="60" t="s">
        <v>987</v>
      </c>
      <c r="P105" t="s">
        <v>986</v>
      </c>
      <c r="Q105" t="s">
        <v>908</v>
      </c>
    </row>
    <row r="106" spans="1:17" x14ac:dyDescent="0.25">
      <c r="A106" t="s">
        <v>19</v>
      </c>
      <c r="B106">
        <v>271</v>
      </c>
      <c r="C106">
        <v>88</v>
      </c>
      <c r="D106">
        <v>8.1000000000000014</v>
      </c>
      <c r="E106">
        <v>141</v>
      </c>
      <c r="F106">
        <v>88</v>
      </c>
      <c r="G106">
        <v>8.1000000000000014</v>
      </c>
      <c r="H106">
        <v>3.75</v>
      </c>
      <c r="I106">
        <v>2.1868530000000002</v>
      </c>
      <c r="J106">
        <v>0.84836813286551871</v>
      </c>
      <c r="K106">
        <v>1000</v>
      </c>
      <c r="L106">
        <v>0</v>
      </c>
      <c r="N106">
        <v>49</v>
      </c>
      <c r="O106" s="60" t="s">
        <v>989</v>
      </c>
      <c r="P106" t="s">
        <v>988</v>
      </c>
      <c r="Q106" t="s">
        <v>909</v>
      </c>
    </row>
    <row r="107" spans="1:17" x14ac:dyDescent="0.25">
      <c r="A107" t="s">
        <v>19</v>
      </c>
      <c r="B107">
        <v>141</v>
      </c>
      <c r="C107">
        <v>88</v>
      </c>
      <c r="D107">
        <v>8.1000000000000014</v>
      </c>
      <c r="E107">
        <v>141</v>
      </c>
      <c r="F107">
        <v>76</v>
      </c>
      <c r="G107">
        <v>8.1000000000000014</v>
      </c>
      <c r="H107">
        <v>3.75</v>
      </c>
      <c r="I107">
        <v>2.1868530000000002</v>
      </c>
      <c r="J107">
        <v>7.8310904572201731E-2</v>
      </c>
      <c r="K107">
        <v>1000</v>
      </c>
      <c r="L107">
        <v>0</v>
      </c>
      <c r="N107">
        <v>49</v>
      </c>
      <c r="O107" s="60" t="s">
        <v>991</v>
      </c>
      <c r="P107" t="s">
        <v>1073</v>
      </c>
      <c r="Q107" t="s">
        <v>920</v>
      </c>
    </row>
    <row r="108" spans="1:17" x14ac:dyDescent="0.25">
      <c r="A108" t="s">
        <v>19</v>
      </c>
      <c r="B108">
        <v>141</v>
      </c>
      <c r="C108">
        <v>76</v>
      </c>
      <c r="D108">
        <v>8.1000000000000014</v>
      </c>
      <c r="E108">
        <v>271</v>
      </c>
      <c r="F108">
        <v>76</v>
      </c>
      <c r="G108">
        <v>8.1000000000000014</v>
      </c>
      <c r="H108">
        <v>3.75</v>
      </c>
      <c r="I108">
        <v>2.1868530000000002</v>
      </c>
      <c r="J108">
        <v>0.84836813286551871</v>
      </c>
      <c r="K108">
        <v>1000</v>
      </c>
      <c r="L108">
        <v>0</v>
      </c>
      <c r="N108">
        <v>49</v>
      </c>
      <c r="O108" s="60" t="s">
        <v>993</v>
      </c>
      <c r="P108" t="s">
        <v>992</v>
      </c>
      <c r="Q108" t="s">
        <v>906</v>
      </c>
    </row>
    <row r="109" spans="1:17" x14ac:dyDescent="0.25">
      <c r="A109" t="s">
        <v>19</v>
      </c>
      <c r="B109">
        <v>271</v>
      </c>
      <c r="C109">
        <v>76</v>
      </c>
      <c r="D109">
        <v>8.1000000000000014</v>
      </c>
      <c r="E109">
        <v>271</v>
      </c>
      <c r="F109">
        <v>72</v>
      </c>
      <c r="G109">
        <v>8.1000000000000014</v>
      </c>
      <c r="H109">
        <v>3.75</v>
      </c>
      <c r="I109">
        <v>2.1868530000000002</v>
      </c>
      <c r="J109">
        <v>2.6103634857400575E-2</v>
      </c>
      <c r="K109">
        <v>1000</v>
      </c>
      <c r="L109">
        <v>0</v>
      </c>
      <c r="N109">
        <v>49</v>
      </c>
      <c r="O109" s="60" t="s">
        <v>995</v>
      </c>
      <c r="P109" t="s">
        <v>994</v>
      </c>
      <c r="Q109" t="s">
        <v>913</v>
      </c>
    </row>
    <row r="110" spans="1:17" x14ac:dyDescent="0.25">
      <c r="A110" t="s">
        <v>19</v>
      </c>
      <c r="B110">
        <v>271</v>
      </c>
      <c r="C110">
        <v>72</v>
      </c>
      <c r="D110">
        <v>8.1000000000000014</v>
      </c>
      <c r="E110">
        <v>141</v>
      </c>
      <c r="F110">
        <v>72</v>
      </c>
      <c r="G110">
        <v>8.1000000000000014</v>
      </c>
      <c r="H110">
        <v>3.75</v>
      </c>
      <c r="I110">
        <v>2.1868530000000002</v>
      </c>
      <c r="J110">
        <v>0.84836813286551871</v>
      </c>
      <c r="K110">
        <v>1000</v>
      </c>
      <c r="L110">
        <v>0</v>
      </c>
      <c r="N110">
        <v>49</v>
      </c>
      <c r="O110" s="60" t="s">
        <v>997</v>
      </c>
      <c r="P110" t="s">
        <v>996</v>
      </c>
      <c r="Q110" t="s">
        <v>909</v>
      </c>
    </row>
    <row r="111" spans="1:17" x14ac:dyDescent="0.25">
      <c r="A111" t="s">
        <v>39</v>
      </c>
      <c r="B111">
        <v>0</v>
      </c>
      <c r="C111">
        <v>0</v>
      </c>
      <c r="N111">
        <v>49</v>
      </c>
      <c r="O111" s="60" t="s">
        <v>998</v>
      </c>
      <c r="P111" t="s">
        <v>999</v>
      </c>
      <c r="Q111" t="s">
        <v>750</v>
      </c>
    </row>
    <row r="112" spans="1:17" x14ac:dyDescent="0.25">
      <c r="A112" t="s">
        <v>697</v>
      </c>
      <c r="B112">
        <v>2.7</v>
      </c>
      <c r="C112">
        <v>5000</v>
      </c>
      <c r="N112">
        <v>49</v>
      </c>
      <c r="O112" s="60" t="s">
        <v>998</v>
      </c>
      <c r="P112" t="s">
        <v>999</v>
      </c>
      <c r="Q112" t="s">
        <v>934</v>
      </c>
    </row>
    <row r="113" spans="1:17" x14ac:dyDescent="0.25">
      <c r="A113" t="s">
        <v>23</v>
      </c>
      <c r="B113">
        <v>141</v>
      </c>
      <c r="C113">
        <v>72</v>
      </c>
      <c r="D113">
        <v>8.1000000000000014</v>
      </c>
      <c r="E113">
        <v>141</v>
      </c>
      <c r="F113">
        <v>72</v>
      </c>
      <c r="G113">
        <v>10.8</v>
      </c>
      <c r="H113">
        <v>0</v>
      </c>
      <c r="I113">
        <v>0</v>
      </c>
      <c r="K113">
        <v>3000</v>
      </c>
      <c r="N113">
        <v>0</v>
      </c>
      <c r="O113" s="60">
        <v>0</v>
      </c>
      <c r="P113" t="s">
        <v>659</v>
      </c>
      <c r="Q113" t="s">
        <v>935</v>
      </c>
    </row>
    <row r="114" spans="1:17" x14ac:dyDescent="0.25">
      <c r="A114" t="s">
        <v>19</v>
      </c>
      <c r="B114">
        <v>141</v>
      </c>
      <c r="C114">
        <v>72</v>
      </c>
      <c r="D114">
        <v>10.8</v>
      </c>
      <c r="E114">
        <v>271</v>
      </c>
      <c r="F114">
        <v>72</v>
      </c>
      <c r="G114">
        <v>10.8</v>
      </c>
      <c r="H114">
        <v>3.75</v>
      </c>
      <c r="I114">
        <v>2.1868530000000002</v>
      </c>
      <c r="J114">
        <v>0.84836813286551871</v>
      </c>
      <c r="K114">
        <v>1000</v>
      </c>
      <c r="L114">
        <v>0</v>
      </c>
      <c r="N114">
        <v>49</v>
      </c>
      <c r="O114" s="60" t="s">
        <v>1000</v>
      </c>
      <c r="P114" t="s">
        <v>990</v>
      </c>
      <c r="Q114" t="s">
        <v>925</v>
      </c>
    </row>
    <row r="115" spans="1:17" x14ac:dyDescent="0.25">
      <c r="A115" t="s">
        <v>19</v>
      </c>
      <c r="B115">
        <v>271</v>
      </c>
      <c r="C115">
        <v>72</v>
      </c>
      <c r="D115">
        <v>10.8</v>
      </c>
      <c r="E115">
        <v>271</v>
      </c>
      <c r="F115">
        <v>76</v>
      </c>
      <c r="G115">
        <v>10.8</v>
      </c>
      <c r="H115">
        <v>3.75</v>
      </c>
      <c r="I115">
        <v>2.1868530000000002</v>
      </c>
      <c r="J115">
        <v>2.6103634857400575E-2</v>
      </c>
      <c r="K115">
        <v>1000</v>
      </c>
      <c r="L115">
        <v>0</v>
      </c>
      <c r="N115">
        <v>49</v>
      </c>
      <c r="O115" s="60" t="s">
        <v>1002</v>
      </c>
      <c r="P115" t="s">
        <v>1001</v>
      </c>
      <c r="Q115" t="s">
        <v>926</v>
      </c>
    </row>
    <row r="116" spans="1:17" x14ac:dyDescent="0.25">
      <c r="A116" t="s">
        <v>19</v>
      </c>
      <c r="B116">
        <v>271</v>
      </c>
      <c r="C116">
        <v>76</v>
      </c>
      <c r="D116">
        <v>10.8</v>
      </c>
      <c r="E116">
        <v>141</v>
      </c>
      <c r="F116">
        <v>76</v>
      </c>
      <c r="G116">
        <v>10.8</v>
      </c>
      <c r="H116">
        <v>3.75</v>
      </c>
      <c r="I116">
        <v>2.1868530000000002</v>
      </c>
      <c r="J116">
        <v>0.84836813286551871</v>
      </c>
      <c r="K116">
        <v>1000</v>
      </c>
      <c r="L116">
        <v>0</v>
      </c>
      <c r="N116">
        <v>49</v>
      </c>
      <c r="O116" s="60" t="s">
        <v>1004</v>
      </c>
      <c r="P116" t="s">
        <v>1003</v>
      </c>
      <c r="Q116" t="s">
        <v>909</v>
      </c>
    </row>
    <row r="117" spans="1:17" x14ac:dyDescent="0.25">
      <c r="A117" t="s">
        <v>19</v>
      </c>
      <c r="B117">
        <v>141</v>
      </c>
      <c r="C117">
        <v>76</v>
      </c>
      <c r="D117">
        <v>10.8</v>
      </c>
      <c r="E117">
        <v>141</v>
      </c>
      <c r="F117">
        <v>88</v>
      </c>
      <c r="G117">
        <v>10.8</v>
      </c>
      <c r="H117">
        <v>3.75</v>
      </c>
      <c r="I117">
        <v>2.1868530000000002</v>
      </c>
      <c r="J117">
        <v>7.8310904572201731E-2</v>
      </c>
      <c r="K117">
        <v>1000</v>
      </c>
      <c r="L117">
        <v>0</v>
      </c>
      <c r="N117">
        <v>49</v>
      </c>
      <c r="O117" s="60" t="s">
        <v>1006</v>
      </c>
      <c r="P117" t="s">
        <v>1005</v>
      </c>
      <c r="Q117" t="s">
        <v>927</v>
      </c>
    </row>
    <row r="118" spans="1:17" x14ac:dyDescent="0.25">
      <c r="A118" t="s">
        <v>19</v>
      </c>
      <c r="B118">
        <v>141</v>
      </c>
      <c r="C118">
        <v>88</v>
      </c>
      <c r="D118">
        <v>10.8</v>
      </c>
      <c r="E118">
        <v>271</v>
      </c>
      <c r="F118">
        <v>88</v>
      </c>
      <c r="G118">
        <v>10.8</v>
      </c>
      <c r="H118">
        <v>3.75</v>
      </c>
      <c r="I118">
        <v>2.1868530000000002</v>
      </c>
      <c r="J118">
        <v>0.84836813286551871</v>
      </c>
      <c r="K118">
        <v>1000</v>
      </c>
      <c r="L118">
        <v>0</v>
      </c>
      <c r="N118">
        <v>49</v>
      </c>
      <c r="O118" s="60" t="s">
        <v>1008</v>
      </c>
      <c r="P118" t="s">
        <v>1074</v>
      </c>
      <c r="Q118" t="s">
        <v>906</v>
      </c>
    </row>
    <row r="119" spans="1:17" x14ac:dyDescent="0.25">
      <c r="A119" t="s">
        <v>19</v>
      </c>
      <c r="B119">
        <v>271</v>
      </c>
      <c r="C119">
        <v>88</v>
      </c>
      <c r="D119">
        <v>10.8</v>
      </c>
      <c r="E119">
        <v>271</v>
      </c>
      <c r="F119">
        <v>92</v>
      </c>
      <c r="G119">
        <v>10.8</v>
      </c>
      <c r="H119">
        <v>3.75</v>
      </c>
      <c r="I119">
        <v>2.1868530000000002</v>
      </c>
      <c r="J119">
        <v>2.6103634857400575E-2</v>
      </c>
      <c r="K119">
        <v>1000</v>
      </c>
      <c r="L119">
        <v>0</v>
      </c>
      <c r="N119">
        <v>49</v>
      </c>
      <c r="O119" s="60" t="s">
        <v>1010</v>
      </c>
      <c r="P119" t="s">
        <v>1009</v>
      </c>
      <c r="Q119" t="s">
        <v>930</v>
      </c>
    </row>
    <row r="120" spans="1:17" x14ac:dyDescent="0.25">
      <c r="A120" t="s">
        <v>19</v>
      </c>
      <c r="B120">
        <v>271</v>
      </c>
      <c r="C120">
        <v>92</v>
      </c>
      <c r="D120">
        <v>10.8</v>
      </c>
      <c r="E120">
        <v>141</v>
      </c>
      <c r="F120">
        <v>92</v>
      </c>
      <c r="G120">
        <v>10.8</v>
      </c>
      <c r="H120">
        <v>3.75</v>
      </c>
      <c r="I120">
        <v>2.1868530000000002</v>
      </c>
      <c r="J120">
        <v>0.84836813286551871</v>
      </c>
      <c r="K120">
        <v>1000</v>
      </c>
      <c r="L120">
        <v>0</v>
      </c>
      <c r="N120">
        <v>49</v>
      </c>
      <c r="O120" s="60" t="s">
        <v>1012</v>
      </c>
      <c r="P120" t="s">
        <v>1011</v>
      </c>
      <c r="Q120" t="s">
        <v>909</v>
      </c>
    </row>
    <row r="121" spans="1:17" x14ac:dyDescent="0.25">
      <c r="A121" t="s">
        <v>19</v>
      </c>
      <c r="B121">
        <v>141</v>
      </c>
      <c r="C121">
        <v>92</v>
      </c>
      <c r="D121">
        <v>10.8</v>
      </c>
      <c r="E121">
        <v>141</v>
      </c>
      <c r="F121">
        <v>104</v>
      </c>
      <c r="G121">
        <v>10.8</v>
      </c>
      <c r="H121">
        <v>3.75</v>
      </c>
      <c r="I121">
        <v>2.1868530000000002</v>
      </c>
      <c r="J121">
        <v>7.8310904572201731E-2</v>
      </c>
      <c r="K121">
        <v>1000</v>
      </c>
      <c r="L121">
        <v>0</v>
      </c>
      <c r="N121">
        <v>49</v>
      </c>
      <c r="O121" s="60" t="s">
        <v>1014</v>
      </c>
      <c r="P121" t="s">
        <v>1013</v>
      </c>
      <c r="Q121" t="s">
        <v>933</v>
      </c>
    </row>
    <row r="122" spans="1:17" x14ac:dyDescent="0.25">
      <c r="A122" t="s">
        <v>39</v>
      </c>
      <c r="B122">
        <v>-0.35</v>
      </c>
      <c r="C122">
        <v>80</v>
      </c>
      <c r="N122">
        <v>49</v>
      </c>
      <c r="O122" s="60" t="s">
        <v>1015</v>
      </c>
      <c r="P122" t="s">
        <v>1016</v>
      </c>
      <c r="Q122" t="s">
        <v>700</v>
      </c>
    </row>
    <row r="123" spans="1:17" x14ac:dyDescent="0.25">
      <c r="A123" t="s">
        <v>697</v>
      </c>
      <c r="B123">
        <v>5.4</v>
      </c>
      <c r="C123">
        <v>5000</v>
      </c>
      <c r="N123">
        <v>49</v>
      </c>
      <c r="O123" s="60" t="s">
        <v>1015</v>
      </c>
      <c r="P123" t="s">
        <v>1016</v>
      </c>
      <c r="Q123" t="s">
        <v>1017</v>
      </c>
    </row>
    <row r="124" spans="1:17" x14ac:dyDescent="0.25">
      <c r="A124" t="s">
        <v>23</v>
      </c>
      <c r="B124">
        <v>141</v>
      </c>
      <c r="C124">
        <v>104</v>
      </c>
      <c r="D124">
        <v>10.8</v>
      </c>
      <c r="E124">
        <v>141</v>
      </c>
      <c r="F124">
        <v>104</v>
      </c>
      <c r="G124">
        <v>16.200000000000003</v>
      </c>
      <c r="H124">
        <v>0</v>
      </c>
      <c r="I124">
        <v>0</v>
      </c>
      <c r="K124">
        <v>3000</v>
      </c>
      <c r="N124">
        <v>0</v>
      </c>
      <c r="O124" s="60">
        <v>0</v>
      </c>
      <c r="P124" t="s">
        <v>659</v>
      </c>
      <c r="Q124" t="s">
        <v>1018</v>
      </c>
    </row>
    <row r="125" spans="1:17" x14ac:dyDescent="0.25">
      <c r="A125" t="s">
        <v>23</v>
      </c>
      <c r="B125">
        <v>141</v>
      </c>
      <c r="C125">
        <v>104</v>
      </c>
      <c r="D125">
        <v>16.200000000000003</v>
      </c>
      <c r="E125">
        <v>141</v>
      </c>
      <c r="F125">
        <v>112</v>
      </c>
      <c r="G125">
        <v>16.200000000000003</v>
      </c>
      <c r="H125">
        <v>0</v>
      </c>
      <c r="I125">
        <v>0</v>
      </c>
      <c r="J125">
        <v>0</v>
      </c>
      <c r="K125">
        <v>3000</v>
      </c>
      <c r="L125">
        <v>0</v>
      </c>
      <c r="N125">
        <v>49</v>
      </c>
      <c r="O125" s="60" t="s">
        <v>1019</v>
      </c>
      <c r="P125" t="s">
        <v>1007</v>
      </c>
      <c r="Q125" t="s">
        <v>936</v>
      </c>
    </row>
    <row r="126" spans="1:17" x14ac:dyDescent="0.25">
      <c r="A126" t="s">
        <v>49</v>
      </c>
      <c r="B126" t="s">
        <v>203</v>
      </c>
      <c r="C126">
        <v>2</v>
      </c>
      <c r="N126">
        <v>49</v>
      </c>
      <c r="O126" s="60" t="s">
        <v>1021</v>
      </c>
      <c r="P126" t="s">
        <v>1022</v>
      </c>
      <c r="Q126" t="s">
        <v>499</v>
      </c>
    </row>
    <row r="127" spans="1:17" x14ac:dyDescent="0.25">
      <c r="A127" t="s">
        <v>49</v>
      </c>
      <c r="B127" t="s">
        <v>849</v>
      </c>
      <c r="N127">
        <v>49</v>
      </c>
      <c r="O127" s="60" t="s">
        <v>1023</v>
      </c>
      <c r="P127" t="s">
        <v>1024</v>
      </c>
      <c r="Q127" t="s">
        <v>849</v>
      </c>
    </row>
    <row r="128" spans="1:17" x14ac:dyDescent="0.25">
      <c r="A128" t="s">
        <v>23</v>
      </c>
      <c r="B128">
        <v>141</v>
      </c>
      <c r="C128">
        <v>112</v>
      </c>
      <c r="D128">
        <v>16.200000000000003</v>
      </c>
      <c r="E128">
        <v>275</v>
      </c>
      <c r="F128">
        <v>125</v>
      </c>
      <c r="G128">
        <v>16.200000000000003</v>
      </c>
      <c r="H128">
        <v>0</v>
      </c>
      <c r="I128">
        <v>0</v>
      </c>
      <c r="K128">
        <v>3000</v>
      </c>
      <c r="N128">
        <v>0</v>
      </c>
      <c r="O128" s="60">
        <v>0</v>
      </c>
      <c r="P128" t="s">
        <v>659</v>
      </c>
      <c r="Q128" t="s">
        <v>1081</v>
      </c>
    </row>
    <row r="129" spans="1:17" x14ac:dyDescent="0.25">
      <c r="A129" t="s">
        <v>19</v>
      </c>
      <c r="B129">
        <v>275</v>
      </c>
      <c r="C129">
        <v>125</v>
      </c>
      <c r="D129">
        <v>16.200000000000003</v>
      </c>
      <c r="E129">
        <v>275</v>
      </c>
      <c r="F129">
        <v>100</v>
      </c>
      <c r="G129">
        <v>10.8</v>
      </c>
      <c r="H129">
        <v>3.75</v>
      </c>
      <c r="I129">
        <v>2.2999999999999998</v>
      </c>
      <c r="J129">
        <v>0.17554611885264862</v>
      </c>
      <c r="K129">
        <v>600</v>
      </c>
      <c r="L129">
        <v>0</v>
      </c>
      <c r="N129">
        <v>49</v>
      </c>
      <c r="O129" s="60" t="s">
        <v>1025</v>
      </c>
      <c r="P129" t="s">
        <v>1020</v>
      </c>
      <c r="Q129" t="s">
        <v>1083</v>
      </c>
    </row>
    <row r="130" spans="1:17" x14ac:dyDescent="0.25">
      <c r="A130" t="s">
        <v>19</v>
      </c>
      <c r="B130">
        <v>275</v>
      </c>
      <c r="C130">
        <v>100</v>
      </c>
      <c r="D130">
        <v>10.8</v>
      </c>
      <c r="E130">
        <v>145</v>
      </c>
      <c r="F130">
        <v>100</v>
      </c>
      <c r="G130">
        <v>10.8</v>
      </c>
      <c r="H130">
        <v>3.75</v>
      </c>
      <c r="I130">
        <v>2.2999999999999998</v>
      </c>
      <c r="J130">
        <v>0.89226239970893917</v>
      </c>
      <c r="K130">
        <v>600</v>
      </c>
      <c r="L130">
        <v>0</v>
      </c>
      <c r="N130">
        <v>49</v>
      </c>
      <c r="O130" s="60" t="s">
        <v>1027</v>
      </c>
      <c r="P130" t="s">
        <v>1026</v>
      </c>
      <c r="Q130" t="s">
        <v>861</v>
      </c>
    </row>
    <row r="131" spans="1:17" x14ac:dyDescent="0.25">
      <c r="A131" t="s">
        <v>19</v>
      </c>
      <c r="B131">
        <v>145</v>
      </c>
      <c r="C131">
        <v>100</v>
      </c>
      <c r="D131">
        <v>10.8</v>
      </c>
      <c r="E131">
        <v>145</v>
      </c>
      <c r="F131">
        <v>96</v>
      </c>
      <c r="G131">
        <v>10.8</v>
      </c>
      <c r="H131">
        <v>3.75</v>
      </c>
      <c r="I131">
        <v>2.2999999999999998</v>
      </c>
      <c r="J131">
        <v>2.7454227683351973E-2</v>
      </c>
      <c r="K131">
        <v>600</v>
      </c>
      <c r="L131">
        <v>0</v>
      </c>
      <c r="N131">
        <v>49</v>
      </c>
      <c r="O131" s="60" t="s">
        <v>1029</v>
      </c>
      <c r="P131" t="s">
        <v>1028</v>
      </c>
      <c r="Q131" t="s">
        <v>882</v>
      </c>
    </row>
    <row r="132" spans="1:17" x14ac:dyDescent="0.25">
      <c r="A132" t="s">
        <v>19</v>
      </c>
      <c r="B132">
        <v>145</v>
      </c>
      <c r="C132">
        <v>96</v>
      </c>
      <c r="D132">
        <v>10.8</v>
      </c>
      <c r="E132">
        <v>275</v>
      </c>
      <c r="F132">
        <v>96</v>
      </c>
      <c r="G132">
        <v>10.8</v>
      </c>
      <c r="H132">
        <v>3.75</v>
      </c>
      <c r="I132">
        <v>2.2999999999999998</v>
      </c>
      <c r="J132">
        <v>0.89226239970893917</v>
      </c>
      <c r="K132">
        <v>600</v>
      </c>
      <c r="L132">
        <v>0</v>
      </c>
      <c r="N132">
        <v>49</v>
      </c>
      <c r="O132" s="60" t="s">
        <v>1031</v>
      </c>
      <c r="P132" t="s">
        <v>1030</v>
      </c>
      <c r="Q132" t="s">
        <v>862</v>
      </c>
    </row>
    <row r="133" spans="1:17" x14ac:dyDescent="0.25">
      <c r="A133" t="s">
        <v>19</v>
      </c>
      <c r="B133">
        <v>275</v>
      </c>
      <c r="C133">
        <v>96</v>
      </c>
      <c r="D133">
        <v>10.8</v>
      </c>
      <c r="E133">
        <v>275</v>
      </c>
      <c r="F133">
        <v>84</v>
      </c>
      <c r="G133">
        <v>10.8</v>
      </c>
      <c r="H133">
        <v>3.75</v>
      </c>
      <c r="I133">
        <v>2.2999999999999998</v>
      </c>
      <c r="J133">
        <v>8.236268305005591E-2</v>
      </c>
      <c r="K133">
        <v>600</v>
      </c>
      <c r="L133">
        <v>0</v>
      </c>
      <c r="N133">
        <v>49</v>
      </c>
      <c r="O133" s="60" t="s">
        <v>1033</v>
      </c>
      <c r="P133" t="s">
        <v>1032</v>
      </c>
      <c r="Q133" t="s">
        <v>898</v>
      </c>
    </row>
    <row r="134" spans="1:17" x14ac:dyDescent="0.25">
      <c r="A134" t="s">
        <v>19</v>
      </c>
      <c r="B134">
        <v>275</v>
      </c>
      <c r="C134">
        <v>84</v>
      </c>
      <c r="D134">
        <v>10.8</v>
      </c>
      <c r="E134">
        <v>145</v>
      </c>
      <c r="F134">
        <v>84</v>
      </c>
      <c r="G134">
        <v>10.8</v>
      </c>
      <c r="H134">
        <v>3.75</v>
      </c>
      <c r="I134">
        <v>2.2999999999999998</v>
      </c>
      <c r="J134">
        <v>0.89226239970893917</v>
      </c>
      <c r="K134">
        <v>600</v>
      </c>
      <c r="L134">
        <v>0</v>
      </c>
      <c r="N134">
        <v>49</v>
      </c>
      <c r="O134" s="60" t="s">
        <v>1035</v>
      </c>
      <c r="P134" t="s">
        <v>1075</v>
      </c>
      <c r="Q134" t="s">
        <v>861</v>
      </c>
    </row>
    <row r="135" spans="1:17" x14ac:dyDescent="0.25">
      <c r="A135" t="s">
        <v>19</v>
      </c>
      <c r="B135">
        <v>145</v>
      </c>
      <c r="C135">
        <v>84</v>
      </c>
      <c r="D135">
        <v>10.8</v>
      </c>
      <c r="E135">
        <v>145</v>
      </c>
      <c r="F135">
        <v>80</v>
      </c>
      <c r="G135">
        <v>10.8</v>
      </c>
      <c r="H135">
        <v>3.75</v>
      </c>
      <c r="I135">
        <v>2.2999999999999998</v>
      </c>
      <c r="J135">
        <v>2.7454227683351973E-2</v>
      </c>
      <c r="K135">
        <v>600</v>
      </c>
      <c r="L135">
        <v>0</v>
      </c>
      <c r="N135">
        <v>49</v>
      </c>
      <c r="O135" s="60" t="s">
        <v>1037</v>
      </c>
      <c r="P135" t="s">
        <v>1036</v>
      </c>
      <c r="Q135" t="s">
        <v>886</v>
      </c>
    </row>
    <row r="136" spans="1:17" x14ac:dyDescent="0.25">
      <c r="A136" t="s">
        <v>19</v>
      </c>
      <c r="B136">
        <v>145</v>
      </c>
      <c r="C136">
        <v>80</v>
      </c>
      <c r="D136">
        <v>10.8</v>
      </c>
      <c r="E136">
        <v>275</v>
      </c>
      <c r="F136">
        <v>80</v>
      </c>
      <c r="G136">
        <v>10.8</v>
      </c>
      <c r="H136">
        <v>3.75</v>
      </c>
      <c r="I136">
        <v>2.2999999999999998</v>
      </c>
      <c r="J136">
        <v>0.89226239970893917</v>
      </c>
      <c r="K136">
        <v>600</v>
      </c>
      <c r="L136">
        <v>0</v>
      </c>
      <c r="N136">
        <v>49</v>
      </c>
      <c r="O136" s="60" t="s">
        <v>1039</v>
      </c>
      <c r="P136" t="s">
        <v>1038</v>
      </c>
      <c r="Q136" t="s">
        <v>862</v>
      </c>
    </row>
    <row r="137" spans="1:17" x14ac:dyDescent="0.25">
      <c r="A137" t="s">
        <v>19</v>
      </c>
      <c r="B137">
        <v>275</v>
      </c>
      <c r="C137">
        <v>80</v>
      </c>
      <c r="D137">
        <v>10.8</v>
      </c>
      <c r="E137">
        <v>275</v>
      </c>
      <c r="F137">
        <v>68</v>
      </c>
      <c r="G137">
        <v>10.8</v>
      </c>
      <c r="H137">
        <v>3.75</v>
      </c>
      <c r="I137">
        <v>2.2999999999999998</v>
      </c>
      <c r="J137">
        <v>8.236268305005591E-2</v>
      </c>
      <c r="K137">
        <v>600</v>
      </c>
      <c r="L137">
        <v>0</v>
      </c>
      <c r="N137">
        <v>49</v>
      </c>
      <c r="O137" s="60" t="s">
        <v>1041</v>
      </c>
      <c r="P137" t="s">
        <v>1040</v>
      </c>
      <c r="Q137" t="s">
        <v>899</v>
      </c>
    </row>
    <row r="138" spans="1:17" x14ac:dyDescent="0.25">
      <c r="A138" t="s">
        <v>19</v>
      </c>
      <c r="B138">
        <v>275</v>
      </c>
      <c r="C138">
        <v>68</v>
      </c>
      <c r="D138">
        <v>10.8</v>
      </c>
      <c r="E138">
        <v>145</v>
      </c>
      <c r="F138">
        <v>68</v>
      </c>
      <c r="G138">
        <v>10.8</v>
      </c>
      <c r="H138">
        <v>3.75</v>
      </c>
      <c r="I138">
        <v>2.2999999999999998</v>
      </c>
      <c r="J138">
        <v>0.89226239970893917</v>
      </c>
      <c r="K138">
        <v>600</v>
      </c>
      <c r="L138">
        <v>0</v>
      </c>
      <c r="N138">
        <v>49</v>
      </c>
      <c r="O138" s="60" t="s">
        <v>1042</v>
      </c>
      <c r="P138" t="s">
        <v>1075</v>
      </c>
      <c r="Q138" t="s">
        <v>861</v>
      </c>
    </row>
    <row r="139" spans="1:17" x14ac:dyDescent="0.25">
      <c r="A139" t="s">
        <v>19</v>
      </c>
      <c r="B139">
        <v>145</v>
      </c>
      <c r="C139">
        <v>68</v>
      </c>
      <c r="D139">
        <v>10.8</v>
      </c>
      <c r="E139">
        <v>145</v>
      </c>
      <c r="F139">
        <v>64</v>
      </c>
      <c r="G139">
        <v>10.8</v>
      </c>
      <c r="H139">
        <v>3.75</v>
      </c>
      <c r="I139">
        <v>2.2999999999999998</v>
      </c>
      <c r="J139">
        <v>2.7454227683351973E-2</v>
      </c>
      <c r="K139">
        <v>600</v>
      </c>
      <c r="L139">
        <v>0</v>
      </c>
      <c r="N139">
        <v>49</v>
      </c>
      <c r="O139" s="60" t="s">
        <v>1043</v>
      </c>
      <c r="P139" t="s">
        <v>1036</v>
      </c>
      <c r="Q139" t="s">
        <v>890</v>
      </c>
    </row>
    <row r="140" spans="1:17" x14ac:dyDescent="0.25">
      <c r="A140" t="s">
        <v>19</v>
      </c>
      <c r="B140">
        <v>145</v>
      </c>
      <c r="C140">
        <v>64</v>
      </c>
      <c r="D140">
        <v>10.8</v>
      </c>
      <c r="E140">
        <v>275</v>
      </c>
      <c r="F140">
        <v>64</v>
      </c>
      <c r="G140">
        <v>10.8</v>
      </c>
      <c r="H140">
        <v>3.75</v>
      </c>
      <c r="I140">
        <v>2.2999999999999998</v>
      </c>
      <c r="J140">
        <v>0.89226239970893917</v>
      </c>
      <c r="K140">
        <v>600</v>
      </c>
      <c r="L140">
        <v>0</v>
      </c>
      <c r="N140">
        <v>49</v>
      </c>
      <c r="O140" s="60" t="s">
        <v>1044</v>
      </c>
      <c r="P140" t="s">
        <v>1038</v>
      </c>
      <c r="Q140" t="s">
        <v>862</v>
      </c>
    </row>
    <row r="141" spans="1:17" x14ac:dyDescent="0.25">
      <c r="A141" t="s">
        <v>19</v>
      </c>
      <c r="B141">
        <v>275</v>
      </c>
      <c r="C141">
        <v>64</v>
      </c>
      <c r="D141">
        <v>10.8</v>
      </c>
      <c r="E141">
        <v>275</v>
      </c>
      <c r="F141">
        <v>52</v>
      </c>
      <c r="G141">
        <v>10.8</v>
      </c>
      <c r="H141">
        <v>3.75</v>
      </c>
      <c r="I141">
        <v>2.2999999999999998</v>
      </c>
      <c r="J141">
        <v>8.236268305005591E-2</v>
      </c>
      <c r="K141">
        <v>600</v>
      </c>
      <c r="L141">
        <v>0</v>
      </c>
      <c r="N141">
        <v>49</v>
      </c>
      <c r="O141" s="60" t="s">
        <v>1045</v>
      </c>
      <c r="P141" t="s">
        <v>1040</v>
      </c>
      <c r="Q141" t="s">
        <v>900</v>
      </c>
    </row>
    <row r="142" spans="1:17" x14ac:dyDescent="0.25">
      <c r="A142" t="s">
        <v>39</v>
      </c>
      <c r="B142">
        <v>0</v>
      </c>
      <c r="C142">
        <v>0</v>
      </c>
      <c r="N142">
        <v>49</v>
      </c>
      <c r="O142" s="60" t="s">
        <v>1046</v>
      </c>
      <c r="P142" t="s">
        <v>1047</v>
      </c>
      <c r="Q142" t="s">
        <v>750</v>
      </c>
    </row>
    <row r="143" spans="1:17" x14ac:dyDescent="0.25">
      <c r="A143" t="s">
        <v>697</v>
      </c>
      <c r="B143">
        <v>2.7</v>
      </c>
      <c r="C143">
        <v>5000</v>
      </c>
      <c r="N143">
        <v>49</v>
      </c>
      <c r="O143" s="60" t="s">
        <v>1046</v>
      </c>
      <c r="P143" t="s">
        <v>1047</v>
      </c>
      <c r="Q143" t="s">
        <v>1078</v>
      </c>
    </row>
    <row r="144" spans="1:17" x14ac:dyDescent="0.25">
      <c r="A144" t="s">
        <v>23</v>
      </c>
      <c r="B144">
        <v>275</v>
      </c>
      <c r="C144">
        <v>52</v>
      </c>
      <c r="D144">
        <v>10.8</v>
      </c>
      <c r="E144">
        <v>275</v>
      </c>
      <c r="F144">
        <v>52</v>
      </c>
      <c r="G144">
        <v>13.500000000000002</v>
      </c>
      <c r="H144">
        <v>0</v>
      </c>
      <c r="I144">
        <v>0</v>
      </c>
      <c r="K144">
        <v>3000</v>
      </c>
      <c r="N144">
        <v>0</v>
      </c>
      <c r="O144" s="60">
        <v>0</v>
      </c>
      <c r="P144" t="s">
        <v>659</v>
      </c>
      <c r="Q144" t="s">
        <v>1079</v>
      </c>
    </row>
    <row r="145" spans="1:17" x14ac:dyDescent="0.25">
      <c r="A145" t="s">
        <v>19</v>
      </c>
      <c r="B145">
        <v>275</v>
      </c>
      <c r="C145">
        <v>52</v>
      </c>
      <c r="D145">
        <v>13.500000000000002</v>
      </c>
      <c r="E145">
        <v>275</v>
      </c>
      <c r="F145">
        <v>64</v>
      </c>
      <c r="G145">
        <v>13.500000000000002</v>
      </c>
      <c r="H145">
        <v>3.75</v>
      </c>
      <c r="I145">
        <v>2.2999999999999998</v>
      </c>
      <c r="J145">
        <v>8.236268305005591E-2</v>
      </c>
      <c r="K145">
        <v>600</v>
      </c>
      <c r="L145">
        <v>0</v>
      </c>
      <c r="N145">
        <v>49</v>
      </c>
      <c r="O145" s="60" t="s">
        <v>1048</v>
      </c>
      <c r="P145" t="s">
        <v>1034</v>
      </c>
      <c r="Q145" t="s">
        <v>954</v>
      </c>
    </row>
    <row r="146" spans="1:17" x14ac:dyDescent="0.25">
      <c r="A146" t="s">
        <v>19</v>
      </c>
      <c r="B146">
        <v>275</v>
      </c>
      <c r="C146">
        <v>64</v>
      </c>
      <c r="D146">
        <v>13.500000000000002</v>
      </c>
      <c r="E146">
        <v>145</v>
      </c>
      <c r="F146">
        <v>64</v>
      </c>
      <c r="G146">
        <v>13.500000000000002</v>
      </c>
      <c r="H146">
        <v>3.75</v>
      </c>
      <c r="I146">
        <v>2.2999999999999998</v>
      </c>
      <c r="J146">
        <v>0.89226239970893917</v>
      </c>
      <c r="K146">
        <v>600</v>
      </c>
      <c r="L146">
        <v>0</v>
      </c>
      <c r="N146">
        <v>49</v>
      </c>
      <c r="O146" s="60" t="s">
        <v>1050</v>
      </c>
      <c r="P146" t="s">
        <v>1049</v>
      </c>
      <c r="Q146" t="s">
        <v>861</v>
      </c>
    </row>
    <row r="147" spans="1:17" x14ac:dyDescent="0.25">
      <c r="A147" t="s">
        <v>19</v>
      </c>
      <c r="B147">
        <v>145</v>
      </c>
      <c r="C147">
        <v>64</v>
      </c>
      <c r="D147">
        <v>13.500000000000002</v>
      </c>
      <c r="E147">
        <v>145</v>
      </c>
      <c r="F147">
        <v>68</v>
      </c>
      <c r="G147">
        <v>13.500000000000002</v>
      </c>
      <c r="H147">
        <v>3.75</v>
      </c>
      <c r="I147">
        <v>2.2999999999999998</v>
      </c>
      <c r="J147">
        <v>2.7454227683351973E-2</v>
      </c>
      <c r="K147">
        <v>600</v>
      </c>
      <c r="L147">
        <v>0</v>
      </c>
      <c r="N147">
        <v>49</v>
      </c>
      <c r="O147" s="60" t="s">
        <v>1052</v>
      </c>
      <c r="P147" t="s">
        <v>1051</v>
      </c>
      <c r="Q147" t="s">
        <v>889</v>
      </c>
    </row>
    <row r="148" spans="1:17" x14ac:dyDescent="0.25">
      <c r="A148" t="s">
        <v>19</v>
      </c>
      <c r="B148">
        <v>145</v>
      </c>
      <c r="C148">
        <v>68</v>
      </c>
      <c r="D148">
        <v>13.500000000000002</v>
      </c>
      <c r="E148">
        <v>275</v>
      </c>
      <c r="F148">
        <v>68</v>
      </c>
      <c r="G148">
        <v>13.500000000000002</v>
      </c>
      <c r="H148">
        <v>3.75</v>
      </c>
      <c r="I148">
        <v>2.2999999999999998</v>
      </c>
      <c r="J148">
        <v>0.89226239970893917</v>
      </c>
      <c r="K148">
        <v>600</v>
      </c>
      <c r="L148">
        <v>0</v>
      </c>
      <c r="N148">
        <v>49</v>
      </c>
      <c r="O148" s="60" t="s">
        <v>1054</v>
      </c>
      <c r="P148" t="s">
        <v>1053</v>
      </c>
      <c r="Q148" t="s">
        <v>862</v>
      </c>
    </row>
    <row r="149" spans="1:17" x14ac:dyDescent="0.25">
      <c r="A149" t="s">
        <v>19</v>
      </c>
      <c r="B149">
        <v>275</v>
      </c>
      <c r="C149">
        <v>68</v>
      </c>
      <c r="D149">
        <v>13.500000000000002</v>
      </c>
      <c r="E149">
        <v>275</v>
      </c>
      <c r="F149">
        <v>80</v>
      </c>
      <c r="G149">
        <v>13.500000000000002</v>
      </c>
      <c r="H149">
        <v>3.75</v>
      </c>
      <c r="I149">
        <v>2.2999999999999998</v>
      </c>
      <c r="J149">
        <v>8.236268305005591E-2</v>
      </c>
      <c r="K149">
        <v>600</v>
      </c>
      <c r="L149">
        <v>0</v>
      </c>
      <c r="N149">
        <v>49</v>
      </c>
      <c r="O149" s="60" t="s">
        <v>1056</v>
      </c>
      <c r="P149" t="s">
        <v>1076</v>
      </c>
      <c r="Q149" t="s">
        <v>963</v>
      </c>
    </row>
    <row r="150" spans="1:17" x14ac:dyDescent="0.25">
      <c r="A150" t="s">
        <v>19</v>
      </c>
      <c r="B150">
        <v>275</v>
      </c>
      <c r="C150">
        <v>80</v>
      </c>
      <c r="D150">
        <v>13.500000000000002</v>
      </c>
      <c r="E150">
        <v>145</v>
      </c>
      <c r="F150">
        <v>80</v>
      </c>
      <c r="G150">
        <v>13.500000000000002</v>
      </c>
      <c r="H150">
        <v>3.75</v>
      </c>
      <c r="I150">
        <v>2.2999999999999998</v>
      </c>
      <c r="J150">
        <v>0.89226239970893917</v>
      </c>
      <c r="K150">
        <v>600</v>
      </c>
      <c r="L150">
        <v>0</v>
      </c>
      <c r="N150">
        <v>49</v>
      </c>
      <c r="O150" s="60" t="s">
        <v>1058</v>
      </c>
      <c r="P150" t="s">
        <v>1057</v>
      </c>
      <c r="Q150" t="s">
        <v>861</v>
      </c>
    </row>
    <row r="151" spans="1:17" x14ac:dyDescent="0.25">
      <c r="A151" t="s">
        <v>19</v>
      </c>
      <c r="B151">
        <v>145</v>
      </c>
      <c r="C151">
        <v>80</v>
      </c>
      <c r="D151">
        <v>13.500000000000002</v>
      </c>
      <c r="E151">
        <v>145</v>
      </c>
      <c r="F151">
        <v>84</v>
      </c>
      <c r="G151">
        <v>13.500000000000002</v>
      </c>
      <c r="H151">
        <v>3.75</v>
      </c>
      <c r="I151">
        <v>2.2999999999999998</v>
      </c>
      <c r="J151">
        <v>2.7454227683351973E-2</v>
      </c>
      <c r="K151">
        <v>600</v>
      </c>
      <c r="L151">
        <v>0</v>
      </c>
      <c r="N151">
        <v>49</v>
      </c>
      <c r="O151" s="60" t="s">
        <v>1060</v>
      </c>
      <c r="P151" t="s">
        <v>1059</v>
      </c>
      <c r="Q151" t="s">
        <v>885</v>
      </c>
    </row>
    <row r="152" spans="1:17" x14ac:dyDescent="0.25">
      <c r="A152" t="s">
        <v>19</v>
      </c>
      <c r="B152">
        <v>145</v>
      </c>
      <c r="C152">
        <v>84</v>
      </c>
      <c r="D152">
        <v>13.500000000000002</v>
      </c>
      <c r="E152">
        <v>275</v>
      </c>
      <c r="F152">
        <v>84</v>
      </c>
      <c r="G152">
        <v>13.500000000000002</v>
      </c>
      <c r="H152">
        <v>3.75</v>
      </c>
      <c r="I152">
        <v>2.2999999999999998</v>
      </c>
      <c r="J152">
        <v>0.89226239970893917</v>
      </c>
      <c r="K152">
        <v>600</v>
      </c>
      <c r="L152">
        <v>0</v>
      </c>
      <c r="N152">
        <v>49</v>
      </c>
      <c r="O152" s="60" t="s">
        <v>1062</v>
      </c>
      <c r="P152" t="s">
        <v>1061</v>
      </c>
      <c r="Q152" t="s">
        <v>862</v>
      </c>
    </row>
    <row r="153" spans="1:17" x14ac:dyDescent="0.25">
      <c r="A153" t="s">
        <v>19</v>
      </c>
      <c r="B153">
        <v>275</v>
      </c>
      <c r="C153">
        <v>84</v>
      </c>
      <c r="D153">
        <v>13.500000000000002</v>
      </c>
      <c r="E153">
        <v>275</v>
      </c>
      <c r="F153">
        <v>96</v>
      </c>
      <c r="G153">
        <v>13.500000000000002</v>
      </c>
      <c r="H153">
        <v>3.75</v>
      </c>
      <c r="I153">
        <v>2.2999999999999998</v>
      </c>
      <c r="J153">
        <v>8.236268305005591E-2</v>
      </c>
      <c r="K153">
        <v>600</v>
      </c>
      <c r="L153">
        <v>0</v>
      </c>
      <c r="N153">
        <v>49</v>
      </c>
      <c r="O153" s="60" t="s">
        <v>1063</v>
      </c>
      <c r="P153" t="s">
        <v>1076</v>
      </c>
      <c r="Q153" t="s">
        <v>970</v>
      </c>
    </row>
    <row r="154" spans="1:17" x14ac:dyDescent="0.25">
      <c r="A154" t="s">
        <v>19</v>
      </c>
      <c r="B154">
        <v>275</v>
      </c>
      <c r="C154">
        <v>96</v>
      </c>
      <c r="D154">
        <v>13.500000000000002</v>
      </c>
      <c r="E154">
        <v>145</v>
      </c>
      <c r="F154">
        <v>96</v>
      </c>
      <c r="G154">
        <v>13.500000000000002</v>
      </c>
      <c r="H154">
        <v>3.75</v>
      </c>
      <c r="I154">
        <v>2.2999999999999998</v>
      </c>
      <c r="J154">
        <v>0.89226239970893917</v>
      </c>
      <c r="K154">
        <v>600</v>
      </c>
      <c r="L154">
        <v>0</v>
      </c>
      <c r="N154">
        <v>49</v>
      </c>
      <c r="O154" s="60" t="s">
        <v>1064</v>
      </c>
      <c r="P154" t="s">
        <v>1057</v>
      </c>
      <c r="Q154" t="s">
        <v>861</v>
      </c>
    </row>
    <row r="155" spans="1:17" x14ac:dyDescent="0.25">
      <c r="A155" t="s">
        <v>19</v>
      </c>
      <c r="B155">
        <v>145</v>
      </c>
      <c r="C155">
        <v>96</v>
      </c>
      <c r="D155">
        <v>13.500000000000002</v>
      </c>
      <c r="E155">
        <v>145</v>
      </c>
      <c r="F155">
        <v>100</v>
      </c>
      <c r="G155">
        <v>13.500000000000002</v>
      </c>
      <c r="H155">
        <v>3.75</v>
      </c>
      <c r="I155">
        <v>2.2999999999999998</v>
      </c>
      <c r="J155">
        <v>2.7454227683351973E-2</v>
      </c>
      <c r="K155">
        <v>600</v>
      </c>
      <c r="L155">
        <v>0</v>
      </c>
      <c r="N155">
        <v>49</v>
      </c>
      <c r="O155" s="60" t="s">
        <v>1065</v>
      </c>
      <c r="P155" t="s">
        <v>1059</v>
      </c>
      <c r="Q155" t="s">
        <v>973</v>
      </c>
    </row>
    <row r="156" spans="1:17" x14ac:dyDescent="0.25">
      <c r="A156" t="s">
        <v>19</v>
      </c>
      <c r="B156">
        <v>145</v>
      </c>
      <c r="C156">
        <v>100</v>
      </c>
      <c r="D156">
        <v>13.500000000000002</v>
      </c>
      <c r="E156">
        <v>275</v>
      </c>
      <c r="F156">
        <v>100</v>
      </c>
      <c r="G156">
        <v>13.500000000000002</v>
      </c>
      <c r="H156">
        <v>3.75</v>
      </c>
      <c r="I156">
        <v>2.2999999999999998</v>
      </c>
      <c r="J156">
        <v>0.89226239970893917</v>
      </c>
      <c r="K156">
        <v>600</v>
      </c>
      <c r="L156">
        <v>0</v>
      </c>
      <c r="N156">
        <v>49</v>
      </c>
      <c r="O156" s="60" t="s">
        <v>1066</v>
      </c>
      <c r="P156" t="s">
        <v>1061</v>
      </c>
      <c r="Q156" t="s">
        <v>862</v>
      </c>
    </row>
    <row r="157" spans="1:17" x14ac:dyDescent="0.25">
      <c r="A157" t="s">
        <v>23</v>
      </c>
      <c r="B157">
        <v>275</v>
      </c>
      <c r="C157">
        <v>100</v>
      </c>
      <c r="D157">
        <v>13.500000000000002</v>
      </c>
      <c r="E157">
        <v>283</v>
      </c>
      <c r="F157">
        <v>100</v>
      </c>
      <c r="G157">
        <v>18.900000000000002</v>
      </c>
      <c r="H157">
        <v>0</v>
      </c>
      <c r="I157">
        <v>0</v>
      </c>
      <c r="J157">
        <v>0</v>
      </c>
      <c r="K157">
        <v>3000</v>
      </c>
      <c r="L157">
        <v>0</v>
      </c>
      <c r="N157">
        <v>49</v>
      </c>
      <c r="O157" s="60" t="s">
        <v>1067</v>
      </c>
      <c r="P157" t="s">
        <v>1055</v>
      </c>
      <c r="Q157" t="s">
        <v>1080</v>
      </c>
    </row>
    <row r="158" spans="1:17" x14ac:dyDescent="0.25">
      <c r="A158" t="s">
        <v>23</v>
      </c>
      <c r="B158">
        <v>283</v>
      </c>
      <c r="C158">
        <v>100</v>
      </c>
      <c r="D158">
        <v>18.900000000000002</v>
      </c>
      <c r="E158">
        <v>283</v>
      </c>
      <c r="F158">
        <v>108</v>
      </c>
      <c r="G158">
        <v>18.900000000000002</v>
      </c>
      <c r="H158">
        <v>0</v>
      </c>
      <c r="I158">
        <v>0</v>
      </c>
      <c r="J158">
        <v>0</v>
      </c>
      <c r="K158">
        <v>3000</v>
      </c>
      <c r="L158">
        <v>0</v>
      </c>
      <c r="N158">
        <v>49</v>
      </c>
      <c r="O158" s="60" t="s">
        <v>1069</v>
      </c>
      <c r="P158" t="s">
        <v>1068</v>
      </c>
      <c r="Q158" t="s">
        <v>979</v>
      </c>
    </row>
    <row r="159" spans="1:17" x14ac:dyDescent="0.25">
      <c r="A159" t="s">
        <v>49</v>
      </c>
      <c r="B159" t="s">
        <v>203</v>
      </c>
      <c r="C159">
        <v>3</v>
      </c>
      <c r="N159">
        <v>49</v>
      </c>
      <c r="O159" s="60" t="s">
        <v>1110</v>
      </c>
      <c r="P159" t="s">
        <v>981</v>
      </c>
      <c r="Q159" t="s">
        <v>739</v>
      </c>
    </row>
    <row r="160" spans="1:17" x14ac:dyDescent="0.25">
      <c r="A160" t="s">
        <v>23</v>
      </c>
      <c r="B160">
        <v>283</v>
      </c>
      <c r="C160">
        <v>108</v>
      </c>
      <c r="D160">
        <v>18.900000000000002</v>
      </c>
      <c r="E160">
        <v>141</v>
      </c>
      <c r="F160">
        <v>104</v>
      </c>
      <c r="G160">
        <v>13.5</v>
      </c>
      <c r="H160">
        <v>0</v>
      </c>
      <c r="I160">
        <v>0</v>
      </c>
      <c r="K160">
        <v>3000</v>
      </c>
      <c r="N160">
        <v>0</v>
      </c>
      <c r="O160" s="60">
        <v>0</v>
      </c>
      <c r="P160" t="s">
        <v>659</v>
      </c>
      <c r="Q160" t="s">
        <v>1107</v>
      </c>
    </row>
    <row r="161" spans="1:17" x14ac:dyDescent="0.25">
      <c r="A161" t="s">
        <v>19</v>
      </c>
      <c r="B161">
        <v>141</v>
      </c>
      <c r="C161">
        <v>104</v>
      </c>
      <c r="D161">
        <v>13.5</v>
      </c>
      <c r="E161">
        <v>141</v>
      </c>
      <c r="F161">
        <v>92</v>
      </c>
      <c r="G161">
        <v>13.5</v>
      </c>
      <c r="H161">
        <v>3.75</v>
      </c>
      <c r="I161">
        <v>2.1868530000000002</v>
      </c>
      <c r="J161">
        <v>7.8310904572201731E-2</v>
      </c>
      <c r="K161">
        <v>1000</v>
      </c>
      <c r="L161">
        <v>0</v>
      </c>
      <c r="N161">
        <v>49</v>
      </c>
      <c r="O161" s="60" t="s">
        <v>1111</v>
      </c>
      <c r="P161" t="s">
        <v>1072</v>
      </c>
      <c r="Q161" t="s">
        <v>905</v>
      </c>
    </row>
    <row r="162" spans="1:17" x14ac:dyDescent="0.25">
      <c r="A162" t="s">
        <v>19</v>
      </c>
      <c r="B162">
        <v>141</v>
      </c>
      <c r="C162">
        <v>92</v>
      </c>
      <c r="D162">
        <v>13.5</v>
      </c>
      <c r="E162">
        <v>271</v>
      </c>
      <c r="F162">
        <v>92</v>
      </c>
      <c r="G162">
        <v>13.5</v>
      </c>
      <c r="H162">
        <v>3.75</v>
      </c>
      <c r="I162">
        <v>2.1868530000000002</v>
      </c>
      <c r="J162">
        <v>0.84836813286551871</v>
      </c>
      <c r="K162">
        <v>1000</v>
      </c>
      <c r="L162">
        <v>0</v>
      </c>
      <c r="N162">
        <v>49</v>
      </c>
      <c r="O162" s="60" t="s">
        <v>1112</v>
      </c>
      <c r="P162" t="s">
        <v>984</v>
      </c>
      <c r="Q162" t="s">
        <v>906</v>
      </c>
    </row>
    <row r="163" spans="1:17" x14ac:dyDescent="0.25">
      <c r="A163" t="s">
        <v>19</v>
      </c>
      <c r="B163">
        <v>271</v>
      </c>
      <c r="C163">
        <v>92</v>
      </c>
      <c r="D163">
        <v>13.5</v>
      </c>
      <c r="E163">
        <v>271</v>
      </c>
      <c r="F163">
        <v>88</v>
      </c>
      <c r="G163">
        <v>13.5</v>
      </c>
      <c r="H163">
        <v>3.75</v>
      </c>
      <c r="I163">
        <v>2.1868530000000002</v>
      </c>
      <c r="J163">
        <v>2.6103634857400575E-2</v>
      </c>
      <c r="K163">
        <v>1000</v>
      </c>
      <c r="L163">
        <v>0</v>
      </c>
      <c r="N163">
        <v>49</v>
      </c>
      <c r="O163" s="60" t="s">
        <v>1113</v>
      </c>
      <c r="P163" t="s">
        <v>986</v>
      </c>
      <c r="Q163" t="s">
        <v>908</v>
      </c>
    </row>
    <row r="164" spans="1:17" x14ac:dyDescent="0.25">
      <c r="A164" t="s">
        <v>19</v>
      </c>
      <c r="B164">
        <v>271</v>
      </c>
      <c r="C164">
        <v>88</v>
      </c>
      <c r="D164">
        <v>13.5</v>
      </c>
      <c r="E164">
        <v>141</v>
      </c>
      <c r="F164">
        <v>88</v>
      </c>
      <c r="G164">
        <v>13.5</v>
      </c>
      <c r="H164">
        <v>3.75</v>
      </c>
      <c r="I164">
        <v>2.1868530000000002</v>
      </c>
      <c r="J164">
        <v>0.84836813286551871</v>
      </c>
      <c r="K164">
        <v>1000</v>
      </c>
      <c r="L164">
        <v>0</v>
      </c>
      <c r="N164">
        <v>49</v>
      </c>
      <c r="O164" s="60" t="s">
        <v>1114</v>
      </c>
      <c r="P164" t="s">
        <v>988</v>
      </c>
      <c r="Q164" t="s">
        <v>909</v>
      </c>
    </row>
    <row r="165" spans="1:17" x14ac:dyDescent="0.25">
      <c r="A165" t="s">
        <v>19</v>
      </c>
      <c r="B165">
        <v>141</v>
      </c>
      <c r="C165">
        <v>88</v>
      </c>
      <c r="D165">
        <v>13.5</v>
      </c>
      <c r="E165">
        <v>141</v>
      </c>
      <c r="F165">
        <v>76</v>
      </c>
      <c r="G165">
        <v>13.5</v>
      </c>
      <c r="H165">
        <v>3.75</v>
      </c>
      <c r="I165">
        <v>2.1868530000000002</v>
      </c>
      <c r="J165">
        <v>7.8310904572201731E-2</v>
      </c>
      <c r="K165">
        <v>1000</v>
      </c>
      <c r="L165">
        <v>0</v>
      </c>
      <c r="N165">
        <v>49</v>
      </c>
      <c r="O165" s="60" t="s">
        <v>1115</v>
      </c>
      <c r="P165" t="s">
        <v>1073</v>
      </c>
      <c r="Q165" t="s">
        <v>920</v>
      </c>
    </row>
    <row r="166" spans="1:17" x14ac:dyDescent="0.25">
      <c r="A166" t="s">
        <v>19</v>
      </c>
      <c r="B166">
        <v>141</v>
      </c>
      <c r="C166">
        <v>76</v>
      </c>
      <c r="D166">
        <v>13.5</v>
      </c>
      <c r="E166">
        <v>271</v>
      </c>
      <c r="F166">
        <v>76</v>
      </c>
      <c r="G166">
        <v>13.5</v>
      </c>
      <c r="H166">
        <v>3.75</v>
      </c>
      <c r="I166">
        <v>2.1868530000000002</v>
      </c>
      <c r="J166">
        <v>0.84836813286551871</v>
      </c>
      <c r="K166">
        <v>1000</v>
      </c>
      <c r="L166">
        <v>0</v>
      </c>
      <c r="N166">
        <v>49</v>
      </c>
      <c r="O166" s="60" t="s">
        <v>1116</v>
      </c>
      <c r="P166" t="s">
        <v>992</v>
      </c>
      <c r="Q166" t="s">
        <v>906</v>
      </c>
    </row>
    <row r="167" spans="1:17" x14ac:dyDescent="0.25">
      <c r="A167" t="s">
        <v>19</v>
      </c>
      <c r="B167">
        <v>271</v>
      </c>
      <c r="C167">
        <v>76</v>
      </c>
      <c r="D167">
        <v>13.5</v>
      </c>
      <c r="E167">
        <v>271</v>
      </c>
      <c r="F167">
        <v>72</v>
      </c>
      <c r="G167">
        <v>13.5</v>
      </c>
      <c r="H167">
        <v>3.75</v>
      </c>
      <c r="I167">
        <v>2.1868530000000002</v>
      </c>
      <c r="J167">
        <v>2.6103634857400575E-2</v>
      </c>
      <c r="K167">
        <v>1000</v>
      </c>
      <c r="L167">
        <v>0</v>
      </c>
      <c r="N167">
        <v>49</v>
      </c>
      <c r="O167" s="60" t="s">
        <v>1117</v>
      </c>
      <c r="P167" t="s">
        <v>994</v>
      </c>
      <c r="Q167" t="s">
        <v>913</v>
      </c>
    </row>
    <row r="168" spans="1:17" x14ac:dyDescent="0.25">
      <c r="A168" t="s">
        <v>19</v>
      </c>
      <c r="B168">
        <v>271</v>
      </c>
      <c r="C168">
        <v>72</v>
      </c>
      <c r="D168">
        <v>13.5</v>
      </c>
      <c r="E168">
        <v>141</v>
      </c>
      <c r="F168">
        <v>72</v>
      </c>
      <c r="G168">
        <v>13.5</v>
      </c>
      <c r="H168">
        <v>3.75</v>
      </c>
      <c r="I168">
        <v>2.1868530000000002</v>
      </c>
      <c r="J168">
        <v>0.84836813286551871</v>
      </c>
      <c r="K168">
        <v>1000</v>
      </c>
      <c r="L168">
        <v>0</v>
      </c>
      <c r="N168">
        <v>49</v>
      </c>
      <c r="O168" s="60" t="s">
        <v>1118</v>
      </c>
      <c r="P168" t="s">
        <v>996</v>
      </c>
      <c r="Q168" t="s">
        <v>909</v>
      </c>
    </row>
    <row r="169" spans="1:17" x14ac:dyDescent="0.25">
      <c r="A169" t="s">
        <v>39</v>
      </c>
      <c r="B169">
        <v>0</v>
      </c>
      <c r="C169">
        <v>0</v>
      </c>
      <c r="N169">
        <v>49</v>
      </c>
      <c r="O169" s="60" t="s">
        <v>1119</v>
      </c>
      <c r="P169" t="s">
        <v>999</v>
      </c>
      <c r="Q169" t="s">
        <v>750</v>
      </c>
    </row>
    <row r="170" spans="1:17" x14ac:dyDescent="0.25">
      <c r="A170" t="s">
        <v>697</v>
      </c>
      <c r="B170">
        <v>2.7</v>
      </c>
      <c r="C170">
        <v>5000</v>
      </c>
      <c r="N170">
        <v>49</v>
      </c>
      <c r="O170" s="60" t="s">
        <v>1119</v>
      </c>
      <c r="P170" t="s">
        <v>999</v>
      </c>
      <c r="Q170" t="s">
        <v>1017</v>
      </c>
    </row>
    <row r="171" spans="1:17" x14ac:dyDescent="0.25">
      <c r="A171" t="s">
        <v>23</v>
      </c>
      <c r="B171">
        <v>141</v>
      </c>
      <c r="C171">
        <v>72</v>
      </c>
      <c r="D171">
        <v>13.5</v>
      </c>
      <c r="E171">
        <v>141</v>
      </c>
      <c r="F171">
        <v>72</v>
      </c>
      <c r="G171">
        <v>16.200000000000003</v>
      </c>
      <c r="H171">
        <v>0</v>
      </c>
      <c r="I171">
        <v>0</v>
      </c>
      <c r="K171">
        <v>3000</v>
      </c>
      <c r="N171">
        <v>0</v>
      </c>
      <c r="O171" s="60">
        <v>0</v>
      </c>
      <c r="P171" t="s">
        <v>659</v>
      </c>
      <c r="Q171" t="s">
        <v>1018</v>
      </c>
    </row>
    <row r="172" spans="1:17" x14ac:dyDescent="0.25">
      <c r="A172" t="s">
        <v>19</v>
      </c>
      <c r="B172">
        <v>141</v>
      </c>
      <c r="C172">
        <v>72</v>
      </c>
      <c r="D172">
        <v>16.200000000000003</v>
      </c>
      <c r="E172">
        <v>271</v>
      </c>
      <c r="F172">
        <v>72</v>
      </c>
      <c r="G172">
        <v>16.200000000000003</v>
      </c>
      <c r="H172">
        <v>3.75</v>
      </c>
      <c r="I172">
        <v>2.1868530000000002</v>
      </c>
      <c r="J172">
        <v>0.84836813286551871</v>
      </c>
      <c r="K172">
        <v>1000</v>
      </c>
      <c r="L172">
        <v>0</v>
      </c>
      <c r="N172">
        <v>49</v>
      </c>
      <c r="O172" s="60" t="s">
        <v>1120</v>
      </c>
      <c r="P172" t="s">
        <v>990</v>
      </c>
      <c r="Q172" t="s">
        <v>925</v>
      </c>
    </row>
    <row r="173" spans="1:17" x14ac:dyDescent="0.25">
      <c r="A173" t="s">
        <v>19</v>
      </c>
      <c r="B173">
        <v>271</v>
      </c>
      <c r="C173">
        <v>72</v>
      </c>
      <c r="D173">
        <v>16.200000000000003</v>
      </c>
      <c r="E173">
        <v>271</v>
      </c>
      <c r="F173">
        <v>76</v>
      </c>
      <c r="G173">
        <v>16.200000000000003</v>
      </c>
      <c r="H173">
        <v>3.75</v>
      </c>
      <c r="I173">
        <v>2.1868530000000002</v>
      </c>
      <c r="J173">
        <v>2.6103634857400575E-2</v>
      </c>
      <c r="K173">
        <v>1000</v>
      </c>
      <c r="L173">
        <v>0</v>
      </c>
      <c r="N173">
        <v>49</v>
      </c>
      <c r="O173" s="60" t="s">
        <v>1121</v>
      </c>
      <c r="P173" t="s">
        <v>1001</v>
      </c>
      <c r="Q173" t="s">
        <v>926</v>
      </c>
    </row>
    <row r="174" spans="1:17" x14ac:dyDescent="0.25">
      <c r="A174" t="s">
        <v>19</v>
      </c>
      <c r="B174">
        <v>271</v>
      </c>
      <c r="C174">
        <v>76</v>
      </c>
      <c r="D174">
        <v>16.200000000000003</v>
      </c>
      <c r="E174">
        <v>141</v>
      </c>
      <c r="F174">
        <v>76</v>
      </c>
      <c r="G174">
        <v>16.200000000000003</v>
      </c>
      <c r="H174">
        <v>3.75</v>
      </c>
      <c r="I174">
        <v>2.1868530000000002</v>
      </c>
      <c r="J174">
        <v>0.84836813286551871</v>
      </c>
      <c r="K174">
        <v>1000</v>
      </c>
      <c r="L174">
        <v>0</v>
      </c>
      <c r="N174">
        <v>49</v>
      </c>
      <c r="O174" s="60" t="s">
        <v>1122</v>
      </c>
      <c r="P174" t="s">
        <v>1003</v>
      </c>
      <c r="Q174" t="s">
        <v>909</v>
      </c>
    </row>
    <row r="175" spans="1:17" x14ac:dyDescent="0.25">
      <c r="A175" t="s">
        <v>19</v>
      </c>
      <c r="B175">
        <v>141</v>
      </c>
      <c r="C175">
        <v>76</v>
      </c>
      <c r="D175">
        <v>16.200000000000003</v>
      </c>
      <c r="E175">
        <v>141</v>
      </c>
      <c r="F175">
        <v>88</v>
      </c>
      <c r="G175">
        <v>16.200000000000003</v>
      </c>
      <c r="H175">
        <v>3.75</v>
      </c>
      <c r="I175">
        <v>2.1868530000000002</v>
      </c>
      <c r="J175">
        <v>7.8310904572201731E-2</v>
      </c>
      <c r="K175">
        <v>1000</v>
      </c>
      <c r="L175">
        <v>0</v>
      </c>
      <c r="N175">
        <v>49</v>
      </c>
      <c r="O175" s="60" t="s">
        <v>1123</v>
      </c>
      <c r="P175" t="s">
        <v>1005</v>
      </c>
      <c r="Q175" t="s">
        <v>927</v>
      </c>
    </row>
    <row r="176" spans="1:17" x14ac:dyDescent="0.25">
      <c r="A176" t="s">
        <v>19</v>
      </c>
      <c r="B176">
        <v>141</v>
      </c>
      <c r="C176">
        <v>88</v>
      </c>
      <c r="D176">
        <v>16.200000000000003</v>
      </c>
      <c r="E176">
        <v>271</v>
      </c>
      <c r="F176">
        <v>88</v>
      </c>
      <c r="G176">
        <v>16.200000000000003</v>
      </c>
      <c r="H176">
        <v>3.75</v>
      </c>
      <c r="I176">
        <v>2.1868530000000002</v>
      </c>
      <c r="J176">
        <v>0.84836813286551871</v>
      </c>
      <c r="K176">
        <v>1000</v>
      </c>
      <c r="L176">
        <v>0</v>
      </c>
      <c r="N176">
        <v>49</v>
      </c>
      <c r="O176" s="60" t="s">
        <v>1124</v>
      </c>
      <c r="P176" t="s">
        <v>1074</v>
      </c>
      <c r="Q176" t="s">
        <v>906</v>
      </c>
    </row>
    <row r="177" spans="1:17" x14ac:dyDescent="0.25">
      <c r="A177" t="s">
        <v>19</v>
      </c>
      <c r="B177">
        <v>271</v>
      </c>
      <c r="C177">
        <v>88</v>
      </c>
      <c r="D177">
        <v>16.200000000000003</v>
      </c>
      <c r="E177">
        <v>271</v>
      </c>
      <c r="F177">
        <v>92</v>
      </c>
      <c r="G177">
        <v>16.200000000000003</v>
      </c>
      <c r="H177">
        <v>3.75</v>
      </c>
      <c r="I177">
        <v>2.1868530000000002</v>
      </c>
      <c r="J177">
        <v>2.6103634857400575E-2</v>
      </c>
      <c r="K177">
        <v>1000</v>
      </c>
      <c r="L177">
        <v>0</v>
      </c>
      <c r="N177">
        <v>49</v>
      </c>
      <c r="O177" s="60" t="s">
        <v>1125</v>
      </c>
      <c r="P177" t="s">
        <v>1009</v>
      </c>
      <c r="Q177" t="s">
        <v>930</v>
      </c>
    </row>
    <row r="178" spans="1:17" x14ac:dyDescent="0.25">
      <c r="A178" t="s">
        <v>19</v>
      </c>
      <c r="B178">
        <v>271</v>
      </c>
      <c r="C178">
        <v>92</v>
      </c>
      <c r="D178">
        <v>16.200000000000003</v>
      </c>
      <c r="E178">
        <v>141</v>
      </c>
      <c r="F178">
        <v>92</v>
      </c>
      <c r="G178">
        <v>16.200000000000003</v>
      </c>
      <c r="H178">
        <v>3.75</v>
      </c>
      <c r="I178">
        <v>2.1868530000000002</v>
      </c>
      <c r="J178">
        <v>0.84836813286551871</v>
      </c>
      <c r="K178">
        <v>1000</v>
      </c>
      <c r="L178">
        <v>0</v>
      </c>
      <c r="N178">
        <v>49</v>
      </c>
      <c r="O178" s="60" t="s">
        <v>1126</v>
      </c>
      <c r="P178" t="s">
        <v>1011</v>
      </c>
      <c r="Q178" t="s">
        <v>909</v>
      </c>
    </row>
    <row r="179" spans="1:17" x14ac:dyDescent="0.25">
      <c r="A179" t="s">
        <v>19</v>
      </c>
      <c r="B179">
        <v>141</v>
      </c>
      <c r="C179">
        <v>92</v>
      </c>
      <c r="D179">
        <v>16.200000000000003</v>
      </c>
      <c r="E179">
        <v>141</v>
      </c>
      <c r="F179">
        <v>104</v>
      </c>
      <c r="G179">
        <v>16.200000000000003</v>
      </c>
      <c r="H179">
        <v>3.75</v>
      </c>
      <c r="I179">
        <v>2.1868530000000002</v>
      </c>
      <c r="J179">
        <v>7.8310904572201731E-2</v>
      </c>
      <c r="K179">
        <v>1000</v>
      </c>
      <c r="L179">
        <v>0</v>
      </c>
      <c r="N179">
        <v>49</v>
      </c>
      <c r="O179" s="60" t="s">
        <v>1127</v>
      </c>
      <c r="P179" t="s">
        <v>1013</v>
      </c>
      <c r="Q179" t="s">
        <v>933</v>
      </c>
    </row>
    <row r="180" spans="1:17" x14ac:dyDescent="0.25">
      <c r="A180" t="s">
        <v>39</v>
      </c>
      <c r="B180">
        <v>-0.35</v>
      </c>
      <c r="C180">
        <v>80</v>
      </c>
      <c r="N180">
        <v>49</v>
      </c>
      <c r="O180" s="60" t="s">
        <v>1128</v>
      </c>
      <c r="P180" t="s">
        <v>1016</v>
      </c>
      <c r="Q180" t="s">
        <v>700</v>
      </c>
    </row>
    <row r="181" spans="1:17" x14ac:dyDescent="0.25">
      <c r="A181" t="s">
        <v>697</v>
      </c>
      <c r="B181">
        <v>5.4</v>
      </c>
      <c r="C181">
        <v>5000</v>
      </c>
      <c r="N181">
        <v>49</v>
      </c>
      <c r="O181" s="60" t="s">
        <v>1128</v>
      </c>
      <c r="P181" t="s">
        <v>1016</v>
      </c>
      <c r="Q181" t="s">
        <v>1129</v>
      </c>
    </row>
    <row r="182" spans="1:17" x14ac:dyDescent="0.25">
      <c r="A182" t="s">
        <v>23</v>
      </c>
      <c r="B182">
        <v>141</v>
      </c>
      <c r="C182">
        <v>104</v>
      </c>
      <c r="D182">
        <v>16.200000000000003</v>
      </c>
      <c r="E182">
        <v>141</v>
      </c>
      <c r="F182">
        <v>104</v>
      </c>
      <c r="G182">
        <v>21.6</v>
      </c>
      <c r="H182">
        <v>0</v>
      </c>
      <c r="I182">
        <v>0</v>
      </c>
      <c r="K182">
        <v>3000</v>
      </c>
      <c r="N182">
        <v>0</v>
      </c>
      <c r="O182" s="60">
        <v>0</v>
      </c>
      <c r="P182" t="s">
        <v>659</v>
      </c>
      <c r="Q182" t="s">
        <v>1130</v>
      </c>
    </row>
    <row r="183" spans="1:17" x14ac:dyDescent="0.25">
      <c r="A183" t="s">
        <v>23</v>
      </c>
      <c r="B183">
        <v>141</v>
      </c>
      <c r="C183">
        <v>104</v>
      </c>
      <c r="D183">
        <v>21.6</v>
      </c>
      <c r="E183">
        <v>141</v>
      </c>
      <c r="F183">
        <v>112</v>
      </c>
      <c r="G183">
        <v>21.6</v>
      </c>
      <c r="H183">
        <v>0</v>
      </c>
      <c r="I183">
        <v>0</v>
      </c>
      <c r="J183">
        <v>0</v>
      </c>
      <c r="K183">
        <v>3000</v>
      </c>
      <c r="L183">
        <v>0</v>
      </c>
      <c r="N183">
        <v>49</v>
      </c>
      <c r="O183" s="60" t="s">
        <v>1131</v>
      </c>
      <c r="P183" t="s">
        <v>1007</v>
      </c>
      <c r="Q183" t="s">
        <v>936</v>
      </c>
    </row>
    <row r="184" spans="1:17" x14ac:dyDescent="0.25">
      <c r="A184" t="s">
        <v>49</v>
      </c>
      <c r="B184" t="s">
        <v>203</v>
      </c>
      <c r="C184">
        <v>2</v>
      </c>
      <c r="N184">
        <v>49</v>
      </c>
      <c r="O184" s="60" t="s">
        <v>1132</v>
      </c>
      <c r="P184" t="s">
        <v>1022</v>
      </c>
      <c r="Q184" t="s">
        <v>499</v>
      </c>
    </row>
    <row r="185" spans="1:17" x14ac:dyDescent="0.25">
      <c r="A185" t="s">
        <v>49</v>
      </c>
      <c r="B185" t="s">
        <v>849</v>
      </c>
      <c r="N185">
        <v>49</v>
      </c>
      <c r="O185" s="60" t="s">
        <v>1133</v>
      </c>
      <c r="P185" t="s">
        <v>1024</v>
      </c>
      <c r="Q185" t="s">
        <v>849</v>
      </c>
    </row>
    <row r="186" spans="1:17" x14ac:dyDescent="0.25">
      <c r="A186" t="s">
        <v>23</v>
      </c>
      <c r="B186">
        <v>141</v>
      </c>
      <c r="C186">
        <v>112</v>
      </c>
      <c r="D186">
        <v>21.6</v>
      </c>
      <c r="E186">
        <v>275</v>
      </c>
      <c r="F186">
        <v>125</v>
      </c>
      <c r="G186">
        <v>21.6</v>
      </c>
      <c r="H186">
        <v>0</v>
      </c>
      <c r="I186">
        <v>0</v>
      </c>
      <c r="K186">
        <v>3000</v>
      </c>
      <c r="N186">
        <v>0</v>
      </c>
      <c r="O186" s="60">
        <v>0</v>
      </c>
      <c r="P186" t="s">
        <v>659</v>
      </c>
      <c r="Q186" t="s">
        <v>1081</v>
      </c>
    </row>
    <row r="187" spans="1:17" x14ac:dyDescent="0.25">
      <c r="A187" t="s">
        <v>19</v>
      </c>
      <c r="B187">
        <v>275</v>
      </c>
      <c r="C187">
        <v>125</v>
      </c>
      <c r="D187">
        <v>21.6</v>
      </c>
      <c r="E187">
        <v>275</v>
      </c>
      <c r="F187">
        <v>100</v>
      </c>
      <c r="G187">
        <v>16.200000000000003</v>
      </c>
      <c r="H187">
        <v>3.75</v>
      </c>
      <c r="I187">
        <v>2.2999999999999998</v>
      </c>
      <c r="J187">
        <v>0.17554611885264862</v>
      </c>
      <c r="K187">
        <v>600</v>
      </c>
      <c r="L187">
        <v>0</v>
      </c>
      <c r="N187">
        <v>49</v>
      </c>
      <c r="O187" s="60" t="s">
        <v>1134</v>
      </c>
      <c r="P187" t="s">
        <v>1020</v>
      </c>
      <c r="Q187" t="s">
        <v>1135</v>
      </c>
    </row>
    <row r="188" spans="1:17" x14ac:dyDescent="0.25">
      <c r="A188" t="s">
        <v>19</v>
      </c>
      <c r="B188">
        <v>275</v>
      </c>
      <c r="C188">
        <v>100</v>
      </c>
      <c r="D188">
        <v>16.200000000000003</v>
      </c>
      <c r="E188">
        <v>145</v>
      </c>
      <c r="F188">
        <v>100</v>
      </c>
      <c r="G188">
        <v>16.200000000000003</v>
      </c>
      <c r="H188">
        <v>3.75</v>
      </c>
      <c r="I188">
        <v>2.2999999999999998</v>
      </c>
      <c r="J188">
        <v>0.89226239970893917</v>
      </c>
      <c r="K188">
        <v>600</v>
      </c>
      <c r="L188">
        <v>0</v>
      </c>
      <c r="N188">
        <v>49</v>
      </c>
      <c r="O188" s="60" t="s">
        <v>1136</v>
      </c>
      <c r="P188" t="s">
        <v>1026</v>
      </c>
      <c r="Q188" t="s">
        <v>861</v>
      </c>
    </row>
    <row r="189" spans="1:17" x14ac:dyDescent="0.25">
      <c r="A189" t="s">
        <v>19</v>
      </c>
      <c r="B189">
        <v>145</v>
      </c>
      <c r="C189">
        <v>100</v>
      </c>
      <c r="D189">
        <v>16.200000000000003</v>
      </c>
      <c r="E189">
        <v>145</v>
      </c>
      <c r="F189">
        <v>96</v>
      </c>
      <c r="G189">
        <v>16.200000000000003</v>
      </c>
      <c r="H189">
        <v>3.75</v>
      </c>
      <c r="I189">
        <v>2.2999999999999998</v>
      </c>
      <c r="J189">
        <v>2.7454227683351973E-2</v>
      </c>
      <c r="K189">
        <v>600</v>
      </c>
      <c r="L189">
        <v>0</v>
      </c>
      <c r="N189">
        <v>49</v>
      </c>
      <c r="O189" s="60" t="s">
        <v>1137</v>
      </c>
      <c r="P189" t="s">
        <v>1028</v>
      </c>
      <c r="Q189" t="s">
        <v>882</v>
      </c>
    </row>
    <row r="190" spans="1:17" x14ac:dyDescent="0.25">
      <c r="A190" t="s">
        <v>19</v>
      </c>
      <c r="B190">
        <v>145</v>
      </c>
      <c r="C190">
        <v>96</v>
      </c>
      <c r="D190">
        <v>16.200000000000003</v>
      </c>
      <c r="E190">
        <v>275</v>
      </c>
      <c r="F190">
        <v>96</v>
      </c>
      <c r="G190">
        <v>16.200000000000003</v>
      </c>
      <c r="H190">
        <v>3.75</v>
      </c>
      <c r="I190">
        <v>2.2999999999999998</v>
      </c>
      <c r="J190">
        <v>0.89226239970893917</v>
      </c>
      <c r="K190">
        <v>600</v>
      </c>
      <c r="L190">
        <v>0</v>
      </c>
      <c r="N190">
        <v>49</v>
      </c>
      <c r="O190" s="60" t="s">
        <v>1138</v>
      </c>
      <c r="P190" t="s">
        <v>1030</v>
      </c>
      <c r="Q190" t="s">
        <v>862</v>
      </c>
    </row>
    <row r="191" spans="1:17" x14ac:dyDescent="0.25">
      <c r="A191" t="s">
        <v>19</v>
      </c>
      <c r="B191">
        <v>275</v>
      </c>
      <c r="C191">
        <v>96</v>
      </c>
      <c r="D191">
        <v>16.200000000000003</v>
      </c>
      <c r="E191">
        <v>275</v>
      </c>
      <c r="F191">
        <v>84</v>
      </c>
      <c r="G191">
        <v>16.200000000000003</v>
      </c>
      <c r="H191">
        <v>3.75</v>
      </c>
      <c r="I191">
        <v>2.2999999999999998</v>
      </c>
      <c r="J191">
        <v>8.236268305005591E-2</v>
      </c>
      <c r="K191">
        <v>600</v>
      </c>
      <c r="L191">
        <v>0</v>
      </c>
      <c r="N191">
        <v>49</v>
      </c>
      <c r="O191" s="60" t="s">
        <v>1139</v>
      </c>
      <c r="P191" t="s">
        <v>1032</v>
      </c>
      <c r="Q191" t="s">
        <v>898</v>
      </c>
    </row>
    <row r="192" spans="1:17" x14ac:dyDescent="0.25">
      <c r="A192" t="s">
        <v>19</v>
      </c>
      <c r="B192">
        <v>275</v>
      </c>
      <c r="C192">
        <v>84</v>
      </c>
      <c r="D192">
        <v>16.200000000000003</v>
      </c>
      <c r="E192">
        <v>145</v>
      </c>
      <c r="F192">
        <v>84</v>
      </c>
      <c r="G192">
        <v>16.200000000000003</v>
      </c>
      <c r="H192">
        <v>3.75</v>
      </c>
      <c r="I192">
        <v>2.2999999999999998</v>
      </c>
      <c r="J192">
        <v>0.89226239970893917</v>
      </c>
      <c r="K192">
        <v>600</v>
      </c>
      <c r="L192">
        <v>0</v>
      </c>
      <c r="N192">
        <v>49</v>
      </c>
      <c r="O192" s="60" t="s">
        <v>1140</v>
      </c>
      <c r="P192" t="s">
        <v>1075</v>
      </c>
      <c r="Q192" t="s">
        <v>861</v>
      </c>
    </row>
    <row r="193" spans="1:17" x14ac:dyDescent="0.25">
      <c r="A193" t="s">
        <v>19</v>
      </c>
      <c r="B193">
        <v>145</v>
      </c>
      <c r="C193">
        <v>84</v>
      </c>
      <c r="D193">
        <v>16.200000000000003</v>
      </c>
      <c r="E193">
        <v>145</v>
      </c>
      <c r="F193">
        <v>80</v>
      </c>
      <c r="G193">
        <v>16.200000000000003</v>
      </c>
      <c r="H193">
        <v>3.75</v>
      </c>
      <c r="I193">
        <v>2.2999999999999998</v>
      </c>
      <c r="J193">
        <v>2.7454227683351973E-2</v>
      </c>
      <c r="K193">
        <v>600</v>
      </c>
      <c r="L193">
        <v>0</v>
      </c>
      <c r="N193">
        <v>49</v>
      </c>
      <c r="O193" s="60" t="s">
        <v>1141</v>
      </c>
      <c r="P193" t="s">
        <v>1036</v>
      </c>
      <c r="Q193" t="s">
        <v>886</v>
      </c>
    </row>
    <row r="194" spans="1:17" x14ac:dyDescent="0.25">
      <c r="A194" t="s">
        <v>19</v>
      </c>
      <c r="B194">
        <v>145</v>
      </c>
      <c r="C194">
        <v>80</v>
      </c>
      <c r="D194">
        <v>16.200000000000003</v>
      </c>
      <c r="E194">
        <v>275</v>
      </c>
      <c r="F194">
        <v>80</v>
      </c>
      <c r="G194">
        <v>16.200000000000003</v>
      </c>
      <c r="H194">
        <v>3.75</v>
      </c>
      <c r="I194">
        <v>2.2999999999999998</v>
      </c>
      <c r="J194">
        <v>0.89226239970893917</v>
      </c>
      <c r="K194">
        <v>600</v>
      </c>
      <c r="L194">
        <v>0</v>
      </c>
      <c r="N194">
        <v>49</v>
      </c>
      <c r="O194" s="60" t="s">
        <v>1142</v>
      </c>
      <c r="P194" t="s">
        <v>1038</v>
      </c>
      <c r="Q194" t="s">
        <v>862</v>
      </c>
    </row>
    <row r="195" spans="1:17" x14ac:dyDescent="0.25">
      <c r="A195" t="s">
        <v>19</v>
      </c>
      <c r="B195">
        <v>275</v>
      </c>
      <c r="C195">
        <v>80</v>
      </c>
      <c r="D195">
        <v>16.200000000000003</v>
      </c>
      <c r="E195">
        <v>275</v>
      </c>
      <c r="F195">
        <v>68</v>
      </c>
      <c r="G195">
        <v>16.200000000000003</v>
      </c>
      <c r="H195">
        <v>3.75</v>
      </c>
      <c r="I195">
        <v>2.2999999999999998</v>
      </c>
      <c r="J195">
        <v>8.236268305005591E-2</v>
      </c>
      <c r="K195">
        <v>600</v>
      </c>
      <c r="L195">
        <v>0</v>
      </c>
      <c r="N195">
        <v>49</v>
      </c>
      <c r="O195" s="60" t="s">
        <v>1143</v>
      </c>
      <c r="P195" t="s">
        <v>1040</v>
      </c>
      <c r="Q195" t="s">
        <v>899</v>
      </c>
    </row>
    <row r="196" spans="1:17" x14ac:dyDescent="0.25">
      <c r="A196" t="s">
        <v>19</v>
      </c>
      <c r="B196">
        <v>275</v>
      </c>
      <c r="C196">
        <v>68</v>
      </c>
      <c r="D196">
        <v>16.200000000000003</v>
      </c>
      <c r="E196">
        <v>145</v>
      </c>
      <c r="F196">
        <v>68</v>
      </c>
      <c r="G196">
        <v>16.200000000000003</v>
      </c>
      <c r="H196">
        <v>3.75</v>
      </c>
      <c r="I196">
        <v>2.2999999999999998</v>
      </c>
      <c r="J196">
        <v>0.89226239970893917</v>
      </c>
      <c r="K196">
        <v>600</v>
      </c>
      <c r="L196">
        <v>0</v>
      </c>
      <c r="N196">
        <v>49</v>
      </c>
      <c r="O196" s="60" t="s">
        <v>1144</v>
      </c>
      <c r="P196" t="s">
        <v>1075</v>
      </c>
      <c r="Q196" t="s">
        <v>861</v>
      </c>
    </row>
    <row r="197" spans="1:17" x14ac:dyDescent="0.25">
      <c r="A197" t="s">
        <v>19</v>
      </c>
      <c r="B197">
        <v>145</v>
      </c>
      <c r="C197">
        <v>68</v>
      </c>
      <c r="D197">
        <v>16.200000000000003</v>
      </c>
      <c r="E197">
        <v>145</v>
      </c>
      <c r="F197">
        <v>64</v>
      </c>
      <c r="G197">
        <v>16.200000000000003</v>
      </c>
      <c r="H197">
        <v>3.75</v>
      </c>
      <c r="I197">
        <v>2.2999999999999998</v>
      </c>
      <c r="J197">
        <v>2.7454227683351973E-2</v>
      </c>
      <c r="K197">
        <v>600</v>
      </c>
      <c r="L197">
        <v>0</v>
      </c>
      <c r="N197">
        <v>49</v>
      </c>
      <c r="O197" s="60" t="s">
        <v>1145</v>
      </c>
      <c r="P197" t="s">
        <v>1036</v>
      </c>
      <c r="Q197" t="s">
        <v>890</v>
      </c>
    </row>
    <row r="198" spans="1:17" x14ac:dyDescent="0.25">
      <c r="A198" t="s">
        <v>19</v>
      </c>
      <c r="B198">
        <v>145</v>
      </c>
      <c r="C198">
        <v>64</v>
      </c>
      <c r="D198">
        <v>16.200000000000003</v>
      </c>
      <c r="E198">
        <v>275</v>
      </c>
      <c r="F198">
        <v>64</v>
      </c>
      <c r="G198">
        <v>16.200000000000003</v>
      </c>
      <c r="H198">
        <v>3.75</v>
      </c>
      <c r="I198">
        <v>2.2999999999999998</v>
      </c>
      <c r="J198">
        <v>0.89226239970893917</v>
      </c>
      <c r="K198">
        <v>600</v>
      </c>
      <c r="L198">
        <v>0</v>
      </c>
      <c r="N198">
        <v>49</v>
      </c>
      <c r="O198" s="60" t="s">
        <v>1146</v>
      </c>
      <c r="P198" t="s">
        <v>1038</v>
      </c>
      <c r="Q198" t="s">
        <v>862</v>
      </c>
    </row>
    <row r="199" spans="1:17" x14ac:dyDescent="0.25">
      <c r="A199" t="s">
        <v>19</v>
      </c>
      <c r="B199">
        <v>275</v>
      </c>
      <c r="C199">
        <v>64</v>
      </c>
      <c r="D199">
        <v>16.200000000000003</v>
      </c>
      <c r="E199">
        <v>275</v>
      </c>
      <c r="F199">
        <v>52</v>
      </c>
      <c r="G199">
        <v>16.200000000000003</v>
      </c>
      <c r="H199">
        <v>3.75</v>
      </c>
      <c r="I199">
        <v>2.2999999999999998</v>
      </c>
      <c r="J199">
        <v>8.236268305005591E-2</v>
      </c>
      <c r="K199">
        <v>600</v>
      </c>
      <c r="L199">
        <v>0</v>
      </c>
      <c r="N199">
        <v>49</v>
      </c>
      <c r="O199" s="60" t="s">
        <v>1147</v>
      </c>
      <c r="P199" t="s">
        <v>1040</v>
      </c>
      <c r="Q199" t="s">
        <v>900</v>
      </c>
    </row>
    <row r="200" spans="1:17" x14ac:dyDescent="0.25">
      <c r="A200" t="s">
        <v>39</v>
      </c>
      <c r="B200">
        <v>0</v>
      </c>
      <c r="C200">
        <v>0</v>
      </c>
      <c r="N200">
        <v>49</v>
      </c>
      <c r="O200" s="60" t="s">
        <v>1148</v>
      </c>
      <c r="P200" t="s">
        <v>1047</v>
      </c>
      <c r="Q200" t="s">
        <v>750</v>
      </c>
    </row>
    <row r="201" spans="1:17" x14ac:dyDescent="0.25">
      <c r="A201" t="s">
        <v>697</v>
      </c>
      <c r="B201">
        <v>2.7</v>
      </c>
      <c r="C201">
        <v>5000</v>
      </c>
      <c r="N201">
        <v>49</v>
      </c>
      <c r="O201" s="60" t="s">
        <v>1148</v>
      </c>
      <c r="P201" t="s">
        <v>1047</v>
      </c>
      <c r="Q201" t="s">
        <v>1108</v>
      </c>
    </row>
    <row r="202" spans="1:17" x14ac:dyDescent="0.25">
      <c r="A202" t="s">
        <v>23</v>
      </c>
      <c r="B202">
        <v>275</v>
      </c>
      <c r="C202">
        <v>52</v>
      </c>
      <c r="D202">
        <v>16.200000000000003</v>
      </c>
      <c r="E202">
        <v>275</v>
      </c>
      <c r="F202">
        <v>52</v>
      </c>
      <c r="G202">
        <v>18.900000000000002</v>
      </c>
      <c r="H202">
        <v>0</v>
      </c>
      <c r="I202">
        <v>0</v>
      </c>
      <c r="K202">
        <v>3000</v>
      </c>
      <c r="N202">
        <v>0</v>
      </c>
      <c r="O202" s="60">
        <v>0</v>
      </c>
      <c r="P202" t="s">
        <v>659</v>
      </c>
      <c r="Q202" t="s">
        <v>1109</v>
      </c>
    </row>
    <row r="203" spans="1:17" x14ac:dyDescent="0.25">
      <c r="A203" t="s">
        <v>19</v>
      </c>
      <c r="B203">
        <v>275</v>
      </c>
      <c r="C203">
        <v>52</v>
      </c>
      <c r="D203">
        <v>18.900000000000002</v>
      </c>
      <c r="E203">
        <v>275</v>
      </c>
      <c r="F203">
        <v>64</v>
      </c>
      <c r="G203">
        <v>18.900000000000002</v>
      </c>
      <c r="H203">
        <v>3.75</v>
      </c>
      <c r="I203">
        <v>2.2999999999999998</v>
      </c>
      <c r="J203">
        <v>8.236268305005591E-2</v>
      </c>
      <c r="K203">
        <v>600</v>
      </c>
      <c r="L203">
        <v>0</v>
      </c>
      <c r="N203">
        <v>49</v>
      </c>
      <c r="O203" s="60" t="s">
        <v>1149</v>
      </c>
      <c r="P203" t="s">
        <v>1034</v>
      </c>
      <c r="Q203" t="s">
        <v>954</v>
      </c>
    </row>
    <row r="204" spans="1:17" x14ac:dyDescent="0.25">
      <c r="A204" t="s">
        <v>19</v>
      </c>
      <c r="B204">
        <v>275</v>
      </c>
      <c r="C204">
        <v>64</v>
      </c>
      <c r="D204">
        <v>18.900000000000002</v>
      </c>
      <c r="E204">
        <v>145</v>
      </c>
      <c r="F204">
        <v>64</v>
      </c>
      <c r="G204">
        <v>18.900000000000002</v>
      </c>
      <c r="H204">
        <v>3.75</v>
      </c>
      <c r="I204">
        <v>2.2999999999999998</v>
      </c>
      <c r="J204">
        <v>0.89226239970893917</v>
      </c>
      <c r="K204">
        <v>600</v>
      </c>
      <c r="L204">
        <v>0</v>
      </c>
      <c r="N204">
        <v>49</v>
      </c>
      <c r="O204" s="60" t="s">
        <v>1150</v>
      </c>
      <c r="P204" t="s">
        <v>1049</v>
      </c>
      <c r="Q204" t="s">
        <v>861</v>
      </c>
    </row>
    <row r="205" spans="1:17" x14ac:dyDescent="0.25">
      <c r="A205" t="s">
        <v>19</v>
      </c>
      <c r="B205">
        <v>145</v>
      </c>
      <c r="C205">
        <v>64</v>
      </c>
      <c r="D205">
        <v>18.900000000000002</v>
      </c>
      <c r="E205">
        <v>145</v>
      </c>
      <c r="F205">
        <v>68</v>
      </c>
      <c r="G205">
        <v>18.900000000000002</v>
      </c>
      <c r="H205">
        <v>3.75</v>
      </c>
      <c r="I205">
        <v>2.2999999999999998</v>
      </c>
      <c r="J205">
        <v>2.7454227683351973E-2</v>
      </c>
      <c r="K205">
        <v>600</v>
      </c>
      <c r="L205">
        <v>0</v>
      </c>
      <c r="N205">
        <v>49</v>
      </c>
      <c r="O205" s="60" t="s">
        <v>1151</v>
      </c>
      <c r="P205" t="s">
        <v>1051</v>
      </c>
      <c r="Q205" t="s">
        <v>889</v>
      </c>
    </row>
    <row r="206" spans="1:17" x14ac:dyDescent="0.25">
      <c r="A206" t="s">
        <v>19</v>
      </c>
      <c r="B206">
        <v>145</v>
      </c>
      <c r="C206">
        <v>68</v>
      </c>
      <c r="D206">
        <v>18.900000000000002</v>
      </c>
      <c r="E206">
        <v>275</v>
      </c>
      <c r="F206">
        <v>68</v>
      </c>
      <c r="G206">
        <v>18.900000000000002</v>
      </c>
      <c r="H206">
        <v>3.75</v>
      </c>
      <c r="I206">
        <v>2.2999999999999998</v>
      </c>
      <c r="J206">
        <v>0.89226239970893917</v>
      </c>
      <c r="K206">
        <v>600</v>
      </c>
      <c r="L206">
        <v>0</v>
      </c>
      <c r="N206">
        <v>49</v>
      </c>
      <c r="O206" s="60" t="s">
        <v>1152</v>
      </c>
      <c r="P206" t="s">
        <v>1053</v>
      </c>
      <c r="Q206" t="s">
        <v>862</v>
      </c>
    </row>
    <row r="207" spans="1:17" x14ac:dyDescent="0.25">
      <c r="A207" t="s">
        <v>19</v>
      </c>
      <c r="B207">
        <v>275</v>
      </c>
      <c r="C207">
        <v>68</v>
      </c>
      <c r="D207">
        <v>18.900000000000002</v>
      </c>
      <c r="E207">
        <v>275</v>
      </c>
      <c r="F207">
        <v>80</v>
      </c>
      <c r="G207">
        <v>18.900000000000002</v>
      </c>
      <c r="H207">
        <v>3.75</v>
      </c>
      <c r="I207">
        <v>2.2999999999999998</v>
      </c>
      <c r="J207">
        <v>8.236268305005591E-2</v>
      </c>
      <c r="K207">
        <v>600</v>
      </c>
      <c r="L207">
        <v>0</v>
      </c>
      <c r="N207">
        <v>49</v>
      </c>
      <c r="O207" s="60" t="s">
        <v>1153</v>
      </c>
      <c r="P207" t="s">
        <v>1076</v>
      </c>
      <c r="Q207" t="s">
        <v>963</v>
      </c>
    </row>
    <row r="208" spans="1:17" x14ac:dyDescent="0.25">
      <c r="A208" t="s">
        <v>19</v>
      </c>
      <c r="B208">
        <v>275</v>
      </c>
      <c r="C208">
        <v>80</v>
      </c>
      <c r="D208">
        <v>18.900000000000002</v>
      </c>
      <c r="E208">
        <v>145</v>
      </c>
      <c r="F208">
        <v>80</v>
      </c>
      <c r="G208">
        <v>18.900000000000002</v>
      </c>
      <c r="H208">
        <v>3.75</v>
      </c>
      <c r="I208">
        <v>2.2999999999999998</v>
      </c>
      <c r="J208">
        <v>0.89226239970893917</v>
      </c>
      <c r="K208">
        <v>600</v>
      </c>
      <c r="L208">
        <v>0</v>
      </c>
      <c r="N208">
        <v>49</v>
      </c>
      <c r="O208" s="60" t="s">
        <v>1154</v>
      </c>
      <c r="P208" t="s">
        <v>1057</v>
      </c>
      <c r="Q208" t="s">
        <v>861</v>
      </c>
    </row>
    <row r="209" spans="1:17" x14ac:dyDescent="0.25">
      <c r="A209" t="s">
        <v>19</v>
      </c>
      <c r="B209">
        <v>145</v>
      </c>
      <c r="C209">
        <v>80</v>
      </c>
      <c r="D209">
        <v>18.900000000000002</v>
      </c>
      <c r="E209">
        <v>145</v>
      </c>
      <c r="F209">
        <v>84</v>
      </c>
      <c r="G209">
        <v>18.900000000000002</v>
      </c>
      <c r="H209">
        <v>3.75</v>
      </c>
      <c r="I209">
        <v>2.2999999999999998</v>
      </c>
      <c r="J209">
        <v>2.7454227683351973E-2</v>
      </c>
      <c r="K209">
        <v>600</v>
      </c>
      <c r="L209">
        <v>0</v>
      </c>
      <c r="N209">
        <v>49</v>
      </c>
      <c r="O209" s="60" t="s">
        <v>1155</v>
      </c>
      <c r="P209" t="s">
        <v>1059</v>
      </c>
      <c r="Q209" t="s">
        <v>885</v>
      </c>
    </row>
    <row r="210" spans="1:17" x14ac:dyDescent="0.25">
      <c r="A210" t="s">
        <v>19</v>
      </c>
      <c r="B210">
        <v>145</v>
      </c>
      <c r="C210">
        <v>84</v>
      </c>
      <c r="D210">
        <v>18.900000000000002</v>
      </c>
      <c r="E210">
        <v>275</v>
      </c>
      <c r="F210">
        <v>84</v>
      </c>
      <c r="G210">
        <v>18.900000000000002</v>
      </c>
      <c r="H210">
        <v>3.75</v>
      </c>
      <c r="I210">
        <v>2.2999999999999998</v>
      </c>
      <c r="J210">
        <v>0.89226239970893917</v>
      </c>
      <c r="K210">
        <v>600</v>
      </c>
      <c r="L210">
        <v>0</v>
      </c>
      <c r="N210">
        <v>49</v>
      </c>
      <c r="O210" s="60" t="s">
        <v>1156</v>
      </c>
      <c r="P210" t="s">
        <v>1061</v>
      </c>
      <c r="Q210" t="s">
        <v>862</v>
      </c>
    </row>
    <row r="211" spans="1:17" x14ac:dyDescent="0.25">
      <c r="A211" t="s">
        <v>19</v>
      </c>
      <c r="B211">
        <v>275</v>
      </c>
      <c r="C211">
        <v>84</v>
      </c>
      <c r="D211">
        <v>18.900000000000002</v>
      </c>
      <c r="E211">
        <v>275</v>
      </c>
      <c r="F211">
        <v>96</v>
      </c>
      <c r="G211">
        <v>18.900000000000002</v>
      </c>
      <c r="H211">
        <v>3.75</v>
      </c>
      <c r="I211">
        <v>2.2999999999999998</v>
      </c>
      <c r="J211">
        <v>8.236268305005591E-2</v>
      </c>
      <c r="K211">
        <v>600</v>
      </c>
      <c r="L211">
        <v>0</v>
      </c>
      <c r="N211">
        <v>49</v>
      </c>
      <c r="O211" s="60" t="s">
        <v>1157</v>
      </c>
      <c r="P211" t="s">
        <v>1076</v>
      </c>
      <c r="Q211" t="s">
        <v>970</v>
      </c>
    </row>
    <row r="212" spans="1:17" x14ac:dyDescent="0.25">
      <c r="A212" t="s">
        <v>19</v>
      </c>
      <c r="B212">
        <v>275</v>
      </c>
      <c r="C212">
        <v>96</v>
      </c>
      <c r="D212">
        <v>18.900000000000002</v>
      </c>
      <c r="E212">
        <v>145</v>
      </c>
      <c r="F212">
        <v>96</v>
      </c>
      <c r="G212">
        <v>18.900000000000002</v>
      </c>
      <c r="H212">
        <v>3.75</v>
      </c>
      <c r="I212">
        <v>2.2999999999999998</v>
      </c>
      <c r="J212">
        <v>0.89226239970893917</v>
      </c>
      <c r="K212">
        <v>600</v>
      </c>
      <c r="L212">
        <v>0</v>
      </c>
      <c r="N212">
        <v>49</v>
      </c>
      <c r="O212" s="60" t="s">
        <v>1158</v>
      </c>
      <c r="P212" t="s">
        <v>1057</v>
      </c>
      <c r="Q212" t="s">
        <v>861</v>
      </c>
    </row>
    <row r="213" spans="1:17" x14ac:dyDescent="0.25">
      <c r="A213" t="s">
        <v>19</v>
      </c>
      <c r="B213">
        <v>145</v>
      </c>
      <c r="C213">
        <v>96</v>
      </c>
      <c r="D213">
        <v>18.900000000000002</v>
      </c>
      <c r="E213">
        <v>145</v>
      </c>
      <c r="F213">
        <v>100</v>
      </c>
      <c r="G213">
        <v>18.900000000000002</v>
      </c>
      <c r="H213">
        <v>3.75</v>
      </c>
      <c r="I213">
        <v>2.2999999999999998</v>
      </c>
      <c r="J213">
        <v>2.7454227683351973E-2</v>
      </c>
      <c r="K213">
        <v>600</v>
      </c>
      <c r="L213">
        <v>0</v>
      </c>
      <c r="N213">
        <v>49</v>
      </c>
      <c r="O213" s="60" t="s">
        <v>1159</v>
      </c>
      <c r="P213" t="s">
        <v>1059</v>
      </c>
      <c r="Q213" t="s">
        <v>973</v>
      </c>
    </row>
    <row r="214" spans="1:17" x14ac:dyDescent="0.25">
      <c r="A214" t="s">
        <v>19</v>
      </c>
      <c r="B214">
        <v>145</v>
      </c>
      <c r="C214">
        <v>100</v>
      </c>
      <c r="D214">
        <v>18.900000000000002</v>
      </c>
      <c r="E214">
        <v>275</v>
      </c>
      <c r="F214">
        <v>100</v>
      </c>
      <c r="G214">
        <v>18.900000000000002</v>
      </c>
      <c r="H214">
        <v>3.75</v>
      </c>
      <c r="I214">
        <v>2.2999999999999998</v>
      </c>
      <c r="J214">
        <v>0.89226239970893917</v>
      </c>
      <c r="K214">
        <v>600</v>
      </c>
      <c r="L214">
        <v>0</v>
      </c>
      <c r="N214">
        <v>49</v>
      </c>
      <c r="O214" s="60" t="s">
        <v>1160</v>
      </c>
      <c r="P214" t="s">
        <v>1061</v>
      </c>
      <c r="Q214" t="s">
        <v>862</v>
      </c>
    </row>
    <row r="215" spans="1:17" x14ac:dyDescent="0.25">
      <c r="A215" t="s">
        <v>23</v>
      </c>
      <c r="B215">
        <v>275</v>
      </c>
      <c r="C215">
        <v>100</v>
      </c>
      <c r="D215">
        <v>18.900000000000002</v>
      </c>
      <c r="E215">
        <v>283</v>
      </c>
      <c r="F215">
        <v>100</v>
      </c>
      <c r="G215">
        <v>24.300000000000004</v>
      </c>
      <c r="H215">
        <v>0</v>
      </c>
      <c r="I215">
        <v>0</v>
      </c>
      <c r="J215">
        <v>0</v>
      </c>
      <c r="K215">
        <v>3000</v>
      </c>
      <c r="L215">
        <v>0</v>
      </c>
      <c r="N215">
        <v>49</v>
      </c>
      <c r="O215" s="60" t="s">
        <v>1161</v>
      </c>
      <c r="P215" t="s">
        <v>1055</v>
      </c>
      <c r="Q215" t="s">
        <v>1162</v>
      </c>
    </row>
    <row r="216" spans="1:17" x14ac:dyDescent="0.25">
      <c r="A216" t="s">
        <v>23</v>
      </c>
      <c r="B216">
        <v>283</v>
      </c>
      <c r="C216">
        <v>100</v>
      </c>
      <c r="D216">
        <v>24.300000000000004</v>
      </c>
      <c r="E216">
        <v>283</v>
      </c>
      <c r="F216">
        <v>108</v>
      </c>
      <c r="G216">
        <v>24.300000000000004</v>
      </c>
      <c r="H216">
        <v>0</v>
      </c>
      <c r="I216">
        <v>0</v>
      </c>
      <c r="J216">
        <v>0</v>
      </c>
      <c r="K216">
        <v>3000</v>
      </c>
      <c r="L216">
        <v>0</v>
      </c>
      <c r="N216">
        <v>49</v>
      </c>
      <c r="O216" s="60" t="s">
        <v>1163</v>
      </c>
      <c r="P216" t="s">
        <v>1068</v>
      </c>
      <c r="Q216" t="s">
        <v>979</v>
      </c>
    </row>
    <row r="217" spans="1:17" x14ac:dyDescent="0.25">
      <c r="A217" t="s">
        <v>49</v>
      </c>
      <c r="B217" t="s">
        <v>203</v>
      </c>
      <c r="C217">
        <v>3</v>
      </c>
      <c r="N217">
        <v>49</v>
      </c>
      <c r="O217" s="60" t="s">
        <v>1164</v>
      </c>
      <c r="P217" t="s">
        <v>981</v>
      </c>
      <c r="Q217" t="s">
        <v>739</v>
      </c>
    </row>
    <row r="218" spans="1:17" x14ac:dyDescent="0.25">
      <c r="A218" t="s">
        <v>23</v>
      </c>
      <c r="B218">
        <v>283</v>
      </c>
      <c r="C218">
        <v>108</v>
      </c>
      <c r="D218">
        <v>24.300000000000004</v>
      </c>
      <c r="E218">
        <v>141</v>
      </c>
      <c r="F218">
        <v>104</v>
      </c>
      <c r="G218">
        <v>18.900000000000002</v>
      </c>
      <c r="H218">
        <v>0</v>
      </c>
      <c r="I218">
        <v>0</v>
      </c>
      <c r="K218">
        <v>3000</v>
      </c>
      <c r="N218">
        <v>0</v>
      </c>
      <c r="O218" s="60">
        <v>0</v>
      </c>
      <c r="P218" t="s">
        <v>659</v>
      </c>
      <c r="Q218" t="s">
        <v>1165</v>
      </c>
    </row>
    <row r="219" spans="1:17" x14ac:dyDescent="0.25">
      <c r="A219" t="s">
        <v>19</v>
      </c>
      <c r="B219">
        <v>141</v>
      </c>
      <c r="C219">
        <v>104</v>
      </c>
      <c r="D219">
        <v>18.900000000000002</v>
      </c>
      <c r="E219">
        <v>141</v>
      </c>
      <c r="F219">
        <v>92</v>
      </c>
      <c r="G219">
        <v>18.900000000000002</v>
      </c>
      <c r="H219">
        <v>3.75</v>
      </c>
      <c r="I219">
        <v>2.1868530000000002</v>
      </c>
      <c r="J219">
        <v>7.8310904572201731E-2</v>
      </c>
      <c r="K219">
        <v>1000</v>
      </c>
      <c r="L219">
        <v>0</v>
      </c>
      <c r="N219">
        <v>49</v>
      </c>
      <c r="O219" s="60" t="s">
        <v>1166</v>
      </c>
      <c r="P219" t="s">
        <v>1072</v>
      </c>
      <c r="Q219" t="s">
        <v>905</v>
      </c>
    </row>
    <row r="220" spans="1:17" x14ac:dyDescent="0.25">
      <c r="A220" t="s">
        <v>19</v>
      </c>
      <c r="B220">
        <v>141</v>
      </c>
      <c r="C220">
        <v>92</v>
      </c>
      <c r="D220">
        <v>18.900000000000002</v>
      </c>
      <c r="E220">
        <v>271</v>
      </c>
      <c r="F220">
        <v>92</v>
      </c>
      <c r="G220">
        <v>18.900000000000002</v>
      </c>
      <c r="H220">
        <v>3.75</v>
      </c>
      <c r="I220">
        <v>2.1868530000000002</v>
      </c>
      <c r="J220">
        <v>0.84836813286551871</v>
      </c>
      <c r="K220">
        <v>1000</v>
      </c>
      <c r="L220">
        <v>0</v>
      </c>
      <c r="N220">
        <v>49</v>
      </c>
      <c r="O220" s="60" t="s">
        <v>1167</v>
      </c>
      <c r="P220" t="s">
        <v>984</v>
      </c>
      <c r="Q220" t="s">
        <v>906</v>
      </c>
    </row>
    <row r="221" spans="1:17" x14ac:dyDescent="0.25">
      <c r="A221" t="s">
        <v>19</v>
      </c>
      <c r="B221">
        <v>271</v>
      </c>
      <c r="C221">
        <v>92</v>
      </c>
      <c r="D221">
        <v>18.900000000000002</v>
      </c>
      <c r="E221">
        <v>271</v>
      </c>
      <c r="F221">
        <v>88</v>
      </c>
      <c r="G221">
        <v>18.900000000000002</v>
      </c>
      <c r="H221">
        <v>3.75</v>
      </c>
      <c r="I221">
        <v>2.1868530000000002</v>
      </c>
      <c r="J221">
        <v>2.6103634857400575E-2</v>
      </c>
      <c r="K221">
        <v>1000</v>
      </c>
      <c r="L221">
        <v>0</v>
      </c>
      <c r="N221">
        <v>49</v>
      </c>
      <c r="O221" s="60" t="s">
        <v>1168</v>
      </c>
      <c r="P221" t="s">
        <v>986</v>
      </c>
      <c r="Q221" t="s">
        <v>908</v>
      </c>
    </row>
    <row r="222" spans="1:17" x14ac:dyDescent="0.25">
      <c r="A222" t="s">
        <v>19</v>
      </c>
      <c r="B222">
        <v>271</v>
      </c>
      <c r="C222">
        <v>88</v>
      </c>
      <c r="D222">
        <v>18.900000000000002</v>
      </c>
      <c r="E222">
        <v>141</v>
      </c>
      <c r="F222">
        <v>88</v>
      </c>
      <c r="G222">
        <v>18.900000000000002</v>
      </c>
      <c r="H222">
        <v>3.75</v>
      </c>
      <c r="I222">
        <v>2.1868530000000002</v>
      </c>
      <c r="J222">
        <v>0.84836813286551871</v>
      </c>
      <c r="K222">
        <v>1000</v>
      </c>
      <c r="L222">
        <v>0</v>
      </c>
      <c r="N222">
        <v>49</v>
      </c>
      <c r="O222" s="60" t="s">
        <v>1169</v>
      </c>
      <c r="P222" t="s">
        <v>988</v>
      </c>
      <c r="Q222" t="s">
        <v>909</v>
      </c>
    </row>
    <row r="223" spans="1:17" x14ac:dyDescent="0.25">
      <c r="A223" t="s">
        <v>19</v>
      </c>
      <c r="B223">
        <v>141</v>
      </c>
      <c r="C223">
        <v>88</v>
      </c>
      <c r="D223">
        <v>18.900000000000002</v>
      </c>
      <c r="E223">
        <v>141</v>
      </c>
      <c r="F223">
        <v>76</v>
      </c>
      <c r="G223">
        <v>18.900000000000002</v>
      </c>
      <c r="H223">
        <v>3.75</v>
      </c>
      <c r="I223">
        <v>2.1868530000000002</v>
      </c>
      <c r="J223">
        <v>7.8310904572201731E-2</v>
      </c>
      <c r="K223">
        <v>1000</v>
      </c>
      <c r="L223">
        <v>0</v>
      </c>
      <c r="N223">
        <v>49</v>
      </c>
      <c r="O223" s="60" t="s">
        <v>1170</v>
      </c>
      <c r="P223" t="s">
        <v>1073</v>
      </c>
      <c r="Q223" t="s">
        <v>920</v>
      </c>
    </row>
    <row r="224" spans="1:17" x14ac:dyDescent="0.25">
      <c r="A224" t="s">
        <v>19</v>
      </c>
      <c r="B224">
        <v>141</v>
      </c>
      <c r="C224">
        <v>76</v>
      </c>
      <c r="D224">
        <v>18.900000000000002</v>
      </c>
      <c r="E224">
        <v>271</v>
      </c>
      <c r="F224">
        <v>76</v>
      </c>
      <c r="G224">
        <v>18.900000000000002</v>
      </c>
      <c r="H224">
        <v>3.75</v>
      </c>
      <c r="I224">
        <v>2.1868530000000002</v>
      </c>
      <c r="J224">
        <v>0.84836813286551871</v>
      </c>
      <c r="K224">
        <v>1000</v>
      </c>
      <c r="L224">
        <v>0</v>
      </c>
      <c r="N224">
        <v>49</v>
      </c>
      <c r="O224" s="60" t="s">
        <v>1171</v>
      </c>
      <c r="P224" t="s">
        <v>992</v>
      </c>
      <c r="Q224" t="s">
        <v>906</v>
      </c>
    </row>
    <row r="225" spans="1:17" x14ac:dyDescent="0.25">
      <c r="A225" t="s">
        <v>19</v>
      </c>
      <c r="B225">
        <v>271</v>
      </c>
      <c r="C225">
        <v>76</v>
      </c>
      <c r="D225">
        <v>18.900000000000002</v>
      </c>
      <c r="E225">
        <v>271</v>
      </c>
      <c r="F225">
        <v>72</v>
      </c>
      <c r="G225">
        <v>18.900000000000002</v>
      </c>
      <c r="H225">
        <v>3.75</v>
      </c>
      <c r="I225">
        <v>2.1868530000000002</v>
      </c>
      <c r="J225">
        <v>2.6103634857400575E-2</v>
      </c>
      <c r="K225">
        <v>1000</v>
      </c>
      <c r="L225">
        <v>0</v>
      </c>
      <c r="N225">
        <v>49</v>
      </c>
      <c r="O225" s="60" t="s">
        <v>1172</v>
      </c>
      <c r="P225" t="s">
        <v>994</v>
      </c>
      <c r="Q225" t="s">
        <v>913</v>
      </c>
    </row>
    <row r="226" spans="1:17" x14ac:dyDescent="0.25">
      <c r="A226" t="s">
        <v>19</v>
      </c>
      <c r="B226">
        <v>271</v>
      </c>
      <c r="C226">
        <v>72</v>
      </c>
      <c r="D226">
        <v>18.900000000000002</v>
      </c>
      <c r="E226">
        <v>141</v>
      </c>
      <c r="F226">
        <v>72</v>
      </c>
      <c r="G226">
        <v>18.900000000000002</v>
      </c>
      <c r="H226">
        <v>3.75</v>
      </c>
      <c r="I226">
        <v>2.1868530000000002</v>
      </c>
      <c r="J226">
        <v>0.84836813286551871</v>
      </c>
      <c r="K226">
        <v>1000</v>
      </c>
      <c r="L226">
        <v>0</v>
      </c>
      <c r="N226">
        <v>49</v>
      </c>
      <c r="O226" s="60" t="s">
        <v>1173</v>
      </c>
      <c r="P226" t="s">
        <v>996</v>
      </c>
      <c r="Q226" t="s">
        <v>909</v>
      </c>
    </row>
    <row r="227" spans="1:17" x14ac:dyDescent="0.25">
      <c r="A227" t="s">
        <v>39</v>
      </c>
      <c r="B227">
        <v>0</v>
      </c>
      <c r="C227">
        <v>0</v>
      </c>
      <c r="N227">
        <v>49</v>
      </c>
      <c r="O227" s="60" t="s">
        <v>1174</v>
      </c>
      <c r="P227" t="s">
        <v>999</v>
      </c>
      <c r="Q227" t="s">
        <v>750</v>
      </c>
    </row>
    <row r="228" spans="1:17" x14ac:dyDescent="0.25">
      <c r="A228" t="s">
        <v>697</v>
      </c>
      <c r="B228">
        <v>2.7</v>
      </c>
      <c r="C228">
        <v>5000</v>
      </c>
      <c r="N228">
        <v>49</v>
      </c>
      <c r="O228" s="60" t="s">
        <v>1174</v>
      </c>
      <c r="P228" t="s">
        <v>999</v>
      </c>
      <c r="Q228" t="s">
        <v>1129</v>
      </c>
    </row>
    <row r="229" spans="1:17" x14ac:dyDescent="0.25">
      <c r="A229" t="s">
        <v>23</v>
      </c>
      <c r="B229">
        <v>141</v>
      </c>
      <c r="C229">
        <v>72</v>
      </c>
      <c r="D229">
        <v>18.900000000000002</v>
      </c>
      <c r="E229">
        <v>141</v>
      </c>
      <c r="F229">
        <v>72</v>
      </c>
      <c r="G229">
        <v>21.6</v>
      </c>
      <c r="H229">
        <v>0</v>
      </c>
      <c r="I229">
        <v>0</v>
      </c>
      <c r="K229">
        <v>3000</v>
      </c>
      <c r="N229">
        <v>0</v>
      </c>
      <c r="O229" s="60">
        <v>0</v>
      </c>
      <c r="P229" t="s">
        <v>659</v>
      </c>
      <c r="Q229" t="s">
        <v>1130</v>
      </c>
    </row>
    <row r="230" spans="1:17" x14ac:dyDescent="0.25">
      <c r="A230" t="s">
        <v>19</v>
      </c>
      <c r="B230">
        <v>141</v>
      </c>
      <c r="C230">
        <v>72</v>
      </c>
      <c r="D230">
        <v>21.6</v>
      </c>
      <c r="E230">
        <v>271</v>
      </c>
      <c r="F230">
        <v>72</v>
      </c>
      <c r="G230">
        <v>21.6</v>
      </c>
      <c r="H230">
        <v>3.75</v>
      </c>
      <c r="I230">
        <v>2.1868530000000002</v>
      </c>
      <c r="J230">
        <v>0.84836813286551871</v>
      </c>
      <c r="K230">
        <v>1000</v>
      </c>
      <c r="L230">
        <v>0</v>
      </c>
      <c r="N230">
        <v>49</v>
      </c>
      <c r="O230" s="60" t="s">
        <v>1175</v>
      </c>
      <c r="P230" t="s">
        <v>990</v>
      </c>
      <c r="Q230" t="s">
        <v>925</v>
      </c>
    </row>
    <row r="231" spans="1:17" x14ac:dyDescent="0.25">
      <c r="A231" t="s">
        <v>19</v>
      </c>
      <c r="B231">
        <v>271</v>
      </c>
      <c r="C231">
        <v>72</v>
      </c>
      <c r="D231">
        <v>21.6</v>
      </c>
      <c r="E231">
        <v>271</v>
      </c>
      <c r="F231">
        <v>76</v>
      </c>
      <c r="G231">
        <v>21.6</v>
      </c>
      <c r="H231">
        <v>3.75</v>
      </c>
      <c r="I231">
        <v>2.1868530000000002</v>
      </c>
      <c r="J231">
        <v>2.6103634857400575E-2</v>
      </c>
      <c r="K231">
        <v>1000</v>
      </c>
      <c r="L231">
        <v>0</v>
      </c>
      <c r="N231">
        <v>49</v>
      </c>
      <c r="O231" s="60" t="s">
        <v>1176</v>
      </c>
      <c r="P231" t="s">
        <v>1001</v>
      </c>
      <c r="Q231" t="s">
        <v>926</v>
      </c>
    </row>
    <row r="232" spans="1:17" x14ac:dyDescent="0.25">
      <c r="A232" t="s">
        <v>19</v>
      </c>
      <c r="B232">
        <v>271</v>
      </c>
      <c r="C232">
        <v>76</v>
      </c>
      <c r="D232">
        <v>21.6</v>
      </c>
      <c r="E232">
        <v>141</v>
      </c>
      <c r="F232">
        <v>76</v>
      </c>
      <c r="G232">
        <v>21.6</v>
      </c>
      <c r="H232">
        <v>3.75</v>
      </c>
      <c r="I232">
        <v>2.1868530000000002</v>
      </c>
      <c r="J232">
        <v>0.84836813286551871</v>
      </c>
      <c r="K232">
        <v>1000</v>
      </c>
      <c r="L232">
        <v>0</v>
      </c>
      <c r="N232">
        <v>49</v>
      </c>
      <c r="O232" s="60" t="s">
        <v>1177</v>
      </c>
      <c r="P232" t="s">
        <v>1003</v>
      </c>
      <c r="Q232" t="s">
        <v>909</v>
      </c>
    </row>
    <row r="233" spans="1:17" x14ac:dyDescent="0.25">
      <c r="A233" t="s">
        <v>19</v>
      </c>
      <c r="B233">
        <v>141</v>
      </c>
      <c r="C233">
        <v>76</v>
      </c>
      <c r="D233">
        <v>21.6</v>
      </c>
      <c r="E233">
        <v>141</v>
      </c>
      <c r="F233">
        <v>88</v>
      </c>
      <c r="G233">
        <v>21.6</v>
      </c>
      <c r="H233">
        <v>3.75</v>
      </c>
      <c r="I233">
        <v>2.1868530000000002</v>
      </c>
      <c r="J233">
        <v>7.8310904572201731E-2</v>
      </c>
      <c r="K233">
        <v>1000</v>
      </c>
      <c r="L233">
        <v>0</v>
      </c>
      <c r="N233">
        <v>49</v>
      </c>
      <c r="O233" s="60" t="s">
        <v>1178</v>
      </c>
      <c r="P233" t="s">
        <v>1005</v>
      </c>
      <c r="Q233" t="s">
        <v>927</v>
      </c>
    </row>
    <row r="234" spans="1:17" x14ac:dyDescent="0.25">
      <c r="A234" t="s">
        <v>19</v>
      </c>
      <c r="B234">
        <v>141</v>
      </c>
      <c r="C234">
        <v>88</v>
      </c>
      <c r="D234">
        <v>21.6</v>
      </c>
      <c r="E234">
        <v>271</v>
      </c>
      <c r="F234">
        <v>88</v>
      </c>
      <c r="G234">
        <v>21.6</v>
      </c>
      <c r="H234">
        <v>3.75</v>
      </c>
      <c r="I234">
        <v>2.1868530000000002</v>
      </c>
      <c r="J234">
        <v>0.84836813286551871</v>
      </c>
      <c r="K234">
        <v>1000</v>
      </c>
      <c r="L234">
        <v>0</v>
      </c>
      <c r="N234">
        <v>49</v>
      </c>
      <c r="O234" s="60" t="s">
        <v>1179</v>
      </c>
      <c r="P234" t="s">
        <v>1074</v>
      </c>
      <c r="Q234" t="s">
        <v>906</v>
      </c>
    </row>
    <row r="235" spans="1:17" x14ac:dyDescent="0.25">
      <c r="A235" t="s">
        <v>19</v>
      </c>
      <c r="B235">
        <v>271</v>
      </c>
      <c r="C235">
        <v>88</v>
      </c>
      <c r="D235">
        <v>21.6</v>
      </c>
      <c r="E235">
        <v>271</v>
      </c>
      <c r="F235">
        <v>92</v>
      </c>
      <c r="G235">
        <v>21.6</v>
      </c>
      <c r="H235">
        <v>3.75</v>
      </c>
      <c r="I235">
        <v>2.1868530000000002</v>
      </c>
      <c r="J235">
        <v>2.6103634857400575E-2</v>
      </c>
      <c r="K235">
        <v>1000</v>
      </c>
      <c r="L235">
        <v>0</v>
      </c>
      <c r="N235">
        <v>49</v>
      </c>
      <c r="O235" s="60" t="s">
        <v>1180</v>
      </c>
      <c r="P235" t="s">
        <v>1009</v>
      </c>
      <c r="Q235" t="s">
        <v>930</v>
      </c>
    </row>
    <row r="236" spans="1:17" x14ac:dyDescent="0.25">
      <c r="A236" t="s">
        <v>19</v>
      </c>
      <c r="B236">
        <v>271</v>
      </c>
      <c r="C236">
        <v>92</v>
      </c>
      <c r="D236">
        <v>21.6</v>
      </c>
      <c r="E236">
        <v>141</v>
      </c>
      <c r="F236">
        <v>92</v>
      </c>
      <c r="G236">
        <v>21.6</v>
      </c>
      <c r="H236">
        <v>3.75</v>
      </c>
      <c r="I236">
        <v>2.1868530000000002</v>
      </c>
      <c r="J236">
        <v>0.84836813286551871</v>
      </c>
      <c r="K236">
        <v>1000</v>
      </c>
      <c r="L236">
        <v>0</v>
      </c>
      <c r="N236">
        <v>49</v>
      </c>
      <c r="O236" s="60" t="s">
        <v>1181</v>
      </c>
      <c r="P236" t="s">
        <v>1011</v>
      </c>
      <c r="Q236" t="s">
        <v>909</v>
      </c>
    </row>
    <row r="237" spans="1:17" x14ac:dyDescent="0.25">
      <c r="A237" t="s">
        <v>19</v>
      </c>
      <c r="B237">
        <v>141</v>
      </c>
      <c r="C237">
        <v>92</v>
      </c>
      <c r="D237">
        <v>21.6</v>
      </c>
      <c r="E237">
        <v>141</v>
      </c>
      <c r="F237">
        <v>104</v>
      </c>
      <c r="G237">
        <v>21.6</v>
      </c>
      <c r="H237">
        <v>3.75</v>
      </c>
      <c r="I237">
        <v>2.1868530000000002</v>
      </c>
      <c r="J237">
        <v>7.8310904572201731E-2</v>
      </c>
      <c r="K237">
        <v>1000</v>
      </c>
      <c r="L237">
        <v>0</v>
      </c>
      <c r="N237">
        <v>49</v>
      </c>
      <c r="O237" s="60" t="s">
        <v>1182</v>
      </c>
      <c r="P237" t="s">
        <v>1013</v>
      </c>
      <c r="Q237" t="s">
        <v>933</v>
      </c>
    </row>
    <row r="238" spans="1:17" x14ac:dyDescent="0.25">
      <c r="A238" t="s">
        <v>39</v>
      </c>
      <c r="B238">
        <v>-0.35</v>
      </c>
      <c r="C238">
        <v>80</v>
      </c>
      <c r="N238">
        <v>49</v>
      </c>
      <c r="O238" s="60" t="s">
        <v>1183</v>
      </c>
      <c r="P238" t="s">
        <v>1016</v>
      </c>
      <c r="Q238" t="s">
        <v>700</v>
      </c>
    </row>
    <row r="239" spans="1:17" x14ac:dyDescent="0.25">
      <c r="A239" t="s">
        <v>697</v>
      </c>
      <c r="B239">
        <v>5.4</v>
      </c>
      <c r="C239">
        <v>5000</v>
      </c>
      <c r="N239">
        <v>49</v>
      </c>
      <c r="O239" s="60" t="s">
        <v>1183</v>
      </c>
      <c r="P239" t="s">
        <v>1016</v>
      </c>
      <c r="Q239" t="s">
        <v>1184</v>
      </c>
    </row>
    <row r="240" spans="1:17" x14ac:dyDescent="0.25">
      <c r="A240" t="s">
        <v>23</v>
      </c>
      <c r="B240">
        <v>141</v>
      </c>
      <c r="C240">
        <v>104</v>
      </c>
      <c r="D240">
        <v>21.6</v>
      </c>
      <c r="E240">
        <v>141</v>
      </c>
      <c r="F240">
        <v>104</v>
      </c>
      <c r="G240">
        <v>27</v>
      </c>
      <c r="H240">
        <v>0</v>
      </c>
      <c r="I240">
        <v>0</v>
      </c>
      <c r="K240">
        <v>3000</v>
      </c>
      <c r="N240">
        <v>0</v>
      </c>
      <c r="O240" s="60">
        <v>0</v>
      </c>
      <c r="P240" t="s">
        <v>659</v>
      </c>
      <c r="Q240" t="s">
        <v>1185</v>
      </c>
    </row>
    <row r="241" spans="1:17" x14ac:dyDescent="0.25">
      <c r="A241" t="s">
        <v>23</v>
      </c>
      <c r="B241">
        <v>141</v>
      </c>
      <c r="C241">
        <v>104</v>
      </c>
      <c r="D241">
        <v>27</v>
      </c>
      <c r="E241">
        <v>141</v>
      </c>
      <c r="F241">
        <v>112</v>
      </c>
      <c r="G241">
        <v>27</v>
      </c>
      <c r="H241">
        <v>0</v>
      </c>
      <c r="I241">
        <v>0</v>
      </c>
      <c r="J241">
        <v>0</v>
      </c>
      <c r="K241">
        <v>3000</v>
      </c>
      <c r="L241">
        <v>0</v>
      </c>
      <c r="N241">
        <v>49</v>
      </c>
      <c r="O241" s="60" t="s">
        <v>1186</v>
      </c>
      <c r="P241" t="s">
        <v>1007</v>
      </c>
      <c r="Q241" t="s">
        <v>936</v>
      </c>
    </row>
    <row r="242" spans="1:17" x14ac:dyDescent="0.25">
      <c r="A242" t="s">
        <v>49</v>
      </c>
      <c r="B242" t="s">
        <v>203</v>
      </c>
      <c r="C242">
        <v>2</v>
      </c>
      <c r="N242">
        <v>49</v>
      </c>
      <c r="O242" s="60" t="s">
        <v>1187</v>
      </c>
      <c r="P242" t="s">
        <v>1022</v>
      </c>
      <c r="Q242" t="s">
        <v>499</v>
      </c>
    </row>
    <row r="243" spans="1:17" x14ac:dyDescent="0.25">
      <c r="A243" t="s">
        <v>49</v>
      </c>
      <c r="B243" t="s">
        <v>849</v>
      </c>
      <c r="N243">
        <v>49</v>
      </c>
      <c r="O243" s="60" t="s">
        <v>1188</v>
      </c>
      <c r="P243" t="s">
        <v>1024</v>
      </c>
      <c r="Q243" t="s">
        <v>849</v>
      </c>
    </row>
    <row r="244" spans="1:17" x14ac:dyDescent="0.25">
      <c r="A244" t="s">
        <v>23</v>
      </c>
      <c r="B244">
        <v>141</v>
      </c>
      <c r="C244">
        <v>112</v>
      </c>
      <c r="D244">
        <v>27</v>
      </c>
      <c r="E244">
        <v>275</v>
      </c>
      <c r="F244">
        <v>125</v>
      </c>
      <c r="G244">
        <v>27</v>
      </c>
      <c r="H244">
        <v>0</v>
      </c>
      <c r="I244">
        <v>0</v>
      </c>
      <c r="K244">
        <v>3000</v>
      </c>
      <c r="N244">
        <v>0</v>
      </c>
      <c r="O244" s="60">
        <v>0</v>
      </c>
      <c r="P244" t="s">
        <v>659</v>
      </c>
      <c r="Q244" t="s">
        <v>1081</v>
      </c>
    </row>
    <row r="245" spans="1:17" x14ac:dyDescent="0.25">
      <c r="A245" t="s">
        <v>19</v>
      </c>
      <c r="B245">
        <v>275</v>
      </c>
      <c r="C245">
        <v>125</v>
      </c>
      <c r="D245">
        <v>27</v>
      </c>
      <c r="E245">
        <v>275</v>
      </c>
      <c r="F245">
        <v>100</v>
      </c>
      <c r="G245">
        <v>21.6</v>
      </c>
      <c r="H245">
        <v>3.75</v>
      </c>
      <c r="I245">
        <v>2.2999999999999998</v>
      </c>
      <c r="J245">
        <v>0.17554611885264862</v>
      </c>
      <c r="K245">
        <v>600</v>
      </c>
      <c r="L245">
        <v>0</v>
      </c>
      <c r="N245">
        <v>49</v>
      </c>
      <c r="O245" s="60" t="s">
        <v>1189</v>
      </c>
      <c r="P245" t="s">
        <v>1020</v>
      </c>
      <c r="Q245" t="s">
        <v>1190</v>
      </c>
    </row>
    <row r="246" spans="1:17" x14ac:dyDescent="0.25">
      <c r="A246" t="s">
        <v>19</v>
      </c>
      <c r="B246">
        <v>275</v>
      </c>
      <c r="C246">
        <v>100</v>
      </c>
      <c r="D246">
        <v>21.6</v>
      </c>
      <c r="E246">
        <v>145</v>
      </c>
      <c r="F246">
        <v>100</v>
      </c>
      <c r="G246">
        <v>21.6</v>
      </c>
      <c r="H246">
        <v>3.75</v>
      </c>
      <c r="I246">
        <v>2.2999999999999998</v>
      </c>
      <c r="J246">
        <v>0.89226239970893917</v>
      </c>
      <c r="K246">
        <v>600</v>
      </c>
      <c r="L246">
        <v>0</v>
      </c>
      <c r="N246">
        <v>49</v>
      </c>
      <c r="O246" s="60" t="s">
        <v>1191</v>
      </c>
      <c r="P246" t="s">
        <v>1026</v>
      </c>
      <c r="Q246" t="s">
        <v>861</v>
      </c>
    </row>
    <row r="247" spans="1:17" x14ac:dyDescent="0.25">
      <c r="A247" t="s">
        <v>19</v>
      </c>
      <c r="B247">
        <v>145</v>
      </c>
      <c r="C247">
        <v>100</v>
      </c>
      <c r="D247">
        <v>21.6</v>
      </c>
      <c r="E247">
        <v>145</v>
      </c>
      <c r="F247">
        <v>96</v>
      </c>
      <c r="G247">
        <v>21.6</v>
      </c>
      <c r="H247">
        <v>3.75</v>
      </c>
      <c r="I247">
        <v>2.2999999999999998</v>
      </c>
      <c r="J247">
        <v>2.7454227683351973E-2</v>
      </c>
      <c r="K247">
        <v>600</v>
      </c>
      <c r="L247">
        <v>0</v>
      </c>
      <c r="N247">
        <v>49</v>
      </c>
      <c r="O247" s="60" t="s">
        <v>1192</v>
      </c>
      <c r="P247" t="s">
        <v>1028</v>
      </c>
      <c r="Q247" t="s">
        <v>882</v>
      </c>
    </row>
    <row r="248" spans="1:17" x14ac:dyDescent="0.25">
      <c r="A248" t="s">
        <v>19</v>
      </c>
      <c r="B248">
        <v>145</v>
      </c>
      <c r="C248">
        <v>96</v>
      </c>
      <c r="D248">
        <v>21.6</v>
      </c>
      <c r="E248">
        <v>275</v>
      </c>
      <c r="F248">
        <v>96</v>
      </c>
      <c r="G248">
        <v>21.6</v>
      </c>
      <c r="H248">
        <v>3.75</v>
      </c>
      <c r="I248">
        <v>2.2999999999999998</v>
      </c>
      <c r="J248">
        <v>0.89226239970893917</v>
      </c>
      <c r="K248">
        <v>600</v>
      </c>
      <c r="L248">
        <v>0</v>
      </c>
      <c r="N248">
        <v>49</v>
      </c>
      <c r="O248" s="60" t="s">
        <v>1193</v>
      </c>
      <c r="P248" t="s">
        <v>1030</v>
      </c>
      <c r="Q248" t="s">
        <v>862</v>
      </c>
    </row>
    <row r="249" spans="1:17" x14ac:dyDescent="0.25">
      <c r="A249" t="s">
        <v>19</v>
      </c>
      <c r="B249">
        <v>275</v>
      </c>
      <c r="C249">
        <v>96</v>
      </c>
      <c r="D249">
        <v>21.6</v>
      </c>
      <c r="E249">
        <v>275</v>
      </c>
      <c r="F249">
        <v>84</v>
      </c>
      <c r="G249">
        <v>21.6</v>
      </c>
      <c r="H249">
        <v>3.75</v>
      </c>
      <c r="I249">
        <v>2.2999999999999998</v>
      </c>
      <c r="J249">
        <v>8.236268305005591E-2</v>
      </c>
      <c r="K249">
        <v>600</v>
      </c>
      <c r="L249">
        <v>0</v>
      </c>
      <c r="N249">
        <v>49</v>
      </c>
      <c r="O249" s="60" t="s">
        <v>1194</v>
      </c>
      <c r="P249" t="s">
        <v>1032</v>
      </c>
      <c r="Q249" t="s">
        <v>898</v>
      </c>
    </row>
    <row r="250" spans="1:17" x14ac:dyDescent="0.25">
      <c r="A250" t="s">
        <v>19</v>
      </c>
      <c r="B250">
        <v>275</v>
      </c>
      <c r="C250">
        <v>84</v>
      </c>
      <c r="D250">
        <v>21.6</v>
      </c>
      <c r="E250">
        <v>145</v>
      </c>
      <c r="F250">
        <v>84</v>
      </c>
      <c r="G250">
        <v>21.6</v>
      </c>
      <c r="H250">
        <v>3.75</v>
      </c>
      <c r="I250">
        <v>2.2999999999999998</v>
      </c>
      <c r="J250">
        <v>0.89226239970893917</v>
      </c>
      <c r="K250">
        <v>600</v>
      </c>
      <c r="L250">
        <v>0</v>
      </c>
      <c r="N250">
        <v>49</v>
      </c>
      <c r="O250" s="60" t="s">
        <v>1195</v>
      </c>
      <c r="P250" t="s">
        <v>1075</v>
      </c>
      <c r="Q250" t="s">
        <v>861</v>
      </c>
    </row>
    <row r="251" spans="1:17" x14ac:dyDescent="0.25">
      <c r="A251" t="s">
        <v>19</v>
      </c>
      <c r="B251">
        <v>145</v>
      </c>
      <c r="C251">
        <v>84</v>
      </c>
      <c r="D251">
        <v>21.6</v>
      </c>
      <c r="E251">
        <v>145</v>
      </c>
      <c r="F251">
        <v>80</v>
      </c>
      <c r="G251">
        <v>21.6</v>
      </c>
      <c r="H251">
        <v>3.75</v>
      </c>
      <c r="I251">
        <v>2.2999999999999998</v>
      </c>
      <c r="J251">
        <v>2.7454227683351973E-2</v>
      </c>
      <c r="K251">
        <v>600</v>
      </c>
      <c r="L251">
        <v>0</v>
      </c>
      <c r="N251">
        <v>49</v>
      </c>
      <c r="O251" s="60" t="s">
        <v>1196</v>
      </c>
      <c r="P251" t="s">
        <v>1036</v>
      </c>
      <c r="Q251" t="s">
        <v>886</v>
      </c>
    </row>
    <row r="252" spans="1:17" x14ac:dyDescent="0.25">
      <c r="A252" t="s">
        <v>19</v>
      </c>
      <c r="B252">
        <v>145</v>
      </c>
      <c r="C252">
        <v>80</v>
      </c>
      <c r="D252">
        <v>21.6</v>
      </c>
      <c r="E252">
        <v>275</v>
      </c>
      <c r="F252">
        <v>80</v>
      </c>
      <c r="G252">
        <v>21.6</v>
      </c>
      <c r="H252">
        <v>3.75</v>
      </c>
      <c r="I252">
        <v>2.2999999999999998</v>
      </c>
      <c r="J252">
        <v>0.89226239970893917</v>
      </c>
      <c r="K252">
        <v>600</v>
      </c>
      <c r="L252">
        <v>0</v>
      </c>
      <c r="N252">
        <v>49</v>
      </c>
      <c r="O252" s="60" t="s">
        <v>1197</v>
      </c>
      <c r="P252" t="s">
        <v>1038</v>
      </c>
      <c r="Q252" t="s">
        <v>862</v>
      </c>
    </row>
    <row r="253" spans="1:17" x14ac:dyDescent="0.25">
      <c r="A253" t="s">
        <v>19</v>
      </c>
      <c r="B253">
        <v>275</v>
      </c>
      <c r="C253">
        <v>80</v>
      </c>
      <c r="D253">
        <v>21.6</v>
      </c>
      <c r="E253">
        <v>275</v>
      </c>
      <c r="F253">
        <v>68</v>
      </c>
      <c r="G253">
        <v>21.6</v>
      </c>
      <c r="H253">
        <v>3.75</v>
      </c>
      <c r="I253">
        <v>2.2999999999999998</v>
      </c>
      <c r="J253">
        <v>8.236268305005591E-2</v>
      </c>
      <c r="K253">
        <v>600</v>
      </c>
      <c r="L253">
        <v>0</v>
      </c>
      <c r="N253">
        <v>49</v>
      </c>
      <c r="O253" s="60" t="s">
        <v>1198</v>
      </c>
      <c r="P253" t="s">
        <v>1040</v>
      </c>
      <c r="Q253" t="s">
        <v>899</v>
      </c>
    </row>
    <row r="254" spans="1:17" x14ac:dyDescent="0.25">
      <c r="A254" t="s">
        <v>19</v>
      </c>
      <c r="B254">
        <v>275</v>
      </c>
      <c r="C254">
        <v>68</v>
      </c>
      <c r="D254">
        <v>21.6</v>
      </c>
      <c r="E254">
        <v>145</v>
      </c>
      <c r="F254">
        <v>68</v>
      </c>
      <c r="G254">
        <v>21.6</v>
      </c>
      <c r="H254">
        <v>3.75</v>
      </c>
      <c r="I254">
        <v>2.2999999999999998</v>
      </c>
      <c r="J254">
        <v>0.89226239970893917</v>
      </c>
      <c r="K254">
        <v>600</v>
      </c>
      <c r="L254">
        <v>0</v>
      </c>
      <c r="N254">
        <v>49</v>
      </c>
      <c r="O254" s="60" t="s">
        <v>1199</v>
      </c>
      <c r="P254" t="s">
        <v>1075</v>
      </c>
      <c r="Q254" t="s">
        <v>861</v>
      </c>
    </row>
    <row r="255" spans="1:17" x14ac:dyDescent="0.25">
      <c r="A255" t="s">
        <v>19</v>
      </c>
      <c r="B255">
        <v>145</v>
      </c>
      <c r="C255">
        <v>68</v>
      </c>
      <c r="D255">
        <v>21.6</v>
      </c>
      <c r="E255">
        <v>145</v>
      </c>
      <c r="F255">
        <v>64</v>
      </c>
      <c r="G255">
        <v>21.6</v>
      </c>
      <c r="H255">
        <v>3.75</v>
      </c>
      <c r="I255">
        <v>2.2999999999999998</v>
      </c>
      <c r="J255">
        <v>2.7454227683351973E-2</v>
      </c>
      <c r="K255">
        <v>600</v>
      </c>
      <c r="L255">
        <v>0</v>
      </c>
      <c r="N255">
        <v>49</v>
      </c>
      <c r="O255" s="60" t="s">
        <v>1200</v>
      </c>
      <c r="P255" t="s">
        <v>1036</v>
      </c>
      <c r="Q255" t="s">
        <v>890</v>
      </c>
    </row>
    <row r="256" spans="1:17" x14ac:dyDescent="0.25">
      <c r="A256" t="s">
        <v>19</v>
      </c>
      <c r="B256">
        <v>145</v>
      </c>
      <c r="C256">
        <v>64</v>
      </c>
      <c r="D256">
        <v>21.6</v>
      </c>
      <c r="E256">
        <v>275</v>
      </c>
      <c r="F256">
        <v>64</v>
      </c>
      <c r="G256">
        <v>21.6</v>
      </c>
      <c r="H256">
        <v>3.75</v>
      </c>
      <c r="I256">
        <v>2.2999999999999998</v>
      </c>
      <c r="J256">
        <v>0.89226239970893917</v>
      </c>
      <c r="K256">
        <v>600</v>
      </c>
      <c r="L256">
        <v>0</v>
      </c>
      <c r="N256">
        <v>49</v>
      </c>
      <c r="O256" s="60" t="s">
        <v>1201</v>
      </c>
      <c r="P256" t="s">
        <v>1038</v>
      </c>
      <c r="Q256" t="s">
        <v>862</v>
      </c>
    </row>
    <row r="257" spans="1:17" x14ac:dyDescent="0.25">
      <c r="A257" t="s">
        <v>19</v>
      </c>
      <c r="B257">
        <v>275</v>
      </c>
      <c r="C257">
        <v>64</v>
      </c>
      <c r="D257">
        <v>21.6</v>
      </c>
      <c r="E257">
        <v>275</v>
      </c>
      <c r="F257">
        <v>52</v>
      </c>
      <c r="G257">
        <v>21.6</v>
      </c>
      <c r="H257">
        <v>3.75</v>
      </c>
      <c r="I257">
        <v>2.2999999999999998</v>
      </c>
      <c r="J257">
        <v>8.236268305005591E-2</v>
      </c>
      <c r="K257">
        <v>600</v>
      </c>
      <c r="L257">
        <v>0</v>
      </c>
      <c r="N257">
        <v>49</v>
      </c>
      <c r="O257" s="60" t="s">
        <v>1202</v>
      </c>
      <c r="P257" t="s">
        <v>1040</v>
      </c>
      <c r="Q257" t="s">
        <v>900</v>
      </c>
    </row>
    <row r="258" spans="1:17" x14ac:dyDescent="0.25">
      <c r="A258" t="s">
        <v>39</v>
      </c>
      <c r="B258">
        <v>0</v>
      </c>
      <c r="C258">
        <v>0</v>
      </c>
      <c r="N258">
        <v>49</v>
      </c>
      <c r="O258" s="60" t="s">
        <v>1203</v>
      </c>
      <c r="P258" t="s">
        <v>1047</v>
      </c>
      <c r="Q258" t="s">
        <v>750</v>
      </c>
    </row>
    <row r="259" spans="1:17" x14ac:dyDescent="0.25">
      <c r="A259" t="s">
        <v>697</v>
      </c>
      <c r="B259">
        <v>2.7</v>
      </c>
      <c r="C259">
        <v>5000</v>
      </c>
      <c r="N259">
        <v>49</v>
      </c>
      <c r="O259" s="60" t="s">
        <v>1203</v>
      </c>
      <c r="P259" t="s">
        <v>1047</v>
      </c>
      <c r="Q259" t="s">
        <v>1204</v>
      </c>
    </row>
    <row r="260" spans="1:17" x14ac:dyDescent="0.25">
      <c r="A260" t="s">
        <v>23</v>
      </c>
      <c r="B260">
        <v>275</v>
      </c>
      <c r="C260">
        <v>52</v>
      </c>
      <c r="D260">
        <v>21.6</v>
      </c>
      <c r="E260">
        <v>275</v>
      </c>
      <c r="F260">
        <v>52</v>
      </c>
      <c r="G260">
        <v>24.300000000000004</v>
      </c>
      <c r="H260">
        <v>0</v>
      </c>
      <c r="I260">
        <v>0</v>
      </c>
      <c r="K260">
        <v>3000</v>
      </c>
      <c r="N260">
        <v>0</v>
      </c>
      <c r="O260" s="60">
        <v>0</v>
      </c>
      <c r="P260" t="s">
        <v>659</v>
      </c>
      <c r="Q260" t="s">
        <v>1205</v>
      </c>
    </row>
    <row r="261" spans="1:17" x14ac:dyDescent="0.25">
      <c r="A261" t="s">
        <v>19</v>
      </c>
      <c r="B261">
        <v>275</v>
      </c>
      <c r="C261">
        <v>52</v>
      </c>
      <c r="D261">
        <v>24.300000000000004</v>
      </c>
      <c r="E261">
        <v>275</v>
      </c>
      <c r="F261">
        <v>64</v>
      </c>
      <c r="G261">
        <v>24.300000000000004</v>
      </c>
      <c r="H261">
        <v>3.75</v>
      </c>
      <c r="I261">
        <v>2.2999999999999998</v>
      </c>
      <c r="J261">
        <v>8.236268305005591E-2</v>
      </c>
      <c r="K261">
        <v>600</v>
      </c>
      <c r="L261">
        <v>0</v>
      </c>
      <c r="N261">
        <v>49</v>
      </c>
      <c r="O261" s="60" t="s">
        <v>1206</v>
      </c>
      <c r="P261" t="s">
        <v>1034</v>
      </c>
      <c r="Q261" t="s">
        <v>954</v>
      </c>
    </row>
    <row r="262" spans="1:17" x14ac:dyDescent="0.25">
      <c r="A262" t="s">
        <v>19</v>
      </c>
      <c r="B262">
        <v>275</v>
      </c>
      <c r="C262">
        <v>64</v>
      </c>
      <c r="D262">
        <v>24.300000000000004</v>
      </c>
      <c r="E262">
        <v>145</v>
      </c>
      <c r="F262">
        <v>64</v>
      </c>
      <c r="G262">
        <v>24.300000000000004</v>
      </c>
      <c r="H262">
        <v>3.75</v>
      </c>
      <c r="I262">
        <v>2.2999999999999998</v>
      </c>
      <c r="J262">
        <v>0.89226239970893917</v>
      </c>
      <c r="K262">
        <v>600</v>
      </c>
      <c r="L262">
        <v>0</v>
      </c>
      <c r="N262">
        <v>49</v>
      </c>
      <c r="O262" s="60" t="s">
        <v>1207</v>
      </c>
      <c r="P262" t="s">
        <v>1049</v>
      </c>
      <c r="Q262" t="s">
        <v>861</v>
      </c>
    </row>
    <row r="263" spans="1:17" x14ac:dyDescent="0.25">
      <c r="A263" t="s">
        <v>19</v>
      </c>
      <c r="B263">
        <v>145</v>
      </c>
      <c r="C263">
        <v>64</v>
      </c>
      <c r="D263">
        <v>24.300000000000004</v>
      </c>
      <c r="E263">
        <v>145</v>
      </c>
      <c r="F263">
        <v>68</v>
      </c>
      <c r="G263">
        <v>24.300000000000004</v>
      </c>
      <c r="H263">
        <v>3.75</v>
      </c>
      <c r="I263">
        <v>2.2999999999999998</v>
      </c>
      <c r="J263">
        <v>2.7454227683351973E-2</v>
      </c>
      <c r="K263">
        <v>600</v>
      </c>
      <c r="L263">
        <v>0</v>
      </c>
      <c r="N263">
        <v>49</v>
      </c>
      <c r="O263" s="60" t="s">
        <v>1208</v>
      </c>
      <c r="P263" t="s">
        <v>1051</v>
      </c>
      <c r="Q263" t="s">
        <v>889</v>
      </c>
    </row>
    <row r="264" spans="1:17" x14ac:dyDescent="0.25">
      <c r="A264" t="s">
        <v>19</v>
      </c>
      <c r="B264">
        <v>145</v>
      </c>
      <c r="C264">
        <v>68</v>
      </c>
      <c r="D264">
        <v>24.300000000000004</v>
      </c>
      <c r="E264">
        <v>275</v>
      </c>
      <c r="F264">
        <v>68</v>
      </c>
      <c r="G264">
        <v>24.300000000000004</v>
      </c>
      <c r="H264">
        <v>3.75</v>
      </c>
      <c r="I264">
        <v>2.2999999999999998</v>
      </c>
      <c r="J264">
        <v>0.89226239970893917</v>
      </c>
      <c r="K264">
        <v>600</v>
      </c>
      <c r="L264">
        <v>0</v>
      </c>
      <c r="N264">
        <v>49</v>
      </c>
      <c r="O264" s="60" t="s">
        <v>1209</v>
      </c>
      <c r="P264" t="s">
        <v>1053</v>
      </c>
      <c r="Q264" t="s">
        <v>862</v>
      </c>
    </row>
    <row r="265" spans="1:17" x14ac:dyDescent="0.25">
      <c r="A265" t="s">
        <v>19</v>
      </c>
      <c r="B265">
        <v>275</v>
      </c>
      <c r="C265">
        <v>68</v>
      </c>
      <c r="D265">
        <v>24.300000000000004</v>
      </c>
      <c r="E265">
        <v>275</v>
      </c>
      <c r="F265">
        <v>80</v>
      </c>
      <c r="G265">
        <v>24.300000000000004</v>
      </c>
      <c r="H265">
        <v>3.75</v>
      </c>
      <c r="I265">
        <v>2.2999999999999998</v>
      </c>
      <c r="J265">
        <v>8.236268305005591E-2</v>
      </c>
      <c r="K265">
        <v>600</v>
      </c>
      <c r="L265">
        <v>0</v>
      </c>
      <c r="N265">
        <v>49</v>
      </c>
      <c r="O265" s="60" t="s">
        <v>1210</v>
      </c>
      <c r="P265" t="s">
        <v>1076</v>
      </c>
      <c r="Q265" t="s">
        <v>963</v>
      </c>
    </row>
    <row r="266" spans="1:17" x14ac:dyDescent="0.25">
      <c r="A266" t="s">
        <v>19</v>
      </c>
      <c r="B266">
        <v>275</v>
      </c>
      <c r="C266">
        <v>80</v>
      </c>
      <c r="D266">
        <v>24.300000000000004</v>
      </c>
      <c r="E266">
        <v>145</v>
      </c>
      <c r="F266">
        <v>80</v>
      </c>
      <c r="G266">
        <v>24.300000000000004</v>
      </c>
      <c r="H266">
        <v>3.75</v>
      </c>
      <c r="I266">
        <v>2.2999999999999998</v>
      </c>
      <c r="J266">
        <v>0.89226239970893917</v>
      </c>
      <c r="K266">
        <v>600</v>
      </c>
      <c r="L266">
        <v>0</v>
      </c>
      <c r="N266">
        <v>49</v>
      </c>
      <c r="O266" s="60" t="s">
        <v>1211</v>
      </c>
      <c r="P266" t="s">
        <v>1057</v>
      </c>
      <c r="Q266" t="s">
        <v>861</v>
      </c>
    </row>
    <row r="267" spans="1:17" x14ac:dyDescent="0.25">
      <c r="A267" t="s">
        <v>19</v>
      </c>
      <c r="B267">
        <v>145</v>
      </c>
      <c r="C267">
        <v>80</v>
      </c>
      <c r="D267">
        <v>24.300000000000004</v>
      </c>
      <c r="E267">
        <v>145</v>
      </c>
      <c r="F267">
        <v>84</v>
      </c>
      <c r="G267">
        <v>24.300000000000004</v>
      </c>
      <c r="H267">
        <v>3.75</v>
      </c>
      <c r="I267">
        <v>2.2999999999999998</v>
      </c>
      <c r="J267">
        <v>2.7454227683351973E-2</v>
      </c>
      <c r="K267">
        <v>600</v>
      </c>
      <c r="L267">
        <v>0</v>
      </c>
      <c r="N267">
        <v>49</v>
      </c>
      <c r="O267" s="60" t="s">
        <v>1212</v>
      </c>
      <c r="P267" t="s">
        <v>1059</v>
      </c>
      <c r="Q267" t="s">
        <v>885</v>
      </c>
    </row>
    <row r="268" spans="1:17" x14ac:dyDescent="0.25">
      <c r="A268" t="s">
        <v>19</v>
      </c>
      <c r="B268">
        <v>145</v>
      </c>
      <c r="C268">
        <v>84</v>
      </c>
      <c r="D268">
        <v>24.300000000000004</v>
      </c>
      <c r="E268">
        <v>275</v>
      </c>
      <c r="F268">
        <v>84</v>
      </c>
      <c r="G268">
        <v>24.300000000000004</v>
      </c>
      <c r="H268">
        <v>3.75</v>
      </c>
      <c r="I268">
        <v>2.2999999999999998</v>
      </c>
      <c r="J268">
        <v>0.89226239970893917</v>
      </c>
      <c r="K268">
        <v>600</v>
      </c>
      <c r="L268">
        <v>0</v>
      </c>
      <c r="N268">
        <v>49</v>
      </c>
      <c r="O268" s="60" t="s">
        <v>1213</v>
      </c>
      <c r="P268" t="s">
        <v>1061</v>
      </c>
      <c r="Q268" t="s">
        <v>862</v>
      </c>
    </row>
    <row r="269" spans="1:17" x14ac:dyDescent="0.25">
      <c r="A269" t="s">
        <v>19</v>
      </c>
      <c r="B269">
        <v>275</v>
      </c>
      <c r="C269">
        <v>84</v>
      </c>
      <c r="D269">
        <v>24.300000000000004</v>
      </c>
      <c r="E269">
        <v>275</v>
      </c>
      <c r="F269">
        <v>96</v>
      </c>
      <c r="G269">
        <v>24.300000000000004</v>
      </c>
      <c r="H269">
        <v>3.75</v>
      </c>
      <c r="I269">
        <v>2.2999999999999998</v>
      </c>
      <c r="J269">
        <v>8.236268305005591E-2</v>
      </c>
      <c r="K269">
        <v>600</v>
      </c>
      <c r="L269">
        <v>0</v>
      </c>
      <c r="N269">
        <v>49</v>
      </c>
      <c r="O269" s="60" t="s">
        <v>1214</v>
      </c>
      <c r="P269" t="s">
        <v>1076</v>
      </c>
      <c r="Q269" t="s">
        <v>970</v>
      </c>
    </row>
    <row r="270" spans="1:17" x14ac:dyDescent="0.25">
      <c r="A270" t="s">
        <v>19</v>
      </c>
      <c r="B270">
        <v>275</v>
      </c>
      <c r="C270">
        <v>96</v>
      </c>
      <c r="D270">
        <v>24.300000000000004</v>
      </c>
      <c r="E270">
        <v>145</v>
      </c>
      <c r="F270">
        <v>96</v>
      </c>
      <c r="G270">
        <v>24.300000000000004</v>
      </c>
      <c r="H270">
        <v>3.75</v>
      </c>
      <c r="I270">
        <v>2.2999999999999998</v>
      </c>
      <c r="J270">
        <v>0.89226239970893917</v>
      </c>
      <c r="K270">
        <v>600</v>
      </c>
      <c r="L270">
        <v>0</v>
      </c>
      <c r="N270">
        <v>49</v>
      </c>
      <c r="O270" s="60" t="s">
        <v>1215</v>
      </c>
      <c r="P270" t="s">
        <v>1057</v>
      </c>
      <c r="Q270" t="s">
        <v>861</v>
      </c>
    </row>
    <row r="271" spans="1:17" x14ac:dyDescent="0.25">
      <c r="A271" t="s">
        <v>19</v>
      </c>
      <c r="B271">
        <v>145</v>
      </c>
      <c r="C271">
        <v>96</v>
      </c>
      <c r="D271">
        <v>24.300000000000004</v>
      </c>
      <c r="E271">
        <v>145</v>
      </c>
      <c r="F271">
        <v>100</v>
      </c>
      <c r="G271">
        <v>24.300000000000004</v>
      </c>
      <c r="H271">
        <v>3.75</v>
      </c>
      <c r="I271">
        <v>2.2999999999999998</v>
      </c>
      <c r="J271">
        <v>2.7454227683351973E-2</v>
      </c>
      <c r="K271">
        <v>600</v>
      </c>
      <c r="L271">
        <v>0</v>
      </c>
      <c r="N271">
        <v>49</v>
      </c>
      <c r="O271" s="60" t="s">
        <v>1216</v>
      </c>
      <c r="P271" t="s">
        <v>1059</v>
      </c>
      <c r="Q271" t="s">
        <v>973</v>
      </c>
    </row>
    <row r="272" spans="1:17" x14ac:dyDescent="0.25">
      <c r="A272" t="s">
        <v>19</v>
      </c>
      <c r="B272">
        <v>145</v>
      </c>
      <c r="C272">
        <v>100</v>
      </c>
      <c r="D272">
        <v>24.300000000000004</v>
      </c>
      <c r="E272">
        <v>275</v>
      </c>
      <c r="F272">
        <v>100</v>
      </c>
      <c r="G272">
        <v>24.300000000000004</v>
      </c>
      <c r="H272">
        <v>3.75</v>
      </c>
      <c r="I272">
        <v>2.2999999999999998</v>
      </c>
      <c r="J272">
        <v>0.89226239970893917</v>
      </c>
      <c r="K272">
        <v>600</v>
      </c>
      <c r="L272">
        <v>0</v>
      </c>
      <c r="N272">
        <v>49</v>
      </c>
      <c r="O272" s="60" t="s">
        <v>1217</v>
      </c>
      <c r="P272" t="s">
        <v>1061</v>
      </c>
      <c r="Q272" t="s">
        <v>862</v>
      </c>
    </row>
    <row r="273" spans="1:17" x14ac:dyDescent="0.25">
      <c r="A273" t="s">
        <v>23</v>
      </c>
      <c r="B273">
        <v>275</v>
      </c>
      <c r="C273">
        <v>100</v>
      </c>
      <c r="D273">
        <v>24.300000000000004</v>
      </c>
      <c r="E273">
        <v>283</v>
      </c>
      <c r="F273">
        <v>100</v>
      </c>
      <c r="G273">
        <v>29.700000000000003</v>
      </c>
      <c r="H273">
        <v>0</v>
      </c>
      <c r="I273">
        <v>0</v>
      </c>
      <c r="J273">
        <v>0</v>
      </c>
      <c r="K273">
        <v>3000</v>
      </c>
      <c r="L273">
        <v>0</v>
      </c>
      <c r="N273">
        <v>49</v>
      </c>
      <c r="O273" s="60" t="s">
        <v>1218</v>
      </c>
      <c r="P273" t="s">
        <v>1055</v>
      </c>
      <c r="Q273" t="s">
        <v>1219</v>
      </c>
    </row>
    <row r="274" spans="1:17" x14ac:dyDescent="0.25">
      <c r="A274" t="s">
        <v>23</v>
      </c>
      <c r="B274">
        <v>283</v>
      </c>
      <c r="C274">
        <v>100</v>
      </c>
      <c r="D274">
        <v>29.700000000000003</v>
      </c>
      <c r="E274">
        <v>283</v>
      </c>
      <c r="F274">
        <v>108</v>
      </c>
      <c r="G274">
        <v>29.700000000000003</v>
      </c>
      <c r="H274">
        <v>0</v>
      </c>
      <c r="I274">
        <v>0</v>
      </c>
      <c r="J274">
        <v>0</v>
      </c>
      <c r="K274">
        <v>3000</v>
      </c>
      <c r="L274">
        <v>0</v>
      </c>
      <c r="N274">
        <v>49</v>
      </c>
      <c r="O274" s="60" t="s">
        <v>1220</v>
      </c>
      <c r="P274" t="s">
        <v>1068</v>
      </c>
      <c r="Q274" t="s">
        <v>979</v>
      </c>
    </row>
    <row r="275" spans="1:17" x14ac:dyDescent="0.25">
      <c r="A275" t="s">
        <v>49</v>
      </c>
      <c r="B275" t="s">
        <v>203</v>
      </c>
      <c r="C275">
        <v>3</v>
      </c>
      <c r="N275">
        <v>49</v>
      </c>
      <c r="O275" s="60" t="s">
        <v>1221</v>
      </c>
      <c r="P275" t="s">
        <v>981</v>
      </c>
      <c r="Q275" t="s">
        <v>739</v>
      </c>
    </row>
    <row r="276" spans="1:17" x14ac:dyDescent="0.25">
      <c r="A276" t="s">
        <v>23</v>
      </c>
      <c r="B276">
        <v>283</v>
      </c>
      <c r="C276">
        <v>108</v>
      </c>
      <c r="D276">
        <v>29.700000000000003</v>
      </c>
      <c r="E276">
        <v>141</v>
      </c>
      <c r="F276">
        <v>104</v>
      </c>
      <c r="G276">
        <v>24.3</v>
      </c>
      <c r="H276">
        <v>0</v>
      </c>
      <c r="I276">
        <v>0</v>
      </c>
      <c r="K276">
        <v>3000</v>
      </c>
      <c r="N276">
        <v>0</v>
      </c>
      <c r="O276" s="60">
        <v>0</v>
      </c>
      <c r="P276" t="s">
        <v>659</v>
      </c>
      <c r="Q276" t="s">
        <v>1222</v>
      </c>
    </row>
    <row r="277" spans="1:17" x14ac:dyDescent="0.25">
      <c r="A277" t="s">
        <v>19</v>
      </c>
      <c r="B277">
        <v>141</v>
      </c>
      <c r="C277">
        <v>104</v>
      </c>
      <c r="D277">
        <v>24.3</v>
      </c>
      <c r="E277">
        <v>141</v>
      </c>
      <c r="F277">
        <v>92</v>
      </c>
      <c r="G277">
        <v>24.3</v>
      </c>
      <c r="H277">
        <v>3.75</v>
      </c>
      <c r="I277">
        <v>2.1868530000000002</v>
      </c>
      <c r="J277">
        <v>7.8310904572201731E-2</v>
      </c>
      <c r="K277">
        <v>1000</v>
      </c>
      <c r="L277">
        <v>0</v>
      </c>
      <c r="N277">
        <v>49</v>
      </c>
      <c r="O277" s="60" t="s">
        <v>1223</v>
      </c>
      <c r="P277" t="s">
        <v>1072</v>
      </c>
      <c r="Q277" t="s">
        <v>905</v>
      </c>
    </row>
    <row r="278" spans="1:17" x14ac:dyDescent="0.25">
      <c r="A278" t="s">
        <v>19</v>
      </c>
      <c r="B278">
        <v>141</v>
      </c>
      <c r="C278">
        <v>92</v>
      </c>
      <c r="D278">
        <v>24.3</v>
      </c>
      <c r="E278">
        <v>271</v>
      </c>
      <c r="F278">
        <v>92</v>
      </c>
      <c r="G278">
        <v>24.3</v>
      </c>
      <c r="H278">
        <v>3.75</v>
      </c>
      <c r="I278">
        <v>2.1868530000000002</v>
      </c>
      <c r="J278">
        <v>0.84836813286551871</v>
      </c>
      <c r="K278">
        <v>1000</v>
      </c>
      <c r="L278">
        <v>0</v>
      </c>
      <c r="N278">
        <v>49</v>
      </c>
      <c r="O278" s="60" t="s">
        <v>1224</v>
      </c>
      <c r="P278" t="s">
        <v>984</v>
      </c>
      <c r="Q278" t="s">
        <v>906</v>
      </c>
    </row>
    <row r="279" spans="1:17" x14ac:dyDescent="0.25">
      <c r="A279" t="s">
        <v>19</v>
      </c>
      <c r="B279">
        <v>271</v>
      </c>
      <c r="C279">
        <v>92</v>
      </c>
      <c r="D279">
        <v>24.3</v>
      </c>
      <c r="E279">
        <v>271</v>
      </c>
      <c r="F279">
        <v>88</v>
      </c>
      <c r="G279">
        <v>24.3</v>
      </c>
      <c r="H279">
        <v>3.75</v>
      </c>
      <c r="I279">
        <v>2.1868530000000002</v>
      </c>
      <c r="J279">
        <v>2.6103634857400575E-2</v>
      </c>
      <c r="K279">
        <v>1000</v>
      </c>
      <c r="L279">
        <v>0</v>
      </c>
      <c r="N279">
        <v>49</v>
      </c>
      <c r="O279" s="60" t="s">
        <v>1225</v>
      </c>
      <c r="P279" t="s">
        <v>986</v>
      </c>
      <c r="Q279" t="s">
        <v>908</v>
      </c>
    </row>
    <row r="280" spans="1:17" x14ac:dyDescent="0.25">
      <c r="A280" t="s">
        <v>19</v>
      </c>
      <c r="B280">
        <v>271</v>
      </c>
      <c r="C280">
        <v>88</v>
      </c>
      <c r="D280">
        <v>24.3</v>
      </c>
      <c r="E280">
        <v>141</v>
      </c>
      <c r="F280">
        <v>88</v>
      </c>
      <c r="G280">
        <v>24.3</v>
      </c>
      <c r="H280">
        <v>3.75</v>
      </c>
      <c r="I280">
        <v>2.1868530000000002</v>
      </c>
      <c r="J280">
        <v>0.84836813286551871</v>
      </c>
      <c r="K280">
        <v>1000</v>
      </c>
      <c r="L280">
        <v>0</v>
      </c>
      <c r="N280">
        <v>49</v>
      </c>
      <c r="O280" s="60" t="s">
        <v>1226</v>
      </c>
      <c r="P280" t="s">
        <v>988</v>
      </c>
      <c r="Q280" t="s">
        <v>909</v>
      </c>
    </row>
    <row r="281" spans="1:17" x14ac:dyDescent="0.25">
      <c r="A281" t="s">
        <v>19</v>
      </c>
      <c r="B281">
        <v>141</v>
      </c>
      <c r="C281">
        <v>88</v>
      </c>
      <c r="D281">
        <v>24.3</v>
      </c>
      <c r="E281">
        <v>141</v>
      </c>
      <c r="F281">
        <v>76</v>
      </c>
      <c r="G281">
        <v>24.3</v>
      </c>
      <c r="H281">
        <v>3.75</v>
      </c>
      <c r="I281">
        <v>2.1868530000000002</v>
      </c>
      <c r="J281">
        <v>7.8310904572201731E-2</v>
      </c>
      <c r="K281">
        <v>1000</v>
      </c>
      <c r="L281">
        <v>0</v>
      </c>
      <c r="N281">
        <v>49</v>
      </c>
      <c r="O281" s="60" t="s">
        <v>1227</v>
      </c>
      <c r="P281" t="s">
        <v>1073</v>
      </c>
      <c r="Q281" t="s">
        <v>920</v>
      </c>
    </row>
    <row r="282" spans="1:17" x14ac:dyDescent="0.25">
      <c r="A282" t="s">
        <v>19</v>
      </c>
      <c r="B282">
        <v>141</v>
      </c>
      <c r="C282">
        <v>76</v>
      </c>
      <c r="D282">
        <v>24.3</v>
      </c>
      <c r="E282">
        <v>271</v>
      </c>
      <c r="F282">
        <v>76</v>
      </c>
      <c r="G282">
        <v>24.3</v>
      </c>
      <c r="H282">
        <v>3.75</v>
      </c>
      <c r="I282">
        <v>2.1868530000000002</v>
      </c>
      <c r="J282">
        <v>0.84836813286551871</v>
      </c>
      <c r="K282">
        <v>1000</v>
      </c>
      <c r="L282">
        <v>0</v>
      </c>
      <c r="N282">
        <v>49</v>
      </c>
      <c r="O282" s="60" t="s">
        <v>1228</v>
      </c>
      <c r="P282" t="s">
        <v>992</v>
      </c>
      <c r="Q282" t="s">
        <v>906</v>
      </c>
    </row>
    <row r="283" spans="1:17" x14ac:dyDescent="0.25">
      <c r="A283" t="s">
        <v>19</v>
      </c>
      <c r="B283">
        <v>271</v>
      </c>
      <c r="C283">
        <v>76</v>
      </c>
      <c r="D283">
        <v>24.3</v>
      </c>
      <c r="E283">
        <v>271</v>
      </c>
      <c r="F283">
        <v>72</v>
      </c>
      <c r="G283">
        <v>24.3</v>
      </c>
      <c r="H283">
        <v>3.75</v>
      </c>
      <c r="I283">
        <v>2.1868530000000002</v>
      </c>
      <c r="J283">
        <v>2.6103634857400575E-2</v>
      </c>
      <c r="K283">
        <v>1000</v>
      </c>
      <c r="L283">
        <v>0</v>
      </c>
      <c r="N283">
        <v>49</v>
      </c>
      <c r="O283" s="60" t="s">
        <v>1229</v>
      </c>
      <c r="P283" t="s">
        <v>994</v>
      </c>
      <c r="Q283" t="s">
        <v>913</v>
      </c>
    </row>
    <row r="284" spans="1:17" x14ac:dyDescent="0.25">
      <c r="A284" t="s">
        <v>19</v>
      </c>
      <c r="B284">
        <v>271</v>
      </c>
      <c r="C284">
        <v>72</v>
      </c>
      <c r="D284">
        <v>24.3</v>
      </c>
      <c r="E284">
        <v>141</v>
      </c>
      <c r="F284">
        <v>72</v>
      </c>
      <c r="G284">
        <v>24.3</v>
      </c>
      <c r="H284">
        <v>3.75</v>
      </c>
      <c r="I284">
        <v>2.1868530000000002</v>
      </c>
      <c r="J284">
        <v>0.84836813286551871</v>
      </c>
      <c r="K284">
        <v>1000</v>
      </c>
      <c r="L284">
        <v>0</v>
      </c>
      <c r="N284">
        <v>49</v>
      </c>
      <c r="O284" s="60" t="s">
        <v>1230</v>
      </c>
      <c r="P284" t="s">
        <v>996</v>
      </c>
      <c r="Q284" t="s">
        <v>909</v>
      </c>
    </row>
    <row r="285" spans="1:17" x14ac:dyDescent="0.25">
      <c r="A285" t="s">
        <v>39</v>
      </c>
      <c r="B285">
        <v>0</v>
      </c>
      <c r="C285">
        <v>0</v>
      </c>
      <c r="N285">
        <v>49</v>
      </c>
      <c r="O285" s="60" t="s">
        <v>1231</v>
      </c>
      <c r="P285" t="s">
        <v>999</v>
      </c>
      <c r="Q285" t="s">
        <v>750</v>
      </c>
    </row>
    <row r="286" spans="1:17" x14ac:dyDescent="0.25">
      <c r="A286" t="s">
        <v>697</v>
      </c>
      <c r="B286">
        <v>2.7</v>
      </c>
      <c r="C286">
        <v>5000</v>
      </c>
      <c r="N286">
        <v>49</v>
      </c>
      <c r="O286" s="60" t="s">
        <v>1231</v>
      </c>
      <c r="P286" t="s">
        <v>999</v>
      </c>
      <c r="Q286" t="s">
        <v>1184</v>
      </c>
    </row>
    <row r="287" spans="1:17" x14ac:dyDescent="0.25">
      <c r="A287" t="s">
        <v>23</v>
      </c>
      <c r="B287">
        <v>141</v>
      </c>
      <c r="C287">
        <v>72</v>
      </c>
      <c r="D287">
        <v>24.3</v>
      </c>
      <c r="E287">
        <v>141</v>
      </c>
      <c r="F287">
        <v>72</v>
      </c>
      <c r="G287">
        <v>27</v>
      </c>
      <c r="H287">
        <v>0</v>
      </c>
      <c r="I287">
        <v>0</v>
      </c>
      <c r="K287">
        <v>3000</v>
      </c>
      <c r="N287">
        <v>0</v>
      </c>
      <c r="O287" s="60">
        <v>0</v>
      </c>
      <c r="P287" t="s">
        <v>659</v>
      </c>
      <c r="Q287" t="s">
        <v>1185</v>
      </c>
    </row>
    <row r="288" spans="1:17" x14ac:dyDescent="0.25">
      <c r="A288" t="s">
        <v>19</v>
      </c>
      <c r="B288">
        <v>141</v>
      </c>
      <c r="C288">
        <v>72</v>
      </c>
      <c r="D288">
        <v>27</v>
      </c>
      <c r="E288">
        <v>271</v>
      </c>
      <c r="F288">
        <v>72</v>
      </c>
      <c r="G288">
        <v>27</v>
      </c>
      <c r="H288">
        <v>3.75</v>
      </c>
      <c r="I288">
        <v>2.1868530000000002</v>
      </c>
      <c r="J288">
        <v>0.84836813286551871</v>
      </c>
      <c r="K288">
        <v>1000</v>
      </c>
      <c r="L288">
        <v>0</v>
      </c>
      <c r="N288">
        <v>49</v>
      </c>
      <c r="O288" s="60" t="s">
        <v>1232</v>
      </c>
      <c r="P288" t="s">
        <v>990</v>
      </c>
      <c r="Q288" t="s">
        <v>925</v>
      </c>
    </row>
    <row r="289" spans="1:17" x14ac:dyDescent="0.25">
      <c r="A289" t="s">
        <v>19</v>
      </c>
      <c r="B289">
        <v>271</v>
      </c>
      <c r="C289">
        <v>72</v>
      </c>
      <c r="D289">
        <v>27</v>
      </c>
      <c r="E289">
        <v>271</v>
      </c>
      <c r="F289">
        <v>76</v>
      </c>
      <c r="G289">
        <v>27</v>
      </c>
      <c r="H289">
        <v>3.75</v>
      </c>
      <c r="I289">
        <v>2.1868530000000002</v>
      </c>
      <c r="J289">
        <v>2.6103634857400575E-2</v>
      </c>
      <c r="K289">
        <v>1000</v>
      </c>
      <c r="L289">
        <v>0</v>
      </c>
      <c r="N289">
        <v>49</v>
      </c>
      <c r="O289" s="60" t="s">
        <v>1233</v>
      </c>
      <c r="P289" t="s">
        <v>1001</v>
      </c>
      <c r="Q289" t="s">
        <v>926</v>
      </c>
    </row>
    <row r="290" spans="1:17" x14ac:dyDescent="0.25">
      <c r="A290" t="s">
        <v>19</v>
      </c>
      <c r="B290">
        <v>271</v>
      </c>
      <c r="C290">
        <v>76</v>
      </c>
      <c r="D290">
        <v>27</v>
      </c>
      <c r="E290">
        <v>141</v>
      </c>
      <c r="F290">
        <v>76</v>
      </c>
      <c r="G290">
        <v>27</v>
      </c>
      <c r="H290">
        <v>3.75</v>
      </c>
      <c r="I290">
        <v>2.1868530000000002</v>
      </c>
      <c r="J290">
        <v>0.84836813286551871</v>
      </c>
      <c r="K290">
        <v>1000</v>
      </c>
      <c r="L290">
        <v>0</v>
      </c>
      <c r="N290">
        <v>49</v>
      </c>
      <c r="O290" s="60" t="s">
        <v>1234</v>
      </c>
      <c r="P290" t="s">
        <v>1003</v>
      </c>
      <c r="Q290" t="s">
        <v>909</v>
      </c>
    </row>
    <row r="291" spans="1:17" x14ac:dyDescent="0.25">
      <c r="A291" t="s">
        <v>19</v>
      </c>
      <c r="B291">
        <v>141</v>
      </c>
      <c r="C291">
        <v>76</v>
      </c>
      <c r="D291">
        <v>27</v>
      </c>
      <c r="E291">
        <v>141</v>
      </c>
      <c r="F291">
        <v>88</v>
      </c>
      <c r="G291">
        <v>27</v>
      </c>
      <c r="H291">
        <v>3.75</v>
      </c>
      <c r="I291">
        <v>2.1868530000000002</v>
      </c>
      <c r="J291">
        <v>7.8310904572201731E-2</v>
      </c>
      <c r="K291">
        <v>1000</v>
      </c>
      <c r="L291">
        <v>0</v>
      </c>
      <c r="N291">
        <v>49</v>
      </c>
      <c r="O291" s="60" t="s">
        <v>1235</v>
      </c>
      <c r="P291" t="s">
        <v>1005</v>
      </c>
      <c r="Q291" t="s">
        <v>927</v>
      </c>
    </row>
    <row r="292" spans="1:17" x14ac:dyDescent="0.25">
      <c r="A292" t="s">
        <v>19</v>
      </c>
      <c r="B292">
        <v>141</v>
      </c>
      <c r="C292">
        <v>88</v>
      </c>
      <c r="D292">
        <v>27</v>
      </c>
      <c r="E292">
        <v>271</v>
      </c>
      <c r="F292">
        <v>88</v>
      </c>
      <c r="G292">
        <v>27</v>
      </c>
      <c r="H292">
        <v>3.75</v>
      </c>
      <c r="I292">
        <v>2.1868530000000002</v>
      </c>
      <c r="J292">
        <v>0.84836813286551871</v>
      </c>
      <c r="K292">
        <v>1000</v>
      </c>
      <c r="L292">
        <v>0</v>
      </c>
      <c r="N292">
        <v>49</v>
      </c>
      <c r="O292" s="60" t="s">
        <v>1236</v>
      </c>
      <c r="P292" t="s">
        <v>1074</v>
      </c>
      <c r="Q292" t="s">
        <v>906</v>
      </c>
    </row>
    <row r="293" spans="1:17" x14ac:dyDescent="0.25">
      <c r="A293" t="s">
        <v>19</v>
      </c>
      <c r="B293">
        <v>271</v>
      </c>
      <c r="C293">
        <v>88</v>
      </c>
      <c r="D293">
        <v>27</v>
      </c>
      <c r="E293">
        <v>271</v>
      </c>
      <c r="F293">
        <v>92</v>
      </c>
      <c r="G293">
        <v>27</v>
      </c>
      <c r="H293">
        <v>3.75</v>
      </c>
      <c r="I293">
        <v>2.1868530000000002</v>
      </c>
      <c r="J293">
        <v>2.6103634857400575E-2</v>
      </c>
      <c r="K293">
        <v>1000</v>
      </c>
      <c r="L293">
        <v>0</v>
      </c>
      <c r="N293">
        <v>49</v>
      </c>
      <c r="O293" s="60" t="s">
        <v>1237</v>
      </c>
      <c r="P293" t="s">
        <v>1009</v>
      </c>
      <c r="Q293" t="s">
        <v>930</v>
      </c>
    </row>
    <row r="294" spans="1:17" x14ac:dyDescent="0.25">
      <c r="A294" t="s">
        <v>19</v>
      </c>
      <c r="B294">
        <v>271</v>
      </c>
      <c r="C294">
        <v>92</v>
      </c>
      <c r="D294">
        <v>27</v>
      </c>
      <c r="E294">
        <v>141</v>
      </c>
      <c r="F294">
        <v>92</v>
      </c>
      <c r="G294">
        <v>27</v>
      </c>
      <c r="H294">
        <v>3.75</v>
      </c>
      <c r="I294">
        <v>2.1868530000000002</v>
      </c>
      <c r="J294">
        <v>0.84836813286551871</v>
      </c>
      <c r="K294">
        <v>1000</v>
      </c>
      <c r="L294">
        <v>0</v>
      </c>
      <c r="N294">
        <v>49</v>
      </c>
      <c r="O294" s="60" t="s">
        <v>1238</v>
      </c>
      <c r="P294" t="s">
        <v>1011</v>
      </c>
      <c r="Q294" t="s">
        <v>909</v>
      </c>
    </row>
    <row r="295" spans="1:17" x14ac:dyDescent="0.25">
      <c r="A295" t="s">
        <v>19</v>
      </c>
      <c r="B295">
        <v>141</v>
      </c>
      <c r="C295">
        <v>92</v>
      </c>
      <c r="D295">
        <v>27</v>
      </c>
      <c r="E295">
        <v>141</v>
      </c>
      <c r="F295">
        <v>104</v>
      </c>
      <c r="G295">
        <v>27</v>
      </c>
      <c r="H295">
        <v>3.75</v>
      </c>
      <c r="I295">
        <v>2.1868530000000002</v>
      </c>
      <c r="J295">
        <v>7.8310904572201731E-2</v>
      </c>
      <c r="K295">
        <v>1000</v>
      </c>
      <c r="L295">
        <v>0</v>
      </c>
      <c r="N295">
        <v>49</v>
      </c>
      <c r="O295" s="60" t="s">
        <v>1239</v>
      </c>
      <c r="P295" t="s">
        <v>1013</v>
      </c>
      <c r="Q295" t="s">
        <v>933</v>
      </c>
    </row>
    <row r="296" spans="1:17" x14ac:dyDescent="0.25">
      <c r="A296" t="s">
        <v>39</v>
      </c>
      <c r="B296">
        <v>-0.35</v>
      </c>
      <c r="C296">
        <v>80</v>
      </c>
      <c r="N296">
        <v>49</v>
      </c>
      <c r="O296" s="60" t="s">
        <v>1240</v>
      </c>
      <c r="P296" t="s">
        <v>1016</v>
      </c>
      <c r="Q296" t="s">
        <v>700</v>
      </c>
    </row>
    <row r="297" spans="1:17" x14ac:dyDescent="0.25">
      <c r="A297" t="s">
        <v>697</v>
      </c>
      <c r="B297">
        <v>5.4</v>
      </c>
      <c r="C297">
        <v>5000</v>
      </c>
      <c r="N297">
        <v>49</v>
      </c>
      <c r="O297" s="60" t="s">
        <v>1240</v>
      </c>
      <c r="P297" t="s">
        <v>1016</v>
      </c>
      <c r="Q297" t="s">
        <v>1241</v>
      </c>
    </row>
    <row r="298" spans="1:17" x14ac:dyDescent="0.25">
      <c r="A298" t="s">
        <v>23</v>
      </c>
      <c r="B298">
        <v>141</v>
      </c>
      <c r="C298">
        <v>104</v>
      </c>
      <c r="D298">
        <v>27</v>
      </c>
      <c r="E298">
        <v>141</v>
      </c>
      <c r="F298">
        <v>104</v>
      </c>
      <c r="G298">
        <v>32.400000000000006</v>
      </c>
      <c r="H298">
        <v>0</v>
      </c>
      <c r="I298">
        <v>0</v>
      </c>
      <c r="K298">
        <v>3000</v>
      </c>
      <c r="N298">
        <v>0</v>
      </c>
      <c r="O298" s="60">
        <v>0</v>
      </c>
      <c r="P298" t="s">
        <v>659</v>
      </c>
      <c r="Q298" t="s">
        <v>1242</v>
      </c>
    </row>
    <row r="299" spans="1:17" x14ac:dyDescent="0.25">
      <c r="A299" t="s">
        <v>23</v>
      </c>
      <c r="B299">
        <v>141</v>
      </c>
      <c r="C299">
        <v>104</v>
      </c>
      <c r="D299">
        <v>32.400000000000006</v>
      </c>
      <c r="E299">
        <v>141</v>
      </c>
      <c r="F299">
        <v>112</v>
      </c>
      <c r="G299">
        <v>32.400000000000006</v>
      </c>
      <c r="H299">
        <v>0</v>
      </c>
      <c r="I299">
        <v>0</v>
      </c>
      <c r="J299">
        <v>0</v>
      </c>
      <c r="K299">
        <v>3000</v>
      </c>
      <c r="L299">
        <v>0</v>
      </c>
      <c r="N299">
        <v>49</v>
      </c>
      <c r="O299" s="60" t="s">
        <v>1243</v>
      </c>
      <c r="P299" t="s">
        <v>1007</v>
      </c>
      <c r="Q299" t="s">
        <v>936</v>
      </c>
    </row>
    <row r="300" spans="1:17" x14ac:dyDescent="0.25">
      <c r="A300" t="s">
        <v>49</v>
      </c>
      <c r="B300" t="s">
        <v>203</v>
      </c>
      <c r="C300">
        <v>2</v>
      </c>
      <c r="N300">
        <v>49</v>
      </c>
      <c r="O300" s="60" t="s">
        <v>1244</v>
      </c>
      <c r="P300" t="s">
        <v>1022</v>
      </c>
      <c r="Q300" t="s">
        <v>499</v>
      </c>
    </row>
    <row r="301" spans="1:17" x14ac:dyDescent="0.25">
      <c r="A301" t="s">
        <v>49</v>
      </c>
      <c r="B301" t="s">
        <v>849</v>
      </c>
      <c r="N301">
        <v>49</v>
      </c>
      <c r="O301" s="60" t="s">
        <v>1245</v>
      </c>
      <c r="P301" t="s">
        <v>1024</v>
      </c>
      <c r="Q301" t="s">
        <v>849</v>
      </c>
    </row>
    <row r="302" spans="1:17" x14ac:dyDescent="0.25">
      <c r="A302" t="s">
        <v>23</v>
      </c>
      <c r="B302">
        <v>141</v>
      </c>
      <c r="C302">
        <v>112</v>
      </c>
      <c r="D302">
        <v>32.400000000000006</v>
      </c>
      <c r="E302">
        <v>275</v>
      </c>
      <c r="F302">
        <v>125</v>
      </c>
      <c r="G302">
        <v>32.400000000000006</v>
      </c>
      <c r="H302">
        <v>0</v>
      </c>
      <c r="I302">
        <v>0</v>
      </c>
      <c r="K302">
        <v>3000</v>
      </c>
      <c r="N302">
        <v>0</v>
      </c>
      <c r="O302" s="60">
        <v>0</v>
      </c>
      <c r="P302" t="s">
        <v>659</v>
      </c>
      <c r="Q302" t="s">
        <v>1081</v>
      </c>
    </row>
    <row r="303" spans="1:17" x14ac:dyDescent="0.25">
      <c r="A303" t="s">
        <v>19</v>
      </c>
      <c r="B303">
        <v>275</v>
      </c>
      <c r="C303">
        <v>125</v>
      </c>
      <c r="D303">
        <v>32.400000000000006</v>
      </c>
      <c r="E303">
        <v>275</v>
      </c>
      <c r="F303">
        <v>100</v>
      </c>
      <c r="G303">
        <v>27</v>
      </c>
      <c r="H303">
        <v>3.75</v>
      </c>
      <c r="I303">
        <v>2.2999999999999998</v>
      </c>
      <c r="J303">
        <v>0.17554611885264862</v>
      </c>
      <c r="K303">
        <v>600</v>
      </c>
      <c r="L303">
        <v>0</v>
      </c>
      <c r="N303">
        <v>49</v>
      </c>
      <c r="O303" s="60" t="s">
        <v>1246</v>
      </c>
      <c r="P303" t="s">
        <v>1020</v>
      </c>
      <c r="Q303" t="s">
        <v>1247</v>
      </c>
    </row>
    <row r="304" spans="1:17" x14ac:dyDescent="0.25">
      <c r="A304" t="s">
        <v>19</v>
      </c>
      <c r="B304">
        <v>275</v>
      </c>
      <c r="C304">
        <v>100</v>
      </c>
      <c r="D304">
        <v>27</v>
      </c>
      <c r="E304">
        <v>145</v>
      </c>
      <c r="F304">
        <v>100</v>
      </c>
      <c r="G304">
        <v>27</v>
      </c>
      <c r="H304">
        <v>3.75</v>
      </c>
      <c r="I304">
        <v>2.2999999999999998</v>
      </c>
      <c r="J304">
        <v>0.89226239970893917</v>
      </c>
      <c r="K304">
        <v>600</v>
      </c>
      <c r="L304">
        <v>0</v>
      </c>
      <c r="N304">
        <v>49</v>
      </c>
      <c r="O304" s="60" t="s">
        <v>1248</v>
      </c>
      <c r="P304" t="s">
        <v>1026</v>
      </c>
      <c r="Q304" t="s">
        <v>861</v>
      </c>
    </row>
    <row r="305" spans="1:17" x14ac:dyDescent="0.25">
      <c r="A305" t="s">
        <v>19</v>
      </c>
      <c r="B305">
        <v>145</v>
      </c>
      <c r="C305">
        <v>100</v>
      </c>
      <c r="D305">
        <v>27</v>
      </c>
      <c r="E305">
        <v>145</v>
      </c>
      <c r="F305">
        <v>96</v>
      </c>
      <c r="G305">
        <v>27</v>
      </c>
      <c r="H305">
        <v>3.75</v>
      </c>
      <c r="I305">
        <v>2.2999999999999998</v>
      </c>
      <c r="J305">
        <v>2.7454227683351973E-2</v>
      </c>
      <c r="K305">
        <v>600</v>
      </c>
      <c r="L305">
        <v>0</v>
      </c>
      <c r="N305">
        <v>49</v>
      </c>
      <c r="O305" s="60" t="s">
        <v>1249</v>
      </c>
      <c r="P305" t="s">
        <v>1028</v>
      </c>
      <c r="Q305" t="s">
        <v>882</v>
      </c>
    </row>
    <row r="306" spans="1:17" x14ac:dyDescent="0.25">
      <c r="A306" t="s">
        <v>19</v>
      </c>
      <c r="B306">
        <v>145</v>
      </c>
      <c r="C306">
        <v>96</v>
      </c>
      <c r="D306">
        <v>27</v>
      </c>
      <c r="E306">
        <v>275</v>
      </c>
      <c r="F306">
        <v>96</v>
      </c>
      <c r="G306">
        <v>27</v>
      </c>
      <c r="H306">
        <v>3.75</v>
      </c>
      <c r="I306">
        <v>2.2999999999999998</v>
      </c>
      <c r="J306">
        <v>0.89226239970893917</v>
      </c>
      <c r="K306">
        <v>600</v>
      </c>
      <c r="L306">
        <v>0</v>
      </c>
      <c r="N306">
        <v>49</v>
      </c>
      <c r="O306" s="60" t="s">
        <v>1250</v>
      </c>
      <c r="P306" t="s">
        <v>1030</v>
      </c>
      <c r="Q306" t="s">
        <v>862</v>
      </c>
    </row>
    <row r="307" spans="1:17" x14ac:dyDescent="0.25">
      <c r="A307" t="s">
        <v>19</v>
      </c>
      <c r="B307">
        <v>275</v>
      </c>
      <c r="C307">
        <v>96</v>
      </c>
      <c r="D307">
        <v>27</v>
      </c>
      <c r="E307">
        <v>275</v>
      </c>
      <c r="F307">
        <v>84</v>
      </c>
      <c r="G307">
        <v>27</v>
      </c>
      <c r="H307">
        <v>3.75</v>
      </c>
      <c r="I307">
        <v>2.2999999999999998</v>
      </c>
      <c r="J307">
        <v>8.236268305005591E-2</v>
      </c>
      <c r="K307">
        <v>600</v>
      </c>
      <c r="L307">
        <v>0</v>
      </c>
      <c r="N307">
        <v>49</v>
      </c>
      <c r="O307" s="60" t="s">
        <v>1251</v>
      </c>
      <c r="P307" t="s">
        <v>1032</v>
      </c>
      <c r="Q307" t="s">
        <v>898</v>
      </c>
    </row>
    <row r="308" spans="1:17" x14ac:dyDescent="0.25">
      <c r="A308" t="s">
        <v>19</v>
      </c>
      <c r="B308">
        <v>275</v>
      </c>
      <c r="C308">
        <v>84</v>
      </c>
      <c r="D308">
        <v>27</v>
      </c>
      <c r="E308">
        <v>145</v>
      </c>
      <c r="F308">
        <v>84</v>
      </c>
      <c r="G308">
        <v>27</v>
      </c>
      <c r="H308">
        <v>3.75</v>
      </c>
      <c r="I308">
        <v>2.2999999999999998</v>
      </c>
      <c r="J308">
        <v>0.89226239970893917</v>
      </c>
      <c r="K308">
        <v>600</v>
      </c>
      <c r="L308">
        <v>0</v>
      </c>
      <c r="N308">
        <v>49</v>
      </c>
      <c r="O308" s="60" t="s">
        <v>1252</v>
      </c>
      <c r="P308" t="s">
        <v>1075</v>
      </c>
      <c r="Q308" t="s">
        <v>861</v>
      </c>
    </row>
    <row r="309" spans="1:17" x14ac:dyDescent="0.25">
      <c r="A309" t="s">
        <v>19</v>
      </c>
      <c r="B309">
        <v>145</v>
      </c>
      <c r="C309">
        <v>84</v>
      </c>
      <c r="D309">
        <v>27</v>
      </c>
      <c r="E309">
        <v>145</v>
      </c>
      <c r="F309">
        <v>80</v>
      </c>
      <c r="G309">
        <v>27</v>
      </c>
      <c r="H309">
        <v>3.75</v>
      </c>
      <c r="I309">
        <v>2.2999999999999998</v>
      </c>
      <c r="J309">
        <v>2.7454227683351973E-2</v>
      </c>
      <c r="K309">
        <v>600</v>
      </c>
      <c r="L309">
        <v>0</v>
      </c>
      <c r="N309">
        <v>49</v>
      </c>
      <c r="O309" s="60" t="s">
        <v>1253</v>
      </c>
      <c r="P309" t="s">
        <v>1036</v>
      </c>
      <c r="Q309" t="s">
        <v>886</v>
      </c>
    </row>
    <row r="310" spans="1:17" x14ac:dyDescent="0.25">
      <c r="A310" t="s">
        <v>19</v>
      </c>
      <c r="B310">
        <v>145</v>
      </c>
      <c r="C310">
        <v>80</v>
      </c>
      <c r="D310">
        <v>27</v>
      </c>
      <c r="E310">
        <v>275</v>
      </c>
      <c r="F310">
        <v>80</v>
      </c>
      <c r="G310">
        <v>27</v>
      </c>
      <c r="H310">
        <v>3.75</v>
      </c>
      <c r="I310">
        <v>2.2999999999999998</v>
      </c>
      <c r="J310">
        <v>0.89226239970893917</v>
      </c>
      <c r="K310">
        <v>600</v>
      </c>
      <c r="L310">
        <v>0</v>
      </c>
      <c r="N310">
        <v>49</v>
      </c>
      <c r="O310" s="60" t="s">
        <v>1254</v>
      </c>
      <c r="P310" t="s">
        <v>1038</v>
      </c>
      <c r="Q310" t="s">
        <v>862</v>
      </c>
    </row>
    <row r="311" spans="1:17" x14ac:dyDescent="0.25">
      <c r="A311" t="s">
        <v>19</v>
      </c>
      <c r="B311">
        <v>275</v>
      </c>
      <c r="C311">
        <v>80</v>
      </c>
      <c r="D311">
        <v>27</v>
      </c>
      <c r="E311">
        <v>275</v>
      </c>
      <c r="F311">
        <v>68</v>
      </c>
      <c r="G311">
        <v>27</v>
      </c>
      <c r="H311">
        <v>3.75</v>
      </c>
      <c r="I311">
        <v>2.2999999999999998</v>
      </c>
      <c r="J311">
        <v>8.236268305005591E-2</v>
      </c>
      <c r="K311">
        <v>600</v>
      </c>
      <c r="L311">
        <v>0</v>
      </c>
      <c r="N311">
        <v>49</v>
      </c>
      <c r="O311" s="60" t="s">
        <v>1255</v>
      </c>
      <c r="P311" t="s">
        <v>1040</v>
      </c>
      <c r="Q311" t="s">
        <v>899</v>
      </c>
    </row>
    <row r="312" spans="1:17" x14ac:dyDescent="0.25">
      <c r="A312" t="s">
        <v>19</v>
      </c>
      <c r="B312">
        <v>275</v>
      </c>
      <c r="C312">
        <v>68</v>
      </c>
      <c r="D312">
        <v>27</v>
      </c>
      <c r="E312">
        <v>145</v>
      </c>
      <c r="F312">
        <v>68</v>
      </c>
      <c r="G312">
        <v>27</v>
      </c>
      <c r="H312">
        <v>3.75</v>
      </c>
      <c r="I312">
        <v>2.2999999999999998</v>
      </c>
      <c r="J312">
        <v>0.89226239970893917</v>
      </c>
      <c r="K312">
        <v>600</v>
      </c>
      <c r="L312">
        <v>0</v>
      </c>
      <c r="N312">
        <v>49</v>
      </c>
      <c r="O312" s="60" t="s">
        <v>1256</v>
      </c>
      <c r="P312" t="s">
        <v>1075</v>
      </c>
      <c r="Q312" t="s">
        <v>861</v>
      </c>
    </row>
    <row r="313" spans="1:17" x14ac:dyDescent="0.25">
      <c r="A313" t="s">
        <v>19</v>
      </c>
      <c r="B313">
        <v>145</v>
      </c>
      <c r="C313">
        <v>68</v>
      </c>
      <c r="D313">
        <v>27</v>
      </c>
      <c r="E313">
        <v>145</v>
      </c>
      <c r="F313">
        <v>64</v>
      </c>
      <c r="G313">
        <v>27</v>
      </c>
      <c r="H313">
        <v>3.75</v>
      </c>
      <c r="I313">
        <v>2.2999999999999998</v>
      </c>
      <c r="J313">
        <v>2.7454227683351973E-2</v>
      </c>
      <c r="K313">
        <v>600</v>
      </c>
      <c r="L313">
        <v>0</v>
      </c>
      <c r="N313">
        <v>49</v>
      </c>
      <c r="O313" s="60" t="s">
        <v>1257</v>
      </c>
      <c r="P313" t="s">
        <v>1036</v>
      </c>
      <c r="Q313" t="s">
        <v>890</v>
      </c>
    </row>
    <row r="314" spans="1:17" x14ac:dyDescent="0.25">
      <c r="A314" t="s">
        <v>19</v>
      </c>
      <c r="B314">
        <v>145</v>
      </c>
      <c r="C314">
        <v>64</v>
      </c>
      <c r="D314">
        <v>27</v>
      </c>
      <c r="E314">
        <v>275</v>
      </c>
      <c r="F314">
        <v>64</v>
      </c>
      <c r="G314">
        <v>27</v>
      </c>
      <c r="H314">
        <v>3.75</v>
      </c>
      <c r="I314">
        <v>2.2999999999999998</v>
      </c>
      <c r="J314">
        <v>0.89226239970893917</v>
      </c>
      <c r="K314">
        <v>600</v>
      </c>
      <c r="L314">
        <v>0</v>
      </c>
      <c r="N314">
        <v>49</v>
      </c>
      <c r="O314" s="60" t="s">
        <v>1258</v>
      </c>
      <c r="P314" t="s">
        <v>1038</v>
      </c>
      <c r="Q314" t="s">
        <v>862</v>
      </c>
    </row>
    <row r="315" spans="1:17" x14ac:dyDescent="0.25">
      <c r="A315" t="s">
        <v>19</v>
      </c>
      <c r="B315">
        <v>275</v>
      </c>
      <c r="C315">
        <v>64</v>
      </c>
      <c r="D315">
        <v>27</v>
      </c>
      <c r="E315">
        <v>275</v>
      </c>
      <c r="F315">
        <v>52</v>
      </c>
      <c r="G315">
        <v>27</v>
      </c>
      <c r="H315">
        <v>3.75</v>
      </c>
      <c r="I315">
        <v>2.2999999999999998</v>
      </c>
      <c r="J315">
        <v>8.236268305005591E-2</v>
      </c>
      <c r="K315">
        <v>600</v>
      </c>
      <c r="L315">
        <v>0</v>
      </c>
      <c r="N315">
        <v>49</v>
      </c>
      <c r="O315" s="60" t="s">
        <v>1259</v>
      </c>
      <c r="P315" t="s">
        <v>1040</v>
      </c>
      <c r="Q315" t="s">
        <v>900</v>
      </c>
    </row>
    <row r="316" spans="1:17" x14ac:dyDescent="0.25">
      <c r="A316" t="s">
        <v>39</v>
      </c>
      <c r="B316">
        <v>0</v>
      </c>
      <c r="C316">
        <v>0</v>
      </c>
      <c r="N316">
        <v>49</v>
      </c>
      <c r="O316" s="60" t="s">
        <v>1260</v>
      </c>
      <c r="P316" t="s">
        <v>1047</v>
      </c>
      <c r="Q316" t="s">
        <v>750</v>
      </c>
    </row>
    <row r="317" spans="1:17" x14ac:dyDescent="0.25">
      <c r="A317" t="s">
        <v>697</v>
      </c>
      <c r="B317">
        <v>2.7</v>
      </c>
      <c r="C317">
        <v>5000</v>
      </c>
      <c r="N317">
        <v>49</v>
      </c>
      <c r="O317" s="60" t="s">
        <v>1260</v>
      </c>
      <c r="P317" t="s">
        <v>1047</v>
      </c>
      <c r="Q317" t="s">
        <v>1261</v>
      </c>
    </row>
    <row r="318" spans="1:17" x14ac:dyDescent="0.25">
      <c r="A318" t="s">
        <v>23</v>
      </c>
      <c r="B318">
        <v>275</v>
      </c>
      <c r="C318">
        <v>52</v>
      </c>
      <c r="D318">
        <v>27</v>
      </c>
      <c r="E318">
        <v>275</v>
      </c>
      <c r="F318">
        <v>52</v>
      </c>
      <c r="G318">
        <v>29.700000000000003</v>
      </c>
      <c r="H318">
        <v>0</v>
      </c>
      <c r="I318">
        <v>0</v>
      </c>
      <c r="K318">
        <v>3000</v>
      </c>
      <c r="N318">
        <v>0</v>
      </c>
      <c r="O318" s="60">
        <v>0</v>
      </c>
      <c r="P318" t="s">
        <v>659</v>
      </c>
      <c r="Q318" t="s">
        <v>1262</v>
      </c>
    </row>
    <row r="319" spans="1:17" x14ac:dyDescent="0.25">
      <c r="A319" t="s">
        <v>19</v>
      </c>
      <c r="B319">
        <v>275</v>
      </c>
      <c r="C319">
        <v>52</v>
      </c>
      <c r="D319">
        <v>29.700000000000003</v>
      </c>
      <c r="E319">
        <v>275</v>
      </c>
      <c r="F319">
        <v>64</v>
      </c>
      <c r="G319">
        <v>29.700000000000003</v>
      </c>
      <c r="H319">
        <v>3.75</v>
      </c>
      <c r="I319">
        <v>2.2999999999999998</v>
      </c>
      <c r="J319">
        <v>8.236268305005591E-2</v>
      </c>
      <c r="K319">
        <v>600</v>
      </c>
      <c r="L319">
        <v>0</v>
      </c>
      <c r="N319">
        <v>49</v>
      </c>
      <c r="O319" s="60" t="s">
        <v>1263</v>
      </c>
      <c r="P319" t="s">
        <v>1034</v>
      </c>
      <c r="Q319" t="s">
        <v>954</v>
      </c>
    </row>
    <row r="320" spans="1:17" x14ac:dyDescent="0.25">
      <c r="A320" t="s">
        <v>19</v>
      </c>
      <c r="B320">
        <v>275</v>
      </c>
      <c r="C320">
        <v>64</v>
      </c>
      <c r="D320">
        <v>29.700000000000003</v>
      </c>
      <c r="E320">
        <v>145</v>
      </c>
      <c r="F320">
        <v>64</v>
      </c>
      <c r="G320">
        <v>29.700000000000003</v>
      </c>
      <c r="H320">
        <v>3.75</v>
      </c>
      <c r="I320">
        <v>2.2999999999999998</v>
      </c>
      <c r="J320">
        <v>0.89226239970893917</v>
      </c>
      <c r="K320">
        <v>600</v>
      </c>
      <c r="L320">
        <v>0</v>
      </c>
      <c r="N320">
        <v>49</v>
      </c>
      <c r="O320" s="60" t="s">
        <v>1264</v>
      </c>
      <c r="P320" t="s">
        <v>1049</v>
      </c>
      <c r="Q320" t="s">
        <v>861</v>
      </c>
    </row>
    <row r="321" spans="1:17" x14ac:dyDescent="0.25">
      <c r="A321" t="s">
        <v>19</v>
      </c>
      <c r="B321">
        <v>145</v>
      </c>
      <c r="C321">
        <v>64</v>
      </c>
      <c r="D321">
        <v>29.700000000000003</v>
      </c>
      <c r="E321">
        <v>145</v>
      </c>
      <c r="F321">
        <v>68</v>
      </c>
      <c r="G321">
        <v>29.700000000000003</v>
      </c>
      <c r="H321">
        <v>3.75</v>
      </c>
      <c r="I321">
        <v>2.2999999999999998</v>
      </c>
      <c r="J321">
        <v>2.7454227683351973E-2</v>
      </c>
      <c r="K321">
        <v>600</v>
      </c>
      <c r="L321">
        <v>0</v>
      </c>
      <c r="N321">
        <v>49</v>
      </c>
      <c r="O321" s="60" t="s">
        <v>1265</v>
      </c>
      <c r="P321" t="s">
        <v>1051</v>
      </c>
      <c r="Q321" t="s">
        <v>889</v>
      </c>
    </row>
    <row r="322" spans="1:17" x14ac:dyDescent="0.25">
      <c r="A322" t="s">
        <v>19</v>
      </c>
      <c r="B322">
        <v>145</v>
      </c>
      <c r="C322">
        <v>68</v>
      </c>
      <c r="D322">
        <v>29.700000000000003</v>
      </c>
      <c r="E322">
        <v>275</v>
      </c>
      <c r="F322">
        <v>68</v>
      </c>
      <c r="G322">
        <v>29.700000000000003</v>
      </c>
      <c r="H322">
        <v>3.75</v>
      </c>
      <c r="I322">
        <v>2.2999999999999998</v>
      </c>
      <c r="J322">
        <v>0.89226239970893917</v>
      </c>
      <c r="K322">
        <v>600</v>
      </c>
      <c r="L322">
        <v>0</v>
      </c>
      <c r="N322">
        <v>49</v>
      </c>
      <c r="O322" s="60" t="s">
        <v>1266</v>
      </c>
      <c r="P322" t="s">
        <v>1053</v>
      </c>
      <c r="Q322" t="s">
        <v>862</v>
      </c>
    </row>
    <row r="323" spans="1:17" x14ac:dyDescent="0.25">
      <c r="A323" t="s">
        <v>19</v>
      </c>
      <c r="B323">
        <v>275</v>
      </c>
      <c r="C323">
        <v>68</v>
      </c>
      <c r="D323">
        <v>29.700000000000003</v>
      </c>
      <c r="E323">
        <v>275</v>
      </c>
      <c r="F323">
        <v>80</v>
      </c>
      <c r="G323">
        <v>29.700000000000003</v>
      </c>
      <c r="H323">
        <v>3.75</v>
      </c>
      <c r="I323">
        <v>2.2999999999999998</v>
      </c>
      <c r="J323">
        <v>8.236268305005591E-2</v>
      </c>
      <c r="K323">
        <v>600</v>
      </c>
      <c r="L323">
        <v>0</v>
      </c>
      <c r="N323">
        <v>49</v>
      </c>
      <c r="O323" s="60" t="s">
        <v>1267</v>
      </c>
      <c r="P323" t="s">
        <v>1076</v>
      </c>
      <c r="Q323" t="s">
        <v>963</v>
      </c>
    </row>
    <row r="324" spans="1:17" x14ac:dyDescent="0.25">
      <c r="A324" t="s">
        <v>19</v>
      </c>
      <c r="B324">
        <v>275</v>
      </c>
      <c r="C324">
        <v>80</v>
      </c>
      <c r="D324">
        <v>29.700000000000003</v>
      </c>
      <c r="E324">
        <v>145</v>
      </c>
      <c r="F324">
        <v>80</v>
      </c>
      <c r="G324">
        <v>29.700000000000003</v>
      </c>
      <c r="H324">
        <v>3.75</v>
      </c>
      <c r="I324">
        <v>2.2999999999999998</v>
      </c>
      <c r="J324">
        <v>0.89226239970893917</v>
      </c>
      <c r="K324">
        <v>600</v>
      </c>
      <c r="L324">
        <v>0</v>
      </c>
      <c r="N324">
        <v>49</v>
      </c>
      <c r="O324" s="60" t="s">
        <v>1268</v>
      </c>
      <c r="P324" t="s">
        <v>1057</v>
      </c>
      <c r="Q324" t="s">
        <v>861</v>
      </c>
    </row>
    <row r="325" spans="1:17" x14ac:dyDescent="0.25">
      <c r="A325" t="s">
        <v>19</v>
      </c>
      <c r="B325">
        <v>145</v>
      </c>
      <c r="C325">
        <v>80</v>
      </c>
      <c r="D325">
        <v>29.700000000000003</v>
      </c>
      <c r="E325">
        <v>145</v>
      </c>
      <c r="F325">
        <v>84</v>
      </c>
      <c r="G325">
        <v>29.700000000000003</v>
      </c>
      <c r="H325">
        <v>3.75</v>
      </c>
      <c r="I325">
        <v>2.2999999999999998</v>
      </c>
      <c r="J325">
        <v>2.7454227683351973E-2</v>
      </c>
      <c r="K325">
        <v>600</v>
      </c>
      <c r="L325">
        <v>0</v>
      </c>
      <c r="N325">
        <v>49</v>
      </c>
      <c r="O325" s="60" t="s">
        <v>1269</v>
      </c>
      <c r="P325" t="s">
        <v>1059</v>
      </c>
      <c r="Q325" t="s">
        <v>885</v>
      </c>
    </row>
    <row r="326" spans="1:17" x14ac:dyDescent="0.25">
      <c r="A326" t="s">
        <v>19</v>
      </c>
      <c r="B326">
        <v>145</v>
      </c>
      <c r="C326">
        <v>84</v>
      </c>
      <c r="D326">
        <v>29.700000000000003</v>
      </c>
      <c r="E326">
        <v>275</v>
      </c>
      <c r="F326">
        <v>84</v>
      </c>
      <c r="G326">
        <v>29.700000000000003</v>
      </c>
      <c r="H326">
        <v>3.75</v>
      </c>
      <c r="I326">
        <v>2.2999999999999998</v>
      </c>
      <c r="J326">
        <v>0.89226239970893917</v>
      </c>
      <c r="K326">
        <v>600</v>
      </c>
      <c r="L326">
        <v>0</v>
      </c>
      <c r="N326">
        <v>49</v>
      </c>
      <c r="O326" s="60" t="s">
        <v>1270</v>
      </c>
      <c r="P326" t="s">
        <v>1061</v>
      </c>
      <c r="Q326" t="s">
        <v>862</v>
      </c>
    </row>
    <row r="327" spans="1:17" x14ac:dyDescent="0.25">
      <c r="A327" t="s">
        <v>19</v>
      </c>
      <c r="B327">
        <v>275</v>
      </c>
      <c r="C327">
        <v>84</v>
      </c>
      <c r="D327">
        <v>29.700000000000003</v>
      </c>
      <c r="E327">
        <v>275</v>
      </c>
      <c r="F327">
        <v>96</v>
      </c>
      <c r="G327">
        <v>29.700000000000003</v>
      </c>
      <c r="H327">
        <v>3.75</v>
      </c>
      <c r="I327">
        <v>2.2999999999999998</v>
      </c>
      <c r="J327">
        <v>8.236268305005591E-2</v>
      </c>
      <c r="K327">
        <v>600</v>
      </c>
      <c r="L327">
        <v>0</v>
      </c>
      <c r="N327">
        <v>49</v>
      </c>
      <c r="O327" s="60" t="s">
        <v>1271</v>
      </c>
      <c r="P327" t="s">
        <v>1076</v>
      </c>
      <c r="Q327" t="s">
        <v>970</v>
      </c>
    </row>
    <row r="328" spans="1:17" x14ac:dyDescent="0.25">
      <c r="A328" t="s">
        <v>19</v>
      </c>
      <c r="B328">
        <v>275</v>
      </c>
      <c r="C328">
        <v>96</v>
      </c>
      <c r="D328">
        <v>29.700000000000003</v>
      </c>
      <c r="E328">
        <v>145</v>
      </c>
      <c r="F328">
        <v>96</v>
      </c>
      <c r="G328">
        <v>29.700000000000003</v>
      </c>
      <c r="H328">
        <v>3.75</v>
      </c>
      <c r="I328">
        <v>2.2999999999999998</v>
      </c>
      <c r="J328">
        <v>0.89226239970893917</v>
      </c>
      <c r="K328">
        <v>600</v>
      </c>
      <c r="L328">
        <v>0</v>
      </c>
      <c r="N328">
        <v>49</v>
      </c>
      <c r="O328" s="60" t="s">
        <v>1272</v>
      </c>
      <c r="P328" t="s">
        <v>1057</v>
      </c>
      <c r="Q328" t="s">
        <v>861</v>
      </c>
    </row>
    <row r="329" spans="1:17" x14ac:dyDescent="0.25">
      <c r="A329" t="s">
        <v>19</v>
      </c>
      <c r="B329">
        <v>145</v>
      </c>
      <c r="C329">
        <v>96</v>
      </c>
      <c r="D329">
        <v>29.700000000000003</v>
      </c>
      <c r="E329">
        <v>145</v>
      </c>
      <c r="F329">
        <v>100</v>
      </c>
      <c r="G329">
        <v>29.700000000000003</v>
      </c>
      <c r="H329">
        <v>3.75</v>
      </c>
      <c r="I329">
        <v>2.2999999999999998</v>
      </c>
      <c r="J329">
        <v>2.7454227683351973E-2</v>
      </c>
      <c r="K329">
        <v>600</v>
      </c>
      <c r="L329">
        <v>0</v>
      </c>
      <c r="N329">
        <v>49</v>
      </c>
      <c r="O329" s="60" t="s">
        <v>1273</v>
      </c>
      <c r="P329" t="s">
        <v>1059</v>
      </c>
      <c r="Q329" t="s">
        <v>973</v>
      </c>
    </row>
    <row r="330" spans="1:17" x14ac:dyDescent="0.25">
      <c r="A330" t="s">
        <v>19</v>
      </c>
      <c r="B330">
        <v>145</v>
      </c>
      <c r="C330">
        <v>100</v>
      </c>
      <c r="D330">
        <v>29.700000000000003</v>
      </c>
      <c r="E330">
        <v>275</v>
      </c>
      <c r="F330">
        <v>100</v>
      </c>
      <c r="G330">
        <v>29.700000000000003</v>
      </c>
      <c r="H330">
        <v>3.75</v>
      </c>
      <c r="I330">
        <v>2.2999999999999998</v>
      </c>
      <c r="J330">
        <v>0.89226239970893917</v>
      </c>
      <c r="K330">
        <v>600</v>
      </c>
      <c r="L330">
        <v>0</v>
      </c>
      <c r="N330">
        <v>49</v>
      </c>
      <c r="O330" s="60" t="s">
        <v>1274</v>
      </c>
      <c r="P330" t="s">
        <v>1061</v>
      </c>
      <c r="Q330" t="s">
        <v>862</v>
      </c>
    </row>
    <row r="331" spans="1:17" x14ac:dyDescent="0.25">
      <c r="A331" t="s">
        <v>23</v>
      </c>
      <c r="B331">
        <v>275</v>
      </c>
      <c r="C331">
        <v>100</v>
      </c>
      <c r="D331">
        <v>29.700000000000003</v>
      </c>
      <c r="E331">
        <v>283</v>
      </c>
      <c r="F331">
        <v>100</v>
      </c>
      <c r="G331">
        <v>35.1</v>
      </c>
      <c r="H331">
        <v>0</v>
      </c>
      <c r="I331">
        <v>0</v>
      </c>
      <c r="J331">
        <v>0</v>
      </c>
      <c r="K331">
        <v>3000</v>
      </c>
      <c r="L331">
        <v>0</v>
      </c>
      <c r="N331">
        <v>49</v>
      </c>
      <c r="O331" s="60" t="s">
        <v>1275</v>
      </c>
      <c r="P331" t="s">
        <v>1055</v>
      </c>
      <c r="Q331" t="s">
        <v>1276</v>
      </c>
    </row>
    <row r="332" spans="1:17" x14ac:dyDescent="0.25">
      <c r="A332" t="s">
        <v>23</v>
      </c>
      <c r="B332">
        <v>283</v>
      </c>
      <c r="C332">
        <v>100</v>
      </c>
      <c r="D332">
        <v>35.1</v>
      </c>
      <c r="E332">
        <v>283</v>
      </c>
      <c r="F332">
        <v>108</v>
      </c>
      <c r="G332">
        <v>35.1</v>
      </c>
      <c r="H332">
        <v>0</v>
      </c>
      <c r="I332">
        <v>0</v>
      </c>
      <c r="J332">
        <v>0</v>
      </c>
      <c r="K332">
        <v>3000</v>
      </c>
      <c r="L332">
        <v>0</v>
      </c>
      <c r="N332">
        <v>49</v>
      </c>
      <c r="O332" s="60" t="s">
        <v>1277</v>
      </c>
      <c r="P332" t="s">
        <v>1068</v>
      </c>
      <c r="Q332" t="s">
        <v>979</v>
      </c>
    </row>
    <row r="333" spans="1:17" x14ac:dyDescent="0.25">
      <c r="A333" t="s">
        <v>49</v>
      </c>
      <c r="B333" t="s">
        <v>203</v>
      </c>
      <c r="C333">
        <v>3</v>
      </c>
      <c r="N333">
        <v>50</v>
      </c>
      <c r="O333" s="60" t="s">
        <v>1086</v>
      </c>
      <c r="P333" t="s">
        <v>1087</v>
      </c>
      <c r="Q333" t="s">
        <v>739</v>
      </c>
    </row>
    <row r="334" spans="1:17" x14ac:dyDescent="0.25">
      <c r="A334" t="s">
        <v>23</v>
      </c>
      <c r="B334">
        <v>283</v>
      </c>
      <c r="C334">
        <v>108</v>
      </c>
      <c r="D334">
        <v>35.1</v>
      </c>
      <c r="E334">
        <v>141</v>
      </c>
      <c r="F334">
        <v>104</v>
      </c>
      <c r="G334">
        <v>29.7</v>
      </c>
      <c r="H334">
        <v>0</v>
      </c>
      <c r="I334">
        <v>0</v>
      </c>
      <c r="K334">
        <v>3000</v>
      </c>
      <c r="N334">
        <v>0</v>
      </c>
      <c r="O334" s="60">
        <v>0</v>
      </c>
      <c r="P334" t="s">
        <v>659</v>
      </c>
      <c r="Q334" t="s">
        <v>1279</v>
      </c>
    </row>
    <row r="335" spans="1:17" x14ac:dyDescent="0.25">
      <c r="A335" t="s">
        <v>19</v>
      </c>
      <c r="B335">
        <v>141</v>
      </c>
      <c r="C335">
        <v>104</v>
      </c>
      <c r="D335">
        <v>29.7</v>
      </c>
      <c r="E335">
        <v>141</v>
      </c>
      <c r="F335">
        <v>92</v>
      </c>
      <c r="G335">
        <v>29.7</v>
      </c>
      <c r="H335">
        <v>3.75</v>
      </c>
      <c r="I335">
        <v>2.1868530000000002</v>
      </c>
      <c r="J335">
        <v>7.8310904572201731E-2</v>
      </c>
      <c r="K335">
        <v>1000</v>
      </c>
      <c r="L335">
        <v>0</v>
      </c>
      <c r="N335">
        <v>51</v>
      </c>
      <c r="O335" s="60" t="s">
        <v>1088</v>
      </c>
      <c r="P335" t="s">
        <v>978</v>
      </c>
      <c r="Q335" t="s">
        <v>905</v>
      </c>
    </row>
    <row r="336" spans="1:17" x14ac:dyDescent="0.25">
      <c r="A336" t="s">
        <v>19</v>
      </c>
      <c r="B336">
        <v>141</v>
      </c>
      <c r="C336">
        <v>92</v>
      </c>
      <c r="D336">
        <v>29.7</v>
      </c>
      <c r="E336">
        <v>271</v>
      </c>
      <c r="F336">
        <v>92</v>
      </c>
      <c r="G336">
        <v>29.7</v>
      </c>
      <c r="H336">
        <v>3.75</v>
      </c>
      <c r="I336">
        <v>2.1868530000000002</v>
      </c>
      <c r="J336">
        <v>0.84836813286551871</v>
      </c>
      <c r="K336">
        <v>1000</v>
      </c>
      <c r="L336">
        <v>0</v>
      </c>
      <c r="N336">
        <v>52</v>
      </c>
      <c r="O336" s="60" t="s">
        <v>1089</v>
      </c>
      <c r="P336" t="s">
        <v>1090</v>
      </c>
      <c r="Q336" t="s">
        <v>906</v>
      </c>
    </row>
    <row r="337" spans="1:17" x14ac:dyDescent="0.25">
      <c r="A337" t="s">
        <v>19</v>
      </c>
      <c r="B337">
        <v>271</v>
      </c>
      <c r="C337">
        <v>92</v>
      </c>
      <c r="D337">
        <v>29.7</v>
      </c>
      <c r="E337">
        <v>271</v>
      </c>
      <c r="F337">
        <v>88</v>
      </c>
      <c r="G337">
        <v>29.7</v>
      </c>
      <c r="H337">
        <v>3.75</v>
      </c>
      <c r="I337">
        <v>2.1868530000000002</v>
      </c>
      <c r="J337">
        <v>2.6103634857400575E-2</v>
      </c>
      <c r="K337">
        <v>1000</v>
      </c>
      <c r="L337">
        <v>0</v>
      </c>
      <c r="N337">
        <v>53</v>
      </c>
      <c r="O337" s="60" t="s">
        <v>1091</v>
      </c>
      <c r="P337" t="s">
        <v>1092</v>
      </c>
      <c r="Q337" t="s">
        <v>908</v>
      </c>
    </row>
    <row r="338" spans="1:17" x14ac:dyDescent="0.25">
      <c r="A338" t="s">
        <v>19</v>
      </c>
      <c r="B338">
        <v>271</v>
      </c>
      <c r="C338">
        <v>88</v>
      </c>
      <c r="D338">
        <v>29.7</v>
      </c>
      <c r="E338">
        <v>141</v>
      </c>
      <c r="F338">
        <v>88</v>
      </c>
      <c r="G338">
        <v>29.7</v>
      </c>
      <c r="H338">
        <v>3.75</v>
      </c>
      <c r="I338">
        <v>2.1868530000000002</v>
      </c>
      <c r="J338">
        <v>0.84836813286551871</v>
      </c>
      <c r="K338">
        <v>1000</v>
      </c>
      <c r="L338">
        <v>0</v>
      </c>
      <c r="N338">
        <v>54</v>
      </c>
      <c r="O338" s="60" t="s">
        <v>1093</v>
      </c>
      <c r="P338" t="s">
        <v>1094</v>
      </c>
      <c r="Q338" t="s">
        <v>909</v>
      </c>
    </row>
    <row r="339" spans="1:17" x14ac:dyDescent="0.25">
      <c r="A339" t="s">
        <v>19</v>
      </c>
      <c r="B339">
        <v>141</v>
      </c>
      <c r="C339">
        <v>88</v>
      </c>
      <c r="D339">
        <v>29.7</v>
      </c>
      <c r="E339">
        <v>141</v>
      </c>
      <c r="F339">
        <v>76</v>
      </c>
      <c r="G339">
        <v>29.7</v>
      </c>
      <c r="H339">
        <v>3.75</v>
      </c>
      <c r="I339">
        <v>2.1868530000000002</v>
      </c>
      <c r="J339">
        <v>7.8310904572201731E-2</v>
      </c>
      <c r="K339">
        <v>1000</v>
      </c>
      <c r="L339">
        <v>0</v>
      </c>
      <c r="N339">
        <v>55</v>
      </c>
      <c r="O339" s="60" t="s">
        <v>1095</v>
      </c>
      <c r="P339" t="s">
        <v>1096</v>
      </c>
      <c r="Q339" t="s">
        <v>920</v>
      </c>
    </row>
    <row r="340" spans="1:17" x14ac:dyDescent="0.25">
      <c r="A340" t="s">
        <v>19</v>
      </c>
      <c r="B340">
        <v>141</v>
      </c>
      <c r="C340">
        <v>76</v>
      </c>
      <c r="D340">
        <v>29.7</v>
      </c>
      <c r="E340">
        <v>271</v>
      </c>
      <c r="F340">
        <v>76</v>
      </c>
      <c r="G340">
        <v>29.7</v>
      </c>
      <c r="H340">
        <v>3.75</v>
      </c>
      <c r="I340">
        <v>2.1868530000000002</v>
      </c>
      <c r="J340">
        <v>0.84836813286551871</v>
      </c>
      <c r="K340">
        <v>1000</v>
      </c>
      <c r="L340">
        <v>0</v>
      </c>
      <c r="N340">
        <v>55</v>
      </c>
      <c r="O340" s="60" t="s">
        <v>1097</v>
      </c>
      <c r="P340" t="s">
        <v>1098</v>
      </c>
      <c r="Q340" t="s">
        <v>906</v>
      </c>
    </row>
    <row r="341" spans="1:17" x14ac:dyDescent="0.25">
      <c r="A341" t="s">
        <v>19</v>
      </c>
      <c r="B341">
        <v>271</v>
      </c>
      <c r="C341">
        <v>76</v>
      </c>
      <c r="D341">
        <v>29.7</v>
      </c>
      <c r="E341">
        <v>271</v>
      </c>
      <c r="F341">
        <v>72</v>
      </c>
      <c r="G341">
        <v>29.7</v>
      </c>
      <c r="H341">
        <v>3.75</v>
      </c>
      <c r="I341">
        <v>2.1868530000000002</v>
      </c>
      <c r="J341">
        <v>2.6103634857400575E-2</v>
      </c>
      <c r="K341">
        <v>1000</v>
      </c>
      <c r="L341">
        <v>0</v>
      </c>
      <c r="N341">
        <v>55</v>
      </c>
      <c r="O341" s="60" t="s">
        <v>1099</v>
      </c>
      <c r="P341" t="s">
        <v>1100</v>
      </c>
      <c r="Q341" t="s">
        <v>913</v>
      </c>
    </row>
    <row r="342" spans="1:17" x14ac:dyDescent="0.25">
      <c r="A342" t="s">
        <v>19</v>
      </c>
      <c r="B342">
        <v>271</v>
      </c>
      <c r="C342">
        <v>72</v>
      </c>
      <c r="D342">
        <v>29.7</v>
      </c>
      <c r="E342">
        <v>141</v>
      </c>
      <c r="F342">
        <v>72</v>
      </c>
      <c r="G342">
        <v>29.7</v>
      </c>
      <c r="H342">
        <v>3.75</v>
      </c>
      <c r="I342">
        <v>2.1868530000000002</v>
      </c>
      <c r="J342">
        <v>0.84836813286551871</v>
      </c>
      <c r="K342">
        <v>1000</v>
      </c>
      <c r="L342">
        <v>0</v>
      </c>
      <c r="N342">
        <v>55</v>
      </c>
      <c r="O342" s="60" t="s">
        <v>1101</v>
      </c>
      <c r="P342" t="s">
        <v>1102</v>
      </c>
      <c r="Q342" t="s">
        <v>909</v>
      </c>
    </row>
    <row r="343" spans="1:17" x14ac:dyDescent="0.25">
      <c r="A343" t="s">
        <v>39</v>
      </c>
      <c r="B343">
        <v>-0.35</v>
      </c>
      <c r="C343">
        <v>80</v>
      </c>
      <c r="N343">
        <v>56</v>
      </c>
      <c r="O343" s="60" t="s">
        <v>1103</v>
      </c>
      <c r="P343" t="s">
        <v>1104</v>
      </c>
      <c r="Q343" t="s">
        <v>700</v>
      </c>
    </row>
    <row r="344" spans="1:17" x14ac:dyDescent="0.25">
      <c r="A344" t="s">
        <v>697</v>
      </c>
      <c r="B344">
        <v>5.4</v>
      </c>
      <c r="C344">
        <v>5000</v>
      </c>
      <c r="N344">
        <v>56</v>
      </c>
      <c r="O344" s="60" t="s">
        <v>1103</v>
      </c>
      <c r="P344" t="s">
        <v>1104</v>
      </c>
      <c r="Q344" t="s">
        <v>1280</v>
      </c>
    </row>
    <row r="345" spans="1:17" x14ac:dyDescent="0.25">
      <c r="A345" t="s">
        <v>23</v>
      </c>
      <c r="B345">
        <v>141</v>
      </c>
      <c r="C345">
        <v>72</v>
      </c>
      <c r="D345">
        <v>29.7</v>
      </c>
      <c r="E345">
        <v>141</v>
      </c>
      <c r="F345">
        <v>72</v>
      </c>
      <c r="G345">
        <v>35.1</v>
      </c>
      <c r="H345">
        <v>0</v>
      </c>
      <c r="I345">
        <v>0</v>
      </c>
      <c r="K345">
        <v>3000</v>
      </c>
      <c r="N345">
        <v>0</v>
      </c>
      <c r="O345" s="60">
        <v>0</v>
      </c>
      <c r="P345" t="s">
        <v>659</v>
      </c>
      <c r="Q345" t="s">
        <v>1281</v>
      </c>
    </row>
    <row r="346" spans="1:17" x14ac:dyDescent="0.25">
      <c r="A346" t="s">
        <v>23</v>
      </c>
      <c r="B346">
        <v>141</v>
      </c>
      <c r="C346">
        <v>72</v>
      </c>
      <c r="D346">
        <v>35.1</v>
      </c>
      <c r="E346">
        <v>133</v>
      </c>
      <c r="F346">
        <v>120</v>
      </c>
      <c r="G346">
        <v>35.1</v>
      </c>
      <c r="H346">
        <v>0</v>
      </c>
      <c r="I346">
        <v>0</v>
      </c>
      <c r="J346">
        <v>0</v>
      </c>
      <c r="K346">
        <v>3000</v>
      </c>
      <c r="L346">
        <v>0</v>
      </c>
      <c r="N346">
        <v>57</v>
      </c>
      <c r="O346" s="60" t="s">
        <v>1105</v>
      </c>
      <c r="P346" t="s">
        <v>1106</v>
      </c>
      <c r="Q346" t="s">
        <v>1278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847</v>
      </c>
      <c r="I12" t="s">
        <v>537</v>
      </c>
    </row>
    <row r="13" spans="1:9" ht="15" customHeight="1" x14ac:dyDescent="0.25">
      <c r="I13" s="133" t="s">
        <v>543</v>
      </c>
    </row>
    <row r="14" spans="1:9" x14ac:dyDescent="0.25">
      <c r="B14" t="s">
        <v>848</v>
      </c>
      <c r="I14" t="s">
        <v>547</v>
      </c>
    </row>
    <row r="15" spans="1:9" x14ac:dyDescent="0.25">
      <c r="B15" t="s">
        <v>851</v>
      </c>
      <c r="I15" t="s">
        <v>548</v>
      </c>
    </row>
    <row r="16" spans="1:9" x14ac:dyDescent="0.25">
      <c r="B16" t="str">
        <f>CONCATENATE("set global.concretePrimeX = ", ConcretePrimeX)</f>
        <v>set global.concretePrimeX = 175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100</v>
      </c>
    </row>
    <row r="20" spans="2:9" x14ac:dyDescent="0.25">
      <c r="B20" t="str">
        <f>CONCATENATE("set global.concretePrimeE = ", 1.465)</f>
        <v>set global.concretePrimeE = 1.465</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688</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702</v>
      </c>
      <c r="C19" t="s">
        <v>642</v>
      </c>
      <c r="D19" t="s">
        <v>405</v>
      </c>
      <c r="E19" t="s">
        <v>438</v>
      </c>
      <c r="F19" t="s">
        <v>463</v>
      </c>
      <c r="G19" t="s">
        <v>492</v>
      </c>
      <c r="H19" t="s">
        <v>397</v>
      </c>
      <c r="J19" t="s">
        <v>407</v>
      </c>
      <c r="L19" t="s">
        <v>439</v>
      </c>
      <c r="M19" t="s">
        <v>572</v>
      </c>
      <c r="N19" t="s">
        <v>602</v>
      </c>
    </row>
    <row r="20" spans="2:14" x14ac:dyDescent="0.25">
      <c r="B20" t="s">
        <v>851</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401"/>
  <sheetViews>
    <sheetView zoomScale="71" zoomScaleNormal="71" workbookViewId="0">
      <selection sqref="A1:A401"/>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847</v>
      </c>
    </row>
    <row r="13" spans="1:1" x14ac:dyDescent="0.25">
      <c r="A13" t="s">
        <v>848</v>
      </c>
    </row>
    <row r="14" spans="1:1" x14ac:dyDescent="0.25">
      <c r="A14" t="s">
        <v>851</v>
      </c>
    </row>
    <row r="15" spans="1:1" x14ac:dyDescent="0.25">
      <c r="A15" t="s">
        <v>863</v>
      </c>
    </row>
    <row r="16" spans="1:1" x14ac:dyDescent="0.25">
      <c r="A16" t="s">
        <v>856</v>
      </c>
    </row>
    <row r="17" spans="1:1" x14ac:dyDescent="0.25">
      <c r="A17" t="s">
        <v>896</v>
      </c>
    </row>
    <row r="18" spans="1:1" x14ac:dyDescent="0.25">
      <c r="A18" t="s">
        <v>864</v>
      </c>
    </row>
    <row r="19" spans="1:1" x14ac:dyDescent="0.25">
      <c r="A19" t="s">
        <v>850</v>
      </c>
    </row>
    <row r="21" spans="1:1" x14ac:dyDescent="0.25">
      <c r="A21" t="s">
        <v>499</v>
      </c>
    </row>
    <row r="23" spans="1:1" x14ac:dyDescent="0.25">
      <c r="A23" t="s">
        <v>694</v>
      </c>
    </row>
    <row r="24" spans="1:1" x14ac:dyDescent="0.25">
      <c r="A24" t="s">
        <v>695</v>
      </c>
    </row>
    <row r="26" spans="1:1" x14ac:dyDescent="0.25">
      <c r="A26" t="s">
        <v>688</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849</v>
      </c>
    </row>
    <row r="36" spans="1:1" x14ac:dyDescent="0.25">
      <c r="A36" t="s">
        <v>880</v>
      </c>
    </row>
    <row r="37" spans="1:1" x14ac:dyDescent="0.25">
      <c r="A37" t="s">
        <v>881</v>
      </c>
    </row>
    <row r="38" spans="1:1" x14ac:dyDescent="0.25">
      <c r="A38" t="s">
        <v>861</v>
      </c>
    </row>
    <row r="39" spans="1:1" x14ac:dyDescent="0.25">
      <c r="A39" t="s">
        <v>882</v>
      </c>
    </row>
    <row r="40" spans="1:1" x14ac:dyDescent="0.25">
      <c r="A40" t="s">
        <v>862</v>
      </c>
    </row>
    <row r="41" spans="1:1" x14ac:dyDescent="0.25">
      <c r="A41" t="s">
        <v>883</v>
      </c>
    </row>
    <row r="42" spans="1:1" x14ac:dyDescent="0.25">
      <c r="A42" t="s">
        <v>861</v>
      </c>
    </row>
    <row r="43" spans="1:1" x14ac:dyDescent="0.25">
      <c r="A43" t="s">
        <v>884</v>
      </c>
    </row>
    <row r="44" spans="1:1" x14ac:dyDescent="0.25">
      <c r="A44" t="s">
        <v>862</v>
      </c>
    </row>
    <row r="45" spans="1:1" x14ac:dyDescent="0.25">
      <c r="A45" t="s">
        <v>885</v>
      </c>
    </row>
    <row r="46" spans="1:1" x14ac:dyDescent="0.25">
      <c r="A46" t="s">
        <v>861</v>
      </c>
    </row>
    <row r="47" spans="1:1" x14ac:dyDescent="0.25">
      <c r="A47" t="s">
        <v>886</v>
      </c>
    </row>
    <row r="48" spans="1:1" x14ac:dyDescent="0.25">
      <c r="A48" t="s">
        <v>862</v>
      </c>
    </row>
    <row r="49" spans="1:1" x14ac:dyDescent="0.25">
      <c r="A49" t="s">
        <v>887</v>
      </c>
    </row>
    <row r="50" spans="1:1" x14ac:dyDescent="0.25">
      <c r="A50" t="s">
        <v>861</v>
      </c>
    </row>
    <row r="51" spans="1:1" x14ac:dyDescent="0.25">
      <c r="A51" t="s">
        <v>888</v>
      </c>
    </row>
    <row r="52" spans="1:1" x14ac:dyDescent="0.25">
      <c r="A52" t="s">
        <v>862</v>
      </c>
    </row>
    <row r="53" spans="1:1" x14ac:dyDescent="0.25">
      <c r="A53" t="s">
        <v>889</v>
      </c>
    </row>
    <row r="54" spans="1:1" x14ac:dyDescent="0.25">
      <c r="A54" t="s">
        <v>861</v>
      </c>
    </row>
    <row r="55" spans="1:1" x14ac:dyDescent="0.25">
      <c r="A55" t="s">
        <v>890</v>
      </c>
    </row>
    <row r="56" spans="1:1" x14ac:dyDescent="0.25">
      <c r="A56" t="s">
        <v>862</v>
      </c>
    </row>
    <row r="57" spans="1:1" x14ac:dyDescent="0.25">
      <c r="A57" t="s">
        <v>891</v>
      </c>
    </row>
    <row r="58" spans="1:1" x14ac:dyDescent="0.25">
      <c r="A58" t="s">
        <v>750</v>
      </c>
    </row>
    <row r="59" spans="1:1" x14ac:dyDescent="0.25">
      <c r="A59" t="s">
        <v>892</v>
      </c>
    </row>
    <row r="60" spans="1:1" x14ac:dyDescent="0.25">
      <c r="A60" t="s">
        <v>893</v>
      </c>
    </row>
    <row r="61" spans="1:1" x14ac:dyDescent="0.25">
      <c r="A61" t="s">
        <v>1070</v>
      </c>
    </row>
    <row r="62" spans="1:1" x14ac:dyDescent="0.25">
      <c r="A62" t="s">
        <v>903</v>
      </c>
    </row>
    <row r="63" spans="1:1" x14ac:dyDescent="0.25">
      <c r="A63" t="s">
        <v>882</v>
      </c>
    </row>
    <row r="64" spans="1:1" x14ac:dyDescent="0.25">
      <c r="A64" t="s">
        <v>862</v>
      </c>
    </row>
    <row r="65" spans="1:1" x14ac:dyDescent="0.25">
      <c r="A65" t="s">
        <v>898</v>
      </c>
    </row>
    <row r="66" spans="1:1" x14ac:dyDescent="0.25">
      <c r="A66" t="s">
        <v>861</v>
      </c>
    </row>
    <row r="67" spans="1:1" x14ac:dyDescent="0.25">
      <c r="A67" t="s">
        <v>886</v>
      </c>
    </row>
    <row r="68" spans="1:1" x14ac:dyDescent="0.25">
      <c r="A68" t="s">
        <v>862</v>
      </c>
    </row>
    <row r="69" spans="1:1" x14ac:dyDescent="0.25">
      <c r="A69" t="s">
        <v>899</v>
      </c>
    </row>
    <row r="70" spans="1:1" x14ac:dyDescent="0.25">
      <c r="A70" t="s">
        <v>861</v>
      </c>
    </row>
    <row r="71" spans="1:1" x14ac:dyDescent="0.25">
      <c r="A71" t="s">
        <v>890</v>
      </c>
    </row>
    <row r="72" spans="1:1" x14ac:dyDescent="0.25">
      <c r="A72" t="s">
        <v>862</v>
      </c>
    </row>
    <row r="73" spans="1:1" x14ac:dyDescent="0.25">
      <c r="A73" t="s">
        <v>900</v>
      </c>
    </row>
    <row r="74" spans="1:1" x14ac:dyDescent="0.25">
      <c r="A74" t="s">
        <v>895</v>
      </c>
    </row>
    <row r="75" spans="1:1" x14ac:dyDescent="0.25">
      <c r="A75" t="s">
        <v>901</v>
      </c>
    </row>
    <row r="76" spans="1:1" x14ac:dyDescent="0.25">
      <c r="A76" t="s">
        <v>739</v>
      </c>
    </row>
    <row r="77" spans="1:1" x14ac:dyDescent="0.25">
      <c r="A77" t="s">
        <v>904</v>
      </c>
    </row>
    <row r="78" spans="1:1" x14ac:dyDescent="0.25">
      <c r="A78" t="s">
        <v>905</v>
      </c>
    </row>
    <row r="79" spans="1:1" x14ac:dyDescent="0.25">
      <c r="A79" t="s">
        <v>906</v>
      </c>
    </row>
    <row r="80" spans="1:1" x14ac:dyDescent="0.25">
      <c r="A80" t="s">
        <v>908</v>
      </c>
    </row>
    <row r="81" spans="1:1" x14ac:dyDescent="0.25">
      <c r="A81" t="s">
        <v>909</v>
      </c>
    </row>
    <row r="82" spans="1:1" x14ac:dyDescent="0.25">
      <c r="A82" t="s">
        <v>920</v>
      </c>
    </row>
    <row r="83" spans="1:1" x14ac:dyDescent="0.25">
      <c r="A83" t="s">
        <v>906</v>
      </c>
    </row>
    <row r="84" spans="1:1" x14ac:dyDescent="0.25">
      <c r="A84" t="s">
        <v>913</v>
      </c>
    </row>
    <row r="85" spans="1:1" x14ac:dyDescent="0.25">
      <c r="A85" t="s">
        <v>909</v>
      </c>
    </row>
    <row r="86" spans="1:1" x14ac:dyDescent="0.25">
      <c r="A86" t="s">
        <v>750</v>
      </c>
    </row>
    <row r="87" spans="1:1" x14ac:dyDescent="0.25">
      <c r="A87" t="s">
        <v>910</v>
      </c>
    </row>
    <row r="88" spans="1:1" x14ac:dyDescent="0.25">
      <c r="A88" t="s">
        <v>911</v>
      </c>
    </row>
    <row r="89" spans="1:1" x14ac:dyDescent="0.25">
      <c r="A89" t="s">
        <v>925</v>
      </c>
    </row>
    <row r="90" spans="1:1" x14ac:dyDescent="0.25">
      <c r="A90" t="s">
        <v>926</v>
      </c>
    </row>
    <row r="91" spans="1:1" x14ac:dyDescent="0.25">
      <c r="A91" t="s">
        <v>909</v>
      </c>
    </row>
    <row r="92" spans="1:1" x14ac:dyDescent="0.25">
      <c r="A92" t="s">
        <v>927</v>
      </c>
    </row>
    <row r="93" spans="1:1" x14ac:dyDescent="0.25">
      <c r="A93" t="s">
        <v>906</v>
      </c>
    </row>
    <row r="94" spans="1:1" x14ac:dyDescent="0.25">
      <c r="A94" t="s">
        <v>930</v>
      </c>
    </row>
    <row r="95" spans="1:1" x14ac:dyDescent="0.25">
      <c r="A95" t="s">
        <v>909</v>
      </c>
    </row>
    <row r="96" spans="1:1" x14ac:dyDescent="0.25">
      <c r="A96" t="s">
        <v>933</v>
      </c>
    </row>
    <row r="97" spans="1:1" x14ac:dyDescent="0.25">
      <c r="A97" t="s">
        <v>700</v>
      </c>
    </row>
    <row r="98" spans="1:1" x14ac:dyDescent="0.25">
      <c r="A98" t="s">
        <v>934</v>
      </c>
    </row>
    <row r="99" spans="1:1" x14ac:dyDescent="0.25">
      <c r="A99" t="s">
        <v>935</v>
      </c>
    </row>
    <row r="100" spans="1:1" x14ac:dyDescent="0.25">
      <c r="A100" t="s">
        <v>936</v>
      </c>
    </row>
    <row r="101" spans="1:1" x14ac:dyDescent="0.25">
      <c r="A101" t="s">
        <v>499</v>
      </c>
    </row>
    <row r="102" spans="1:1" x14ac:dyDescent="0.25">
      <c r="A102" t="s">
        <v>849</v>
      </c>
    </row>
    <row r="103" spans="1:1" x14ac:dyDescent="0.25">
      <c r="A103" t="s">
        <v>1081</v>
      </c>
    </row>
    <row r="104" spans="1:1" x14ac:dyDescent="0.25">
      <c r="A104" t="s">
        <v>1082</v>
      </c>
    </row>
    <row r="105" spans="1:1" x14ac:dyDescent="0.25">
      <c r="A105" t="s">
        <v>861</v>
      </c>
    </row>
    <row r="106" spans="1:1" x14ac:dyDescent="0.25">
      <c r="A106" t="s">
        <v>882</v>
      </c>
    </row>
    <row r="107" spans="1:1" x14ac:dyDescent="0.25">
      <c r="A107" t="s">
        <v>862</v>
      </c>
    </row>
    <row r="108" spans="1:1" x14ac:dyDescent="0.25">
      <c r="A108" t="s">
        <v>898</v>
      </c>
    </row>
    <row r="109" spans="1:1" x14ac:dyDescent="0.25">
      <c r="A109" t="s">
        <v>861</v>
      </c>
    </row>
    <row r="110" spans="1:1" x14ac:dyDescent="0.25">
      <c r="A110" t="s">
        <v>886</v>
      </c>
    </row>
    <row r="111" spans="1:1" x14ac:dyDescent="0.25">
      <c r="A111" t="s">
        <v>862</v>
      </c>
    </row>
    <row r="112" spans="1:1" x14ac:dyDescent="0.25">
      <c r="A112" t="s">
        <v>899</v>
      </c>
    </row>
    <row r="113" spans="1:1" x14ac:dyDescent="0.25">
      <c r="A113" t="s">
        <v>861</v>
      </c>
    </row>
    <row r="114" spans="1:1" x14ac:dyDescent="0.25">
      <c r="A114" t="s">
        <v>890</v>
      </c>
    </row>
    <row r="115" spans="1:1" x14ac:dyDescent="0.25">
      <c r="A115" t="s">
        <v>862</v>
      </c>
    </row>
    <row r="116" spans="1:1" x14ac:dyDescent="0.25">
      <c r="A116" t="s">
        <v>900</v>
      </c>
    </row>
    <row r="117" spans="1:1" x14ac:dyDescent="0.25">
      <c r="A117" t="s">
        <v>750</v>
      </c>
    </row>
    <row r="118" spans="1:1" x14ac:dyDescent="0.25">
      <c r="A118" t="s">
        <v>914</v>
      </c>
    </row>
    <row r="119" spans="1:1" x14ac:dyDescent="0.25">
      <c r="A119" t="s">
        <v>915</v>
      </c>
    </row>
    <row r="120" spans="1:1" x14ac:dyDescent="0.25">
      <c r="A120" t="s">
        <v>954</v>
      </c>
    </row>
    <row r="121" spans="1:1" x14ac:dyDescent="0.25">
      <c r="A121" t="s">
        <v>861</v>
      </c>
    </row>
    <row r="122" spans="1:1" x14ac:dyDescent="0.25">
      <c r="A122" t="s">
        <v>889</v>
      </c>
    </row>
    <row r="123" spans="1:1" x14ac:dyDescent="0.25">
      <c r="A123" t="s">
        <v>862</v>
      </c>
    </row>
    <row r="124" spans="1:1" x14ac:dyDescent="0.25">
      <c r="A124" t="s">
        <v>963</v>
      </c>
    </row>
    <row r="125" spans="1:1" x14ac:dyDescent="0.25">
      <c r="A125" t="s">
        <v>861</v>
      </c>
    </row>
    <row r="126" spans="1:1" x14ac:dyDescent="0.25">
      <c r="A126" t="s">
        <v>885</v>
      </c>
    </row>
    <row r="127" spans="1:1" x14ac:dyDescent="0.25">
      <c r="A127" t="s">
        <v>862</v>
      </c>
    </row>
    <row r="128" spans="1:1" x14ac:dyDescent="0.25">
      <c r="A128" t="s">
        <v>970</v>
      </c>
    </row>
    <row r="129" spans="1:1" x14ac:dyDescent="0.25">
      <c r="A129" t="s">
        <v>861</v>
      </c>
    </row>
    <row r="130" spans="1:1" x14ac:dyDescent="0.25">
      <c r="A130" t="s">
        <v>973</v>
      </c>
    </row>
    <row r="131" spans="1:1" x14ac:dyDescent="0.25">
      <c r="A131" t="s">
        <v>862</v>
      </c>
    </row>
    <row r="132" spans="1:1" x14ac:dyDescent="0.25">
      <c r="A132" t="s">
        <v>1077</v>
      </c>
    </row>
    <row r="133" spans="1:1" x14ac:dyDescent="0.25">
      <c r="A133" t="s">
        <v>979</v>
      </c>
    </row>
    <row r="134" spans="1:1" x14ac:dyDescent="0.25">
      <c r="A134" t="s">
        <v>739</v>
      </c>
    </row>
    <row r="135" spans="1:1" x14ac:dyDescent="0.25">
      <c r="A135" t="s">
        <v>982</v>
      </c>
    </row>
    <row r="136" spans="1:1" x14ac:dyDescent="0.25">
      <c r="A136" t="s">
        <v>905</v>
      </c>
    </row>
    <row r="137" spans="1:1" x14ac:dyDescent="0.25">
      <c r="A137" t="s">
        <v>906</v>
      </c>
    </row>
    <row r="138" spans="1:1" x14ac:dyDescent="0.25">
      <c r="A138" t="s">
        <v>908</v>
      </c>
    </row>
    <row r="139" spans="1:1" x14ac:dyDescent="0.25">
      <c r="A139" t="s">
        <v>909</v>
      </c>
    </row>
    <row r="140" spans="1:1" x14ac:dyDescent="0.25">
      <c r="A140" t="s">
        <v>920</v>
      </c>
    </row>
    <row r="141" spans="1:1" x14ac:dyDescent="0.25">
      <c r="A141" t="s">
        <v>906</v>
      </c>
    </row>
    <row r="142" spans="1:1" x14ac:dyDescent="0.25">
      <c r="A142" t="s">
        <v>913</v>
      </c>
    </row>
    <row r="143" spans="1:1" x14ac:dyDescent="0.25">
      <c r="A143" t="s">
        <v>909</v>
      </c>
    </row>
    <row r="144" spans="1:1" x14ac:dyDescent="0.25">
      <c r="A144" t="s">
        <v>750</v>
      </c>
    </row>
    <row r="145" spans="1:1" x14ac:dyDescent="0.25">
      <c r="A145" t="s">
        <v>934</v>
      </c>
    </row>
    <row r="146" spans="1:1" x14ac:dyDescent="0.25">
      <c r="A146" t="s">
        <v>935</v>
      </c>
    </row>
    <row r="147" spans="1:1" x14ac:dyDescent="0.25">
      <c r="A147" t="s">
        <v>925</v>
      </c>
    </row>
    <row r="148" spans="1:1" x14ac:dyDescent="0.25">
      <c r="A148" t="s">
        <v>926</v>
      </c>
    </row>
    <row r="149" spans="1:1" x14ac:dyDescent="0.25">
      <c r="A149" t="s">
        <v>909</v>
      </c>
    </row>
    <row r="150" spans="1:1" x14ac:dyDescent="0.25">
      <c r="A150" t="s">
        <v>927</v>
      </c>
    </row>
    <row r="151" spans="1:1" x14ac:dyDescent="0.25">
      <c r="A151" t="s">
        <v>906</v>
      </c>
    </row>
    <row r="152" spans="1:1" x14ac:dyDescent="0.25">
      <c r="A152" t="s">
        <v>930</v>
      </c>
    </row>
    <row r="153" spans="1:1" x14ac:dyDescent="0.25">
      <c r="A153" t="s">
        <v>909</v>
      </c>
    </row>
    <row r="154" spans="1:1" x14ac:dyDescent="0.25">
      <c r="A154" t="s">
        <v>933</v>
      </c>
    </row>
    <row r="155" spans="1:1" x14ac:dyDescent="0.25">
      <c r="A155" t="s">
        <v>700</v>
      </c>
    </row>
    <row r="156" spans="1:1" x14ac:dyDescent="0.25">
      <c r="A156" t="s">
        <v>1017</v>
      </c>
    </row>
    <row r="157" spans="1:1" x14ac:dyDescent="0.25">
      <c r="A157" t="s">
        <v>1018</v>
      </c>
    </row>
    <row r="158" spans="1:1" x14ac:dyDescent="0.25">
      <c r="A158" t="s">
        <v>936</v>
      </c>
    </row>
    <row r="159" spans="1:1" x14ac:dyDescent="0.25">
      <c r="A159" t="s">
        <v>499</v>
      </c>
    </row>
    <row r="160" spans="1:1" x14ac:dyDescent="0.25">
      <c r="A160" t="s">
        <v>849</v>
      </c>
    </row>
    <row r="161" spans="1:1" x14ac:dyDescent="0.25">
      <c r="A161" t="s">
        <v>1081</v>
      </c>
    </row>
    <row r="162" spans="1:1" x14ac:dyDescent="0.25">
      <c r="A162" t="s">
        <v>1083</v>
      </c>
    </row>
    <row r="163" spans="1:1" x14ac:dyDescent="0.25">
      <c r="A163" t="s">
        <v>861</v>
      </c>
    </row>
    <row r="164" spans="1:1" x14ac:dyDescent="0.25">
      <c r="A164" t="s">
        <v>882</v>
      </c>
    </row>
    <row r="165" spans="1:1" x14ac:dyDescent="0.25">
      <c r="A165" t="s">
        <v>862</v>
      </c>
    </row>
    <row r="166" spans="1:1" x14ac:dyDescent="0.25">
      <c r="A166" t="s">
        <v>898</v>
      </c>
    </row>
    <row r="167" spans="1:1" x14ac:dyDescent="0.25">
      <c r="A167" t="s">
        <v>861</v>
      </c>
    </row>
    <row r="168" spans="1:1" x14ac:dyDescent="0.25">
      <c r="A168" t="s">
        <v>886</v>
      </c>
    </row>
    <row r="169" spans="1:1" x14ac:dyDescent="0.25">
      <c r="A169" t="s">
        <v>862</v>
      </c>
    </row>
    <row r="170" spans="1:1" x14ac:dyDescent="0.25">
      <c r="A170" t="s">
        <v>899</v>
      </c>
    </row>
    <row r="171" spans="1:1" x14ac:dyDescent="0.25">
      <c r="A171" t="s">
        <v>861</v>
      </c>
    </row>
    <row r="172" spans="1:1" x14ac:dyDescent="0.25">
      <c r="A172" t="s">
        <v>890</v>
      </c>
    </row>
    <row r="173" spans="1:1" x14ac:dyDescent="0.25">
      <c r="A173" t="s">
        <v>862</v>
      </c>
    </row>
    <row r="174" spans="1:1" x14ac:dyDescent="0.25">
      <c r="A174" t="s">
        <v>900</v>
      </c>
    </row>
    <row r="175" spans="1:1" x14ac:dyDescent="0.25">
      <c r="A175" t="s">
        <v>750</v>
      </c>
    </row>
    <row r="176" spans="1:1" x14ac:dyDescent="0.25">
      <c r="A176" t="s">
        <v>1078</v>
      </c>
    </row>
    <row r="177" spans="1:1" x14ac:dyDescent="0.25">
      <c r="A177" t="s">
        <v>1079</v>
      </c>
    </row>
    <row r="178" spans="1:1" x14ac:dyDescent="0.25">
      <c r="A178" t="s">
        <v>954</v>
      </c>
    </row>
    <row r="179" spans="1:1" x14ac:dyDescent="0.25">
      <c r="A179" t="s">
        <v>861</v>
      </c>
    </row>
    <row r="180" spans="1:1" x14ac:dyDescent="0.25">
      <c r="A180" t="s">
        <v>889</v>
      </c>
    </row>
    <row r="181" spans="1:1" x14ac:dyDescent="0.25">
      <c r="A181" t="s">
        <v>862</v>
      </c>
    </row>
    <row r="182" spans="1:1" x14ac:dyDescent="0.25">
      <c r="A182" t="s">
        <v>963</v>
      </c>
    </row>
    <row r="183" spans="1:1" x14ac:dyDescent="0.25">
      <c r="A183" t="s">
        <v>861</v>
      </c>
    </row>
    <row r="184" spans="1:1" x14ac:dyDescent="0.25">
      <c r="A184" t="s">
        <v>885</v>
      </c>
    </row>
    <row r="185" spans="1:1" x14ac:dyDescent="0.25">
      <c r="A185" t="s">
        <v>862</v>
      </c>
    </row>
    <row r="186" spans="1:1" x14ac:dyDescent="0.25">
      <c r="A186" t="s">
        <v>970</v>
      </c>
    </row>
    <row r="187" spans="1:1" x14ac:dyDescent="0.25">
      <c r="A187" t="s">
        <v>861</v>
      </c>
    </row>
    <row r="188" spans="1:1" x14ac:dyDescent="0.25">
      <c r="A188" t="s">
        <v>973</v>
      </c>
    </row>
    <row r="189" spans="1:1" x14ac:dyDescent="0.25">
      <c r="A189" t="s">
        <v>862</v>
      </c>
    </row>
    <row r="190" spans="1:1" x14ac:dyDescent="0.25">
      <c r="A190" t="s">
        <v>1080</v>
      </c>
    </row>
    <row r="191" spans="1:1" x14ac:dyDescent="0.25">
      <c r="A191" t="s">
        <v>979</v>
      </c>
    </row>
    <row r="192" spans="1:1" x14ac:dyDescent="0.25">
      <c r="A192" t="s">
        <v>739</v>
      </c>
    </row>
    <row r="193" spans="1:1" x14ac:dyDescent="0.25">
      <c r="A193" t="s">
        <v>1107</v>
      </c>
    </row>
    <row r="194" spans="1:1" x14ac:dyDescent="0.25">
      <c r="A194" t="s">
        <v>905</v>
      </c>
    </row>
    <row r="195" spans="1:1" x14ac:dyDescent="0.25">
      <c r="A195" t="s">
        <v>906</v>
      </c>
    </row>
    <row r="196" spans="1:1" x14ac:dyDescent="0.25">
      <c r="A196" t="s">
        <v>908</v>
      </c>
    </row>
    <row r="197" spans="1:1" x14ac:dyDescent="0.25">
      <c r="A197" t="s">
        <v>909</v>
      </c>
    </row>
    <row r="198" spans="1:1" x14ac:dyDescent="0.25">
      <c r="A198" t="s">
        <v>920</v>
      </c>
    </row>
    <row r="199" spans="1:1" x14ac:dyDescent="0.25">
      <c r="A199" t="s">
        <v>906</v>
      </c>
    </row>
    <row r="200" spans="1:1" x14ac:dyDescent="0.25">
      <c r="A200" t="s">
        <v>913</v>
      </c>
    </row>
    <row r="201" spans="1:1" x14ac:dyDescent="0.25">
      <c r="A201" t="s">
        <v>909</v>
      </c>
    </row>
    <row r="202" spans="1:1" x14ac:dyDescent="0.25">
      <c r="A202" t="s">
        <v>750</v>
      </c>
    </row>
    <row r="203" spans="1:1" x14ac:dyDescent="0.25">
      <c r="A203" t="s">
        <v>1017</v>
      </c>
    </row>
    <row r="204" spans="1:1" x14ac:dyDescent="0.25">
      <c r="A204" t="s">
        <v>1018</v>
      </c>
    </row>
    <row r="205" spans="1:1" x14ac:dyDescent="0.25">
      <c r="A205" t="s">
        <v>925</v>
      </c>
    </row>
    <row r="206" spans="1:1" x14ac:dyDescent="0.25">
      <c r="A206" t="s">
        <v>926</v>
      </c>
    </row>
    <row r="207" spans="1:1" x14ac:dyDescent="0.25">
      <c r="A207" t="s">
        <v>909</v>
      </c>
    </row>
    <row r="208" spans="1:1" x14ac:dyDescent="0.25">
      <c r="A208" t="s">
        <v>927</v>
      </c>
    </row>
    <row r="209" spans="1:1" x14ac:dyDescent="0.25">
      <c r="A209" t="s">
        <v>906</v>
      </c>
    </row>
    <row r="210" spans="1:1" x14ac:dyDescent="0.25">
      <c r="A210" t="s">
        <v>930</v>
      </c>
    </row>
    <row r="211" spans="1:1" x14ac:dyDescent="0.25">
      <c r="A211" t="s">
        <v>909</v>
      </c>
    </row>
    <row r="212" spans="1:1" x14ac:dyDescent="0.25">
      <c r="A212" t="s">
        <v>933</v>
      </c>
    </row>
    <row r="213" spans="1:1" x14ac:dyDescent="0.25">
      <c r="A213" t="s">
        <v>700</v>
      </c>
    </row>
    <row r="214" spans="1:1" x14ac:dyDescent="0.25">
      <c r="A214" t="s">
        <v>1129</v>
      </c>
    </row>
    <row r="215" spans="1:1" x14ac:dyDescent="0.25">
      <c r="A215" t="s">
        <v>1130</v>
      </c>
    </row>
    <row r="216" spans="1:1" x14ac:dyDescent="0.25">
      <c r="A216" t="s">
        <v>936</v>
      </c>
    </row>
    <row r="217" spans="1:1" x14ac:dyDescent="0.25">
      <c r="A217" t="s">
        <v>499</v>
      </c>
    </row>
    <row r="218" spans="1:1" x14ac:dyDescent="0.25">
      <c r="A218" t="s">
        <v>849</v>
      </c>
    </row>
    <row r="219" spans="1:1" x14ac:dyDescent="0.25">
      <c r="A219" t="s">
        <v>1081</v>
      </c>
    </row>
    <row r="220" spans="1:1" x14ac:dyDescent="0.25">
      <c r="A220" t="s">
        <v>1135</v>
      </c>
    </row>
    <row r="221" spans="1:1" x14ac:dyDescent="0.25">
      <c r="A221" t="s">
        <v>861</v>
      </c>
    </row>
    <row r="222" spans="1:1" x14ac:dyDescent="0.25">
      <c r="A222" t="s">
        <v>882</v>
      </c>
    </row>
    <row r="223" spans="1:1" x14ac:dyDescent="0.25">
      <c r="A223" t="s">
        <v>862</v>
      </c>
    </row>
    <row r="224" spans="1:1" x14ac:dyDescent="0.25">
      <c r="A224" t="s">
        <v>898</v>
      </c>
    </row>
    <row r="225" spans="1:1" x14ac:dyDescent="0.25">
      <c r="A225" t="s">
        <v>861</v>
      </c>
    </row>
    <row r="226" spans="1:1" x14ac:dyDescent="0.25">
      <c r="A226" t="s">
        <v>886</v>
      </c>
    </row>
    <row r="227" spans="1:1" x14ac:dyDescent="0.25">
      <c r="A227" t="s">
        <v>862</v>
      </c>
    </row>
    <row r="228" spans="1:1" x14ac:dyDescent="0.25">
      <c r="A228" t="s">
        <v>899</v>
      </c>
    </row>
    <row r="229" spans="1:1" x14ac:dyDescent="0.25">
      <c r="A229" t="s">
        <v>861</v>
      </c>
    </row>
    <row r="230" spans="1:1" x14ac:dyDescent="0.25">
      <c r="A230" t="s">
        <v>890</v>
      </c>
    </row>
    <row r="231" spans="1:1" x14ac:dyDescent="0.25">
      <c r="A231" t="s">
        <v>862</v>
      </c>
    </row>
    <row r="232" spans="1:1" x14ac:dyDescent="0.25">
      <c r="A232" t="s">
        <v>900</v>
      </c>
    </row>
    <row r="233" spans="1:1" x14ac:dyDescent="0.25">
      <c r="A233" t="s">
        <v>750</v>
      </c>
    </row>
    <row r="234" spans="1:1" x14ac:dyDescent="0.25">
      <c r="A234" t="s">
        <v>1108</v>
      </c>
    </row>
    <row r="235" spans="1:1" x14ac:dyDescent="0.25">
      <c r="A235" t="s">
        <v>1109</v>
      </c>
    </row>
    <row r="236" spans="1:1" x14ac:dyDescent="0.25">
      <c r="A236" t="s">
        <v>954</v>
      </c>
    </row>
    <row r="237" spans="1:1" x14ac:dyDescent="0.25">
      <c r="A237" t="s">
        <v>861</v>
      </c>
    </row>
    <row r="238" spans="1:1" x14ac:dyDescent="0.25">
      <c r="A238" t="s">
        <v>889</v>
      </c>
    </row>
    <row r="239" spans="1:1" x14ac:dyDescent="0.25">
      <c r="A239" t="s">
        <v>862</v>
      </c>
    </row>
    <row r="240" spans="1:1" x14ac:dyDescent="0.25">
      <c r="A240" t="s">
        <v>963</v>
      </c>
    </row>
    <row r="241" spans="1:1" x14ac:dyDescent="0.25">
      <c r="A241" t="s">
        <v>861</v>
      </c>
    </row>
    <row r="242" spans="1:1" x14ac:dyDescent="0.25">
      <c r="A242" t="s">
        <v>885</v>
      </c>
    </row>
    <row r="243" spans="1:1" x14ac:dyDescent="0.25">
      <c r="A243" t="s">
        <v>862</v>
      </c>
    </row>
    <row r="244" spans="1:1" x14ac:dyDescent="0.25">
      <c r="A244" t="s">
        <v>970</v>
      </c>
    </row>
    <row r="245" spans="1:1" x14ac:dyDescent="0.25">
      <c r="A245" t="s">
        <v>861</v>
      </c>
    </row>
    <row r="246" spans="1:1" x14ac:dyDescent="0.25">
      <c r="A246" t="s">
        <v>973</v>
      </c>
    </row>
    <row r="247" spans="1:1" x14ac:dyDescent="0.25">
      <c r="A247" t="s">
        <v>862</v>
      </c>
    </row>
    <row r="248" spans="1:1" x14ac:dyDescent="0.25">
      <c r="A248" t="s">
        <v>1162</v>
      </c>
    </row>
    <row r="249" spans="1:1" x14ac:dyDescent="0.25">
      <c r="A249" t="s">
        <v>979</v>
      </c>
    </row>
    <row r="250" spans="1:1" x14ac:dyDescent="0.25">
      <c r="A250" t="s">
        <v>739</v>
      </c>
    </row>
    <row r="251" spans="1:1" x14ac:dyDescent="0.25">
      <c r="A251" t="s">
        <v>1165</v>
      </c>
    </row>
    <row r="252" spans="1:1" x14ac:dyDescent="0.25">
      <c r="A252" t="s">
        <v>905</v>
      </c>
    </row>
    <row r="253" spans="1:1" x14ac:dyDescent="0.25">
      <c r="A253" t="s">
        <v>906</v>
      </c>
    </row>
    <row r="254" spans="1:1" x14ac:dyDescent="0.25">
      <c r="A254" t="s">
        <v>908</v>
      </c>
    </row>
    <row r="255" spans="1:1" x14ac:dyDescent="0.25">
      <c r="A255" t="s">
        <v>909</v>
      </c>
    </row>
    <row r="256" spans="1:1" x14ac:dyDescent="0.25">
      <c r="A256" t="s">
        <v>920</v>
      </c>
    </row>
    <row r="257" spans="1:1" x14ac:dyDescent="0.25">
      <c r="A257" t="s">
        <v>906</v>
      </c>
    </row>
    <row r="258" spans="1:1" x14ac:dyDescent="0.25">
      <c r="A258" t="s">
        <v>913</v>
      </c>
    </row>
    <row r="259" spans="1:1" x14ac:dyDescent="0.25">
      <c r="A259" t="s">
        <v>909</v>
      </c>
    </row>
    <row r="260" spans="1:1" x14ac:dyDescent="0.25">
      <c r="A260" t="s">
        <v>750</v>
      </c>
    </row>
    <row r="261" spans="1:1" x14ac:dyDescent="0.25">
      <c r="A261" t="s">
        <v>1129</v>
      </c>
    </row>
    <row r="262" spans="1:1" x14ac:dyDescent="0.25">
      <c r="A262" t="s">
        <v>1130</v>
      </c>
    </row>
    <row r="263" spans="1:1" x14ac:dyDescent="0.25">
      <c r="A263" t="s">
        <v>925</v>
      </c>
    </row>
    <row r="264" spans="1:1" x14ac:dyDescent="0.25">
      <c r="A264" t="s">
        <v>926</v>
      </c>
    </row>
    <row r="265" spans="1:1" x14ac:dyDescent="0.25">
      <c r="A265" t="s">
        <v>909</v>
      </c>
    </row>
    <row r="266" spans="1:1" x14ac:dyDescent="0.25">
      <c r="A266" t="s">
        <v>927</v>
      </c>
    </row>
    <row r="267" spans="1:1" x14ac:dyDescent="0.25">
      <c r="A267" t="s">
        <v>906</v>
      </c>
    </row>
    <row r="268" spans="1:1" x14ac:dyDescent="0.25">
      <c r="A268" t="s">
        <v>930</v>
      </c>
    </row>
    <row r="269" spans="1:1" x14ac:dyDescent="0.25">
      <c r="A269" t="s">
        <v>909</v>
      </c>
    </row>
    <row r="270" spans="1:1" x14ac:dyDescent="0.25">
      <c r="A270" t="s">
        <v>933</v>
      </c>
    </row>
    <row r="271" spans="1:1" x14ac:dyDescent="0.25">
      <c r="A271" t="s">
        <v>700</v>
      </c>
    </row>
    <row r="272" spans="1:1" x14ac:dyDescent="0.25">
      <c r="A272" t="s">
        <v>1184</v>
      </c>
    </row>
    <row r="273" spans="1:1" x14ac:dyDescent="0.25">
      <c r="A273" t="s">
        <v>1185</v>
      </c>
    </row>
    <row r="274" spans="1:1" x14ac:dyDescent="0.25">
      <c r="A274" t="s">
        <v>936</v>
      </c>
    </row>
    <row r="275" spans="1:1" x14ac:dyDescent="0.25">
      <c r="A275" t="s">
        <v>499</v>
      </c>
    </row>
    <row r="276" spans="1:1" x14ac:dyDescent="0.25">
      <c r="A276" t="s">
        <v>849</v>
      </c>
    </row>
    <row r="277" spans="1:1" x14ac:dyDescent="0.25">
      <c r="A277" t="s">
        <v>1081</v>
      </c>
    </row>
    <row r="278" spans="1:1" x14ac:dyDescent="0.25">
      <c r="A278" t="s">
        <v>1190</v>
      </c>
    </row>
    <row r="279" spans="1:1" x14ac:dyDescent="0.25">
      <c r="A279" t="s">
        <v>861</v>
      </c>
    </row>
    <row r="280" spans="1:1" x14ac:dyDescent="0.25">
      <c r="A280" t="s">
        <v>882</v>
      </c>
    </row>
    <row r="281" spans="1:1" x14ac:dyDescent="0.25">
      <c r="A281" t="s">
        <v>862</v>
      </c>
    </row>
    <row r="282" spans="1:1" x14ac:dyDescent="0.25">
      <c r="A282" t="s">
        <v>898</v>
      </c>
    </row>
    <row r="283" spans="1:1" x14ac:dyDescent="0.25">
      <c r="A283" t="s">
        <v>861</v>
      </c>
    </row>
    <row r="284" spans="1:1" x14ac:dyDescent="0.25">
      <c r="A284" t="s">
        <v>886</v>
      </c>
    </row>
    <row r="285" spans="1:1" x14ac:dyDescent="0.25">
      <c r="A285" t="s">
        <v>862</v>
      </c>
    </row>
    <row r="286" spans="1:1" x14ac:dyDescent="0.25">
      <c r="A286" t="s">
        <v>899</v>
      </c>
    </row>
    <row r="287" spans="1:1" x14ac:dyDescent="0.25">
      <c r="A287" t="s">
        <v>861</v>
      </c>
    </row>
    <row r="288" spans="1:1" x14ac:dyDescent="0.25">
      <c r="A288" t="s">
        <v>890</v>
      </c>
    </row>
    <row r="289" spans="1:1" x14ac:dyDescent="0.25">
      <c r="A289" t="s">
        <v>862</v>
      </c>
    </row>
    <row r="290" spans="1:1" x14ac:dyDescent="0.25">
      <c r="A290" t="s">
        <v>900</v>
      </c>
    </row>
    <row r="291" spans="1:1" x14ac:dyDescent="0.25">
      <c r="A291" t="s">
        <v>750</v>
      </c>
    </row>
    <row r="292" spans="1:1" x14ac:dyDescent="0.25">
      <c r="A292" t="s">
        <v>1204</v>
      </c>
    </row>
    <row r="293" spans="1:1" x14ac:dyDescent="0.25">
      <c r="A293" t="s">
        <v>1205</v>
      </c>
    </row>
    <row r="294" spans="1:1" x14ac:dyDescent="0.25">
      <c r="A294" t="s">
        <v>954</v>
      </c>
    </row>
    <row r="295" spans="1:1" x14ac:dyDescent="0.25">
      <c r="A295" t="s">
        <v>861</v>
      </c>
    </row>
    <row r="296" spans="1:1" x14ac:dyDescent="0.25">
      <c r="A296" t="s">
        <v>889</v>
      </c>
    </row>
    <row r="297" spans="1:1" x14ac:dyDescent="0.25">
      <c r="A297" t="s">
        <v>862</v>
      </c>
    </row>
    <row r="298" spans="1:1" x14ac:dyDescent="0.25">
      <c r="A298" t="s">
        <v>963</v>
      </c>
    </row>
    <row r="299" spans="1:1" x14ac:dyDescent="0.25">
      <c r="A299" t="s">
        <v>861</v>
      </c>
    </row>
    <row r="300" spans="1:1" x14ac:dyDescent="0.25">
      <c r="A300" t="s">
        <v>885</v>
      </c>
    </row>
    <row r="301" spans="1:1" x14ac:dyDescent="0.25">
      <c r="A301" t="s">
        <v>862</v>
      </c>
    </row>
    <row r="302" spans="1:1" x14ac:dyDescent="0.25">
      <c r="A302" t="s">
        <v>970</v>
      </c>
    </row>
    <row r="303" spans="1:1" x14ac:dyDescent="0.25">
      <c r="A303" t="s">
        <v>861</v>
      </c>
    </row>
    <row r="304" spans="1:1" x14ac:dyDescent="0.25">
      <c r="A304" t="s">
        <v>973</v>
      </c>
    </row>
    <row r="305" spans="1:1" x14ac:dyDescent="0.25">
      <c r="A305" t="s">
        <v>862</v>
      </c>
    </row>
    <row r="306" spans="1:1" x14ac:dyDescent="0.25">
      <c r="A306" t="s">
        <v>1219</v>
      </c>
    </row>
    <row r="307" spans="1:1" x14ac:dyDescent="0.25">
      <c r="A307" t="s">
        <v>979</v>
      </c>
    </row>
    <row r="308" spans="1:1" x14ac:dyDescent="0.25">
      <c r="A308" t="s">
        <v>739</v>
      </c>
    </row>
    <row r="309" spans="1:1" x14ac:dyDescent="0.25">
      <c r="A309" t="s">
        <v>1222</v>
      </c>
    </row>
    <row r="310" spans="1:1" x14ac:dyDescent="0.25">
      <c r="A310" t="s">
        <v>905</v>
      </c>
    </row>
    <row r="311" spans="1:1" x14ac:dyDescent="0.25">
      <c r="A311" t="s">
        <v>906</v>
      </c>
    </row>
    <row r="312" spans="1:1" x14ac:dyDescent="0.25">
      <c r="A312" t="s">
        <v>908</v>
      </c>
    </row>
    <row r="313" spans="1:1" x14ac:dyDescent="0.25">
      <c r="A313" t="s">
        <v>909</v>
      </c>
    </row>
    <row r="314" spans="1:1" x14ac:dyDescent="0.25">
      <c r="A314" t="s">
        <v>920</v>
      </c>
    </row>
    <row r="315" spans="1:1" x14ac:dyDescent="0.25">
      <c r="A315" t="s">
        <v>906</v>
      </c>
    </row>
    <row r="316" spans="1:1" x14ac:dyDescent="0.25">
      <c r="A316" t="s">
        <v>913</v>
      </c>
    </row>
    <row r="317" spans="1:1" x14ac:dyDescent="0.25">
      <c r="A317" t="s">
        <v>909</v>
      </c>
    </row>
    <row r="318" spans="1:1" x14ac:dyDescent="0.25">
      <c r="A318" t="s">
        <v>750</v>
      </c>
    </row>
    <row r="319" spans="1:1" x14ac:dyDescent="0.25">
      <c r="A319" t="s">
        <v>1184</v>
      </c>
    </row>
    <row r="320" spans="1:1" x14ac:dyDescent="0.25">
      <c r="A320" t="s">
        <v>1185</v>
      </c>
    </row>
    <row r="321" spans="1:1" x14ac:dyDescent="0.25">
      <c r="A321" t="s">
        <v>925</v>
      </c>
    </row>
    <row r="322" spans="1:1" x14ac:dyDescent="0.25">
      <c r="A322" t="s">
        <v>926</v>
      </c>
    </row>
    <row r="323" spans="1:1" x14ac:dyDescent="0.25">
      <c r="A323" t="s">
        <v>909</v>
      </c>
    </row>
    <row r="324" spans="1:1" x14ac:dyDescent="0.25">
      <c r="A324" t="s">
        <v>927</v>
      </c>
    </row>
    <row r="325" spans="1:1" x14ac:dyDescent="0.25">
      <c r="A325" t="s">
        <v>906</v>
      </c>
    </row>
    <row r="326" spans="1:1" x14ac:dyDescent="0.25">
      <c r="A326" t="s">
        <v>930</v>
      </c>
    </row>
    <row r="327" spans="1:1" x14ac:dyDescent="0.25">
      <c r="A327" t="s">
        <v>909</v>
      </c>
    </row>
    <row r="328" spans="1:1" x14ac:dyDescent="0.25">
      <c r="A328" t="s">
        <v>933</v>
      </c>
    </row>
    <row r="329" spans="1:1" x14ac:dyDescent="0.25">
      <c r="A329" t="s">
        <v>700</v>
      </c>
    </row>
    <row r="330" spans="1:1" x14ac:dyDescent="0.25">
      <c r="A330" t="s">
        <v>1241</v>
      </c>
    </row>
    <row r="331" spans="1:1" x14ac:dyDescent="0.25">
      <c r="A331" t="s">
        <v>1242</v>
      </c>
    </row>
    <row r="332" spans="1:1" x14ac:dyDescent="0.25">
      <c r="A332" t="s">
        <v>936</v>
      </c>
    </row>
    <row r="333" spans="1:1" x14ac:dyDescent="0.25">
      <c r="A333" t="s">
        <v>499</v>
      </c>
    </row>
    <row r="334" spans="1:1" x14ac:dyDescent="0.25">
      <c r="A334" t="s">
        <v>849</v>
      </c>
    </row>
    <row r="335" spans="1:1" x14ac:dyDescent="0.25">
      <c r="A335" t="s">
        <v>1081</v>
      </c>
    </row>
    <row r="336" spans="1:1" x14ac:dyDescent="0.25">
      <c r="A336" t="s">
        <v>1247</v>
      </c>
    </row>
    <row r="337" spans="1:1" x14ac:dyDescent="0.25">
      <c r="A337" t="s">
        <v>861</v>
      </c>
    </row>
    <row r="338" spans="1:1" x14ac:dyDescent="0.25">
      <c r="A338" t="s">
        <v>882</v>
      </c>
    </row>
    <row r="339" spans="1:1" x14ac:dyDescent="0.25">
      <c r="A339" t="s">
        <v>862</v>
      </c>
    </row>
    <row r="340" spans="1:1" x14ac:dyDescent="0.25">
      <c r="A340" t="s">
        <v>898</v>
      </c>
    </row>
    <row r="341" spans="1:1" x14ac:dyDescent="0.25">
      <c r="A341" t="s">
        <v>861</v>
      </c>
    </row>
    <row r="342" spans="1:1" x14ac:dyDescent="0.25">
      <c r="A342" t="s">
        <v>886</v>
      </c>
    </row>
    <row r="343" spans="1:1" x14ac:dyDescent="0.25">
      <c r="A343" t="s">
        <v>862</v>
      </c>
    </row>
    <row r="344" spans="1:1" x14ac:dyDescent="0.25">
      <c r="A344" t="s">
        <v>899</v>
      </c>
    </row>
    <row r="345" spans="1:1" x14ac:dyDescent="0.25">
      <c r="A345" t="s">
        <v>861</v>
      </c>
    </row>
    <row r="346" spans="1:1" x14ac:dyDescent="0.25">
      <c r="A346" t="s">
        <v>890</v>
      </c>
    </row>
    <row r="347" spans="1:1" x14ac:dyDescent="0.25">
      <c r="A347" t="s">
        <v>862</v>
      </c>
    </row>
    <row r="348" spans="1:1" x14ac:dyDescent="0.25">
      <c r="A348" t="s">
        <v>900</v>
      </c>
    </row>
    <row r="349" spans="1:1" x14ac:dyDescent="0.25">
      <c r="A349" t="s">
        <v>750</v>
      </c>
    </row>
    <row r="350" spans="1:1" x14ac:dyDescent="0.25">
      <c r="A350" t="s">
        <v>1261</v>
      </c>
    </row>
    <row r="351" spans="1:1" x14ac:dyDescent="0.25">
      <c r="A351" t="s">
        <v>1262</v>
      </c>
    </row>
    <row r="352" spans="1:1" x14ac:dyDescent="0.25">
      <c r="A352" t="s">
        <v>954</v>
      </c>
    </row>
    <row r="353" spans="1:1" x14ac:dyDescent="0.25">
      <c r="A353" t="s">
        <v>861</v>
      </c>
    </row>
    <row r="354" spans="1:1" x14ac:dyDescent="0.25">
      <c r="A354" t="s">
        <v>889</v>
      </c>
    </row>
    <row r="355" spans="1:1" x14ac:dyDescent="0.25">
      <c r="A355" t="s">
        <v>862</v>
      </c>
    </row>
    <row r="356" spans="1:1" x14ac:dyDescent="0.25">
      <c r="A356" t="s">
        <v>963</v>
      </c>
    </row>
    <row r="357" spans="1:1" x14ac:dyDescent="0.25">
      <c r="A357" t="s">
        <v>861</v>
      </c>
    </row>
    <row r="358" spans="1:1" x14ac:dyDescent="0.25">
      <c r="A358" t="s">
        <v>885</v>
      </c>
    </row>
    <row r="359" spans="1:1" x14ac:dyDescent="0.25">
      <c r="A359" t="s">
        <v>862</v>
      </c>
    </row>
    <row r="360" spans="1:1" x14ac:dyDescent="0.25">
      <c r="A360" t="s">
        <v>970</v>
      </c>
    </row>
    <row r="361" spans="1:1" x14ac:dyDescent="0.25">
      <c r="A361" t="s">
        <v>861</v>
      </c>
    </row>
    <row r="362" spans="1:1" x14ac:dyDescent="0.25">
      <c r="A362" t="s">
        <v>973</v>
      </c>
    </row>
    <row r="363" spans="1:1" x14ac:dyDescent="0.25">
      <c r="A363" t="s">
        <v>862</v>
      </c>
    </row>
    <row r="364" spans="1:1" x14ac:dyDescent="0.25">
      <c r="A364" t="s">
        <v>1276</v>
      </c>
    </row>
    <row r="365" spans="1:1" x14ac:dyDescent="0.25">
      <c r="A365" t="s">
        <v>979</v>
      </c>
    </row>
    <row r="366" spans="1:1" x14ac:dyDescent="0.25">
      <c r="A366" t="s">
        <v>739</v>
      </c>
    </row>
    <row r="367" spans="1:1" x14ac:dyDescent="0.25">
      <c r="A367" t="s">
        <v>1279</v>
      </c>
    </row>
    <row r="368" spans="1:1" x14ac:dyDescent="0.25">
      <c r="A368" t="s">
        <v>905</v>
      </c>
    </row>
    <row r="369" spans="1:1" x14ac:dyDescent="0.25">
      <c r="A369" t="s">
        <v>906</v>
      </c>
    </row>
    <row r="370" spans="1:1" x14ac:dyDescent="0.25">
      <c r="A370" t="s">
        <v>908</v>
      </c>
    </row>
    <row r="371" spans="1:1" x14ac:dyDescent="0.25">
      <c r="A371" t="s">
        <v>909</v>
      </c>
    </row>
    <row r="372" spans="1:1" x14ac:dyDescent="0.25">
      <c r="A372" t="s">
        <v>920</v>
      </c>
    </row>
    <row r="373" spans="1:1" x14ac:dyDescent="0.25">
      <c r="A373" t="s">
        <v>906</v>
      </c>
    </row>
    <row r="374" spans="1:1" x14ac:dyDescent="0.25">
      <c r="A374" t="s">
        <v>913</v>
      </c>
    </row>
    <row r="375" spans="1:1" x14ac:dyDescent="0.25">
      <c r="A375" t="s">
        <v>909</v>
      </c>
    </row>
    <row r="376" spans="1:1" x14ac:dyDescent="0.25">
      <c r="A376" t="s">
        <v>700</v>
      </c>
    </row>
    <row r="377" spans="1:1" x14ac:dyDescent="0.25">
      <c r="A377" t="s">
        <v>1280</v>
      </c>
    </row>
    <row r="378" spans="1:1" x14ac:dyDescent="0.25">
      <c r="A378" t="s">
        <v>1281</v>
      </c>
    </row>
    <row r="379" spans="1:1" x14ac:dyDescent="0.25">
      <c r="A379" t="s">
        <v>1278</v>
      </c>
    </row>
    <row r="381" spans="1:1" x14ac:dyDescent="0.25">
      <c r="A381" t="s">
        <v>638</v>
      </c>
    </row>
    <row r="383" spans="1:1" x14ac:dyDescent="0.25">
      <c r="A383" t="s">
        <v>491</v>
      </c>
    </row>
    <row r="384" spans="1:1" x14ac:dyDescent="0.25">
      <c r="A384" t="s">
        <v>492</v>
      </c>
    </row>
    <row r="385" spans="1:1" x14ac:dyDescent="0.25">
      <c r="A385" t="s">
        <v>493</v>
      </c>
    </row>
    <row r="386" spans="1:1" x14ac:dyDescent="0.25">
      <c r="A386" t="s">
        <v>439</v>
      </c>
    </row>
    <row r="388" spans="1:1" x14ac:dyDescent="0.25">
      <c r="A388" t="s">
        <v>494</v>
      </c>
    </row>
    <row r="389" spans="1:1" x14ac:dyDescent="0.25">
      <c r="A389" t="s">
        <v>495</v>
      </c>
    </row>
    <row r="391" spans="1:1" x14ac:dyDescent="0.25">
      <c r="A391" t="s">
        <v>639</v>
      </c>
    </row>
    <row r="392" spans="1:1" x14ac:dyDescent="0.25">
      <c r="A392" t="s">
        <v>640</v>
      </c>
    </row>
    <row r="394" spans="1:1" x14ac:dyDescent="0.25">
      <c r="A394" t="s">
        <v>496</v>
      </c>
    </row>
    <row r="395" spans="1:1" x14ac:dyDescent="0.25">
      <c r="A395" t="s">
        <v>641</v>
      </c>
    </row>
    <row r="397" spans="1:1" x14ac:dyDescent="0.25">
      <c r="A397" t="s">
        <v>702</v>
      </c>
    </row>
    <row r="398" spans="1:1" x14ac:dyDescent="0.25">
      <c r="A398" t="s">
        <v>851</v>
      </c>
    </row>
    <row r="400" spans="1:1" x14ac:dyDescent="0.25">
      <c r="A400" t="s">
        <v>498</v>
      </c>
    </row>
    <row r="401" spans="1:1" x14ac:dyDescent="0.25">
      <c r="A401"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2022-03-31T13:09:41Z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