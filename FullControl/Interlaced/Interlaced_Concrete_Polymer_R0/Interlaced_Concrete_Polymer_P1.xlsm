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_Concrete_Polymer\"/>
    </mc:Choice>
  </mc:AlternateContent>
  <xr:revisionPtr revIDLastSave="0" documentId="8_{C58B6359-D006-498B-8A66-67B7093979E5}"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Spacing">'Main Sheet'!$T$38</definedName>
    <definedName name="ExtrusionHeight">'Main Sheet'!$T$40</definedName>
    <definedName name="ExtrusionSpacing">'Main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 i="1" l="1"/>
  <c r="G12" i="1"/>
  <c r="E18" i="1"/>
  <c r="E12" i="1"/>
  <c r="H14" i="1"/>
  <c r="H11" i="1"/>
  <c r="G20" i="1" l="1"/>
  <c r="F20" i="1"/>
  <c r="E19" i="1"/>
  <c r="G17" i="1"/>
  <c r="L17" i="1"/>
  <c r="K17" i="1"/>
  <c r="H16" i="1"/>
  <c r="L16" i="1"/>
  <c r="K16" i="1"/>
  <c r="G15" i="1"/>
  <c r="H9" i="1" l="1"/>
  <c r="E13" i="1"/>
  <c r="E8" i="1"/>
  <c r="D8" i="1"/>
  <c r="L11" i="1"/>
  <c r="K11" i="1"/>
  <c r="L10" i="1"/>
  <c r="K10" i="1"/>
  <c r="G10" i="1"/>
  <c r="L9" i="1"/>
  <c r="K9" i="1"/>
  <c r="L8" i="1"/>
  <c r="K8" i="1"/>
  <c r="G8" i="1" a="1"/>
  <c r="G8" i="1" s="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<sst xmlns="http://schemas.openxmlformats.org/spreadsheetml/2006/main" count="5213" uniqueCount="1040">
  <si>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</si>
  <si>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</si>
  <si>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</si>
  <si>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</si>
  <si>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</si>
  <si>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</si>
  <si>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</si>
  <si>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</si>
  <si>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</si>
  <si>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</si>
  <si>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</si>
  <si>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</si>
  <si>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</si>
  <si>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</si>
  <si>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</si>
  <si>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</si>
  <si>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</si>
  <si>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</si>
  <si>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</si>
  <si>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</si>
  <si>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</si>
  <si>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</si>
  <si>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</si>
  <si>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</si>
  <si>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</si>
  <si>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</si>
  <si>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</si>
  <si>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</si>
  <si>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</si>
  <si>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</si>
  <si>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</si>
  <si>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</si>
  <si>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</si>
  <si>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</si>
  <si>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</si>
  <si>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</si>
  <si>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</si>
  <si>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</si>
  <si>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</si>
  <si>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</si>
  <si>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</si>
  <si>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</si>
  <si>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</si>
  <si>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</si>
  <si>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</si>
  <si>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</si>
  <si>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</si>
  <si>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</si>
  <si>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</si>
  <si>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</si>
  <si>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</si>
  <si>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</si>
  <si>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</si>
  <si>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</si>
  <si>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</si>
  <si>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</si>
  <si>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</si>
  <si>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</si>
  <si>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</si>
  <si>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</si>
  <si>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</si>
  <si>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</si>
  <si>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</si>
  <si>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</si>
  <si>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</si>
  <si>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</si>
  <si>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</si>
  <si>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</si>
  <si>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</si>
  <si>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</si>
  <si>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</si>
  <si>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</si>
  <si>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</si>
  <si>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</si>
  <si>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</si>
  <si>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</si>
  <si>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</si>
  <si>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</si>
  <si>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</si>
  <si>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</si>
  <si>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</si>
  <si>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</si>
  <si>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</si>
  <si>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</si>
  <si>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</si>
  <si>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</si>
  <si>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</si>
  <si>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</si>
  <si>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</si>
  <si>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</si>
  <si>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</si>
  <si>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</si>
  <si>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</si>
  <si>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</si>
  <si>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</si>
  <si>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</si>
  <si>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</si>
  <si>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</si>
  <si>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</si>
  <si>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</si>
  <si>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</si>
  <si>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</si>
  <si>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</si>
  <si>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</si>
  <si>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</si>
  <si>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</si>
  <si>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</si>
  <si>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</si>
  <si>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</si>
  <si>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</si>
  <si>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</si>
  <si>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</si>
  <si>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</si>
  <si>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</si>
  <si>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</si>
  <si>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</si>
  <si>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</si>
  <si>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</si>
  <si>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</si>
  <si>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</si>
  <si>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</si>
  <si>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</si>
  <si>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</si>
  <si>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</si>
  <si>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</si>
  <si>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</si>
  <si>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</si>
  <si>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</si>
  <si>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</si>
  <si>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</si>
  <si>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</si>
  <si>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</si>
  <si>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</si>
  <si>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</si>
  <si>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</si>
  <si>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</si>
  <si>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</si>
  <si>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</si>
  <si>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</si>
  <si>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</si>
  <si>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</si>
  <si>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</si>
  <si>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</si>
  <si>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</si>
  <si>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</si>
  <si>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</si>
  <si>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</si>
  <si>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</si>
  <si>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</si>
  <si>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</si>
  <si>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</si>
  <si>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</si>
  <si>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</si>
  <si>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</si>
  <si>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</si>
  <si>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</si>
  <si>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</si>
  <si>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</si>
  <si>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</si>
  <si>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</si>
  <si>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</si>
  <si>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</si>
  <si>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</si>
  <si>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</si>
  <si>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</si>
  <si>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</si>
  <si>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</si>
  <si>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</si>
  <si>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</si>
  <si>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</si>
  <si>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</si>
  <si>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</si>
  <si>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</si>
  <si>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</si>
  <si>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</si>
  <si>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</si>
  <si>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</si>
  <si>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</si>
  <si>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</si>
  <si>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</si>
  <si>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</si>
  <si>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</si>
  <si>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</si>
  <si>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</si>
  <si>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</si>
  <si>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</si>
  <si>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</si>
  <si>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</si>
  <si>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</si>
  <si>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</si>
  <si>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</si>
  <si>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</si>
  <si>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</si>
  <si>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</si>
  <si>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</si>
  <si>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</si>
  <si>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</si>
  <si>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</si>
  <si>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</si>
  <si>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</si>
  <si>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</si>
  <si>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</si>
  <si>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</si>
  <si>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</si>
  <si>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</si>
  <si>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</si>
  <si>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</si>
  <si>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</si>
  <si>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</si>
  <si>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</si>
  <si>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</si>
  <si>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</si>
  <si>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</si>
  <si>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</si>
  <si>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</si>
  <si>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</si>
  <si>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</si>
  <si>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</si>
  <si>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</si>
  <si>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</si>
  <si>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</si>
  <si>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</si>
  <si>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</si>
  <si>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</si>
  <si>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</si>
  <si>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</si>
  <si>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</si>
  <si>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</si>
  <si>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</si>
  <si>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</si>
  <si>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</si>
  <si>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</si>
  <si>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</si>
  <si>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</si>
  <si>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</si>
  <si>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</si>
  <si>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</si>
  <si>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</si>
  <si>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</si>
  <si>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</si>
  <si>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</si>
  <si>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</si>
  <si>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</si>
  <si>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</si>
  <si>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</si>
  <si>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</si>
  <si>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</si>
  <si>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</si>
  <si>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</si>
  <si>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</si>
  <si>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</si>
  <si>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</si>
  <si>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</si>
  <si>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</si>
  <si>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</si>
  <si>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</si>
  <si>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</si>
  <si>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</si>
  <si>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</si>
  <si>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</si>
  <si>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</si>
  <si>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</si>
  <si>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</si>
  <si>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</si>
  <si>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</si>
  <si>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</si>
  <si>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</si>
  <si>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</si>
  <si>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</si>
  <si>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</si>
  <si>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</si>
  <si>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</si>
  <si>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</si>
  <si>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</si>
  <si>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</si>
  <si>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</si>
  <si>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</si>
  <si>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</si>
  <si>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</si>
  <si>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</si>
  <si>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</si>
  <si>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</si>
  <si>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</si>
  <si>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</si>
  <si>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</si>
  <si>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</si>
  <si>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</si>
  <si>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</si>
  <si>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</si>
  <si>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</si>
  <si>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</si>
  <si>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</si>
  <si>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</si>
  <si>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</si>
  <si>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</si>
  <si>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</si>
  <si>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</si>
  <si>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</si>
  <si>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</si>
  <si>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</si>
  <si>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</si>
  <si>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</si>
  <si>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</si>
  <si>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</si>
  <si>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</si>
  <si>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</si>
  <si>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</si>
  <si>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</si>
  <si>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</si>
  <si>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</si>
  <si>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</si>
  <si>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</si>
  <si>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</si>
  <si>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</si>
  <si>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</si>
  <si>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</si>
  <si>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</si>
  <si>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</si>
  <si>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</si>
  <si>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</si>
  <si>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</si>
  <si>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</si>
  <si>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</si>
  <si>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</si>
  <si>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</si>
  <si>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</si>
  <si>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</si>
  <si>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</si>
  <si>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</si>
  <si>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</si>
  <si>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</si>
  <si>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</si>
  <si>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</si>
  <si>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</si>
  <si>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</si>
  <si>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</si>
  <si>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</si>
  <si>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</si>
  <si>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</si>
  <si>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</si>
  <si>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</si>
  <si>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</si>
  <si>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</si>
  <si>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</si>
  <si>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</si>
  <si>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</si>
  <si>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</si>
  <si>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</si>
  <si>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</si>
  <si>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</si>
  <si>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</si>
  <si>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</si>
  <si>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</si>
  <si>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</si>
  <si>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</si>
  <si>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</si>
  <si>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</si>
  <si>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</si>
  <si>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</si>
  <si>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</si>
  <si>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</si>
  <si>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</si>
  <si>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</si>
  <si>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</si>
  <si>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</si>
  <si>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</si>
  <si>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</si>
  <si>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</si>
  <si>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</si>
  <si>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</si>
  <si>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</si>
  <si>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</si>
  <si>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</si>
  <si>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</si>
  <si>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</si>
  <si>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</si>
  <si>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</si>
  <si>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</si>
  <si>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</si>
  <si>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</si>
  <si>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</si>
  <si>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</si>
  <si>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</si>
  <si>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</si>
  <si>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</si>
  <si>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</si>
  <si>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</si>
  <si>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</si>
  <si>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</si>
  <si>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</si>
  <si>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</si>
  <si>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</si>
  <si>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</si>
  <si>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</si>
  <si>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</si>
  <si>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</si>
  <si>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</si>
  <si>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</si>
  <si>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</si>
  <si>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</si>
  <si>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</si>
  <si>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</si>
  <si>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</si>
  <si>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</si>
  <si>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</si>
  <si>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</si>
  <si>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</si>
  <si>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</si>
  <si>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</si>
  <si>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</si>
  <si>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</si>
  <si>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</si>
  <si>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</si>
  <si>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</si>
  <si>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</si>
  <si>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</si>
  <si>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</si>
  <si>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</si>
  <si>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</si>
  <si>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</si>
  <si>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</si>
  <si>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</si>
  <si>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</si>
  <si>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</si>
  <si>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</si>
  <si>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</si>
  <si>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</si>
  <si>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</si>
  <si>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</si>
  <si>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</si>
  <si>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</si>
  <si>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</si>
  <si>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</si>
  <si>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</si>
  <si>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</si>
  <si>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</si>
  <si>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</si>
  <si>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</si>
  <si>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</si>
  <si>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</si>
  <si>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</si>
  <si>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</si>
  <si>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</si>
  <si>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</si>
  <si>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</si>
  <si>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</si>
  <si>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</si>
  <si>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</si>
  <si>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</si>
  <si>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</si>
  <si>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</si>
  <si>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</si>
  <si>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</si>
  <si>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</si>
  <si>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</si>
  <si>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</si>
  <si>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</si>
  <si>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</si>
  <si>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</si>
  <si>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</si>
  <si>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</si>
  <si>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</si>
  <si>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</si>
  <si>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</si>
  <si>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</si>
  <si>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</si>
  <si>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</si>
  <si>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</si>
  <si>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</si>
  <si>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</si>
  <si>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</si>
  <si>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</si>
  <si>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</si>
  <si>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</si>
  <si>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</si>
  <si>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</si>
  <si>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</si>
  <si>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</si>
  <si>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</si>
  <si>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</si>
  <si>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</si>
  <si>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</si>
  <si>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</si>
  <si>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</si>
  <si>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</si>
  <si>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</si>
  <si>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</si>
  <si>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</si>
  <si>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</si>
  <si>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</si>
  <si>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</si>
  <si>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</si>
  <si>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</si>
  <si>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</si>
  <si>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</si>
  <si>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</si>
  <si>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</si>
  <si>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</si>
  <si>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</si>
  <si>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</si>
  <si>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</si>
  <si>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</si>
  <si>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</si>
  <si>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</si>
  <si>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</si>
  <si>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</si>
  <si>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</si>
  <si>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</si>
  <si>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</si>
  <si>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</si>
  <si>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</si>
  <si>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</si>
  <si>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</si>
  <si>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</si>
  <si>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</si>
  <si>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</si>
  <si>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</si>
  <si>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</si>
  <si>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</si>
  <si>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</si>
  <si>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</si>
  <si>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</si>
  <si>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</si>
  <si>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</si>
  <si>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</si>
  <si>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</si>
  <si>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</si>
  <si>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</si>
  <si>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</si>
  <si>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</si>
  <si>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</si>
  <si>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</si>
  <si>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</si>
  <si>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</si>
  <si>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</si>
  <si>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</si>
  <si>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</si>
  <si>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</si>
  <si>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</si>
  <si>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</si>
  <si>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</si>
  <si>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</si>
  <si>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</si>
  <si>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</si>
  <si>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</si>
  <si>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</si>
  <si>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</si>
  <si>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</si>
  <si>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</si>
  <si>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</si>
  <si>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</si>
  <si>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</si>
  <si>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</si>
  <si>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</si>
  <si>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</si>
  <si>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</si>
  <si>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</si>
  <si>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</si>
  <si>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</si>
  <si>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</si>
  <si>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</si>
  <si>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</si>
  <si>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</si>
  <si>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</si>
  <si>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</si>
  <si>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</si>
  <si>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</si>
  <si>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</si>
  <si>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</si>
  <si>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</si>
  <si>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</si>
  <si>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</si>
  <si>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</si>
  <si>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</si>
  <si>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</si>
  <si>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</si>
  <si>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</si>
  <si>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</si>
  <si>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</si>
  <si>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</si>
  <si>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</si>
  <si>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</si>
  <si>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</si>
  <si>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</si>
  <si>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</si>
  <si>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</si>
  <si>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</si>
  <si>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</si>
  <si>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</si>
  <si>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</si>
  <si>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</si>
  <si>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</si>
  <si>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</si>
  <si>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</si>
  <si>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</si>
  <si>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</si>
  <si>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</si>
  <si>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</si>
  <si>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</si>
  <si>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</si>
  <si>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</si>
  <si>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</si>
  <si>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</si>
  <si>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</si>
  <si>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</si>
  <si>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</si>
  <si>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</si>
  <si>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</si>
  <si>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</si>
  <si>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</si>
  <si>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</si>
  <si>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</si>
  <si>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</si>
  <si>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</si>
  <si>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</si>
  <si>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</si>
  <si>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</si>
  <si>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</si>
  <si>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</si>
  <si>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</si>
  <si>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</si>
  <si>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</si>
  <si>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</si>
  <si>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</si>
  <si>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</si>
  <si>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</si>
  <si>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</si>
  <si>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</si>
  <si>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</si>
  <si>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</si>
  <si>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</si>
  <si>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</si>
  <si>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</si>
  <si>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</si>
  <si>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</si>
  <si>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</si>
  <si>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</si>
  <si>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</si>
  <si>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</si>
  <si>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</si>
  <si>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</si>
  <si>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</si>
  <si>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</si>
  <si>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</si>
  <si>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</si>
  <si>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</si>
  <si>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</si>
  <si>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</si>
  <si>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</si>
  <si>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</si>
  <si>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</si>
  <si>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</si>
  <si>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</si>
  <si>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</si>
  <si>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</si>
  <si>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</si>
  <si>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</si>
  <si>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</si>
  <si>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</si>
  <si>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</si>
  <si>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</si>
  <si>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</si>
  <si>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</si>
  <si>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</si>
  <si>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M109 S220</t>
  </si>
  <si>
    <t>first layer</t>
  </si>
  <si>
    <t>ExtrusionSpacing</t>
  </si>
  <si>
    <t>ExtrusionSpacing_L1</t>
  </si>
  <si>
    <t>3</t>
  </si>
  <si>
    <t>LineFeat2</t>
  </si>
  <si>
    <t>4</t>
  </si>
  <si>
    <t>LineFeat3</t>
  </si>
  <si>
    <t>LineFeat4</t>
  </si>
  <si>
    <t>6</t>
  </si>
  <si>
    <t>CartesianRepFeat1 of LineFeat2</t>
  </si>
  <si>
    <t>CartesianRepFeat1 of LineFeat3</t>
  </si>
  <si>
    <t>CartesianRepFeat1 of LineFeat4</t>
  </si>
  <si>
    <t>RetractionFeat1</t>
  </si>
  <si>
    <t>G0 F10000.0 Z7.75</t>
  </si>
  <si>
    <t>CartesianRepFeat1 of LineFeat1</t>
  </si>
  <si>
    <t>G0 F10000.0 Z4.15</t>
  </si>
  <si>
    <t>SKIP_Custom GCODE</t>
  </si>
  <si>
    <t>13-16</t>
  </si>
  <si>
    <t>4-7</t>
  </si>
  <si>
    <t>Interlaced_Lines_Alternating</t>
  </si>
  <si>
    <t>Save time: 11/15/2021 8:33:46 PM</t>
  </si>
  <si>
    <t>Interlaced_Lines</t>
  </si>
  <si>
    <t>Save time: 11/15/2021 8:42:35 PM</t>
  </si>
  <si>
    <t>ExtrusionWidth</t>
  </si>
  <si>
    <t>ExtrusionHeight</t>
  </si>
  <si>
    <t>20-23</t>
  </si>
  <si>
    <t>M98 P"parkprep.g"</t>
  </si>
  <si>
    <t>G0 F10000.0 Z2.35</t>
  </si>
  <si>
    <t>G0 F10000.0 Z5.95</t>
  </si>
  <si>
    <t>29-32</t>
  </si>
  <si>
    <t>8,9,10,11,17,18,24,25,26,27,33,34</t>
  </si>
  <si>
    <t>G0 F10000.0 Z9.55</t>
  </si>
  <si>
    <t>G1 F2100.0 E-1.25</t>
  </si>
  <si>
    <t>Length</t>
  </si>
  <si>
    <t>Interlaced_Lines_1</t>
  </si>
  <si>
    <t>Save time: 11/16/2021 12:36:47 AM</t>
  </si>
  <si>
    <t>Interlaced_Lines_Alternate_1</t>
  </si>
  <si>
    <t>Save time: 11/16/2021 12:42:00 AM</t>
  </si>
  <si>
    <t>RecycleBinSave at 11/16/2021 4:58:26 PM</t>
  </si>
  <si>
    <t>Save time: 11/16/2021 4:58:27 PM</t>
  </si>
  <si>
    <t>5.1-4</t>
  </si>
  <si>
    <t>5.2-4</t>
  </si>
  <si>
    <t>5.3-4</t>
  </si>
  <si>
    <t>5.4-4</t>
  </si>
  <si>
    <t>5.5-4</t>
  </si>
  <si>
    <t>5.1-1</t>
  </si>
  <si>
    <t>5.1-2</t>
  </si>
  <si>
    <t>5.1-3</t>
  </si>
  <si>
    <t>5.2-1</t>
  </si>
  <si>
    <t>5.2-2</t>
  </si>
  <si>
    <t>5.2-3</t>
  </si>
  <si>
    <t>5.3-1</t>
  </si>
  <si>
    <t>5.3-2</t>
  </si>
  <si>
    <t>5.3-3</t>
  </si>
  <si>
    <t>5.4-1</t>
  </si>
  <si>
    <t>5.4-2</t>
  </si>
  <si>
    <t>5.4-3</t>
  </si>
  <si>
    <t>5.5-1</t>
  </si>
  <si>
    <t>5.5-2</t>
  </si>
  <si>
    <t>5.5-3</t>
  </si>
  <si>
    <t>G0 F10000.0 Z1.45</t>
  </si>
  <si>
    <t>G0 F10000.0 Z3.25</t>
  </si>
  <si>
    <t>G0 F10000.0 Z5.05</t>
  </si>
  <si>
    <t>G0 F10000.0 Z6.85</t>
  </si>
  <si>
    <t>G0 F10000.0 Z8.65</t>
  </si>
  <si>
    <t>G1 Y133.05 E0.503118</t>
  </si>
  <si>
    <t>G1 Y131.7 E0.606166</t>
  </si>
  <si>
    <t>G1 Y133.05 E0.606166</t>
  </si>
  <si>
    <t>7-10</t>
  </si>
  <si>
    <t>1-12</t>
  </si>
  <si>
    <t>G0 F48000 Z1.45</t>
  </si>
  <si>
    <t>7</t>
  </si>
  <si>
    <t>LineFeat5</t>
  </si>
  <si>
    <t>8</t>
  </si>
  <si>
    <t>LineFeat6</t>
  </si>
  <si>
    <t>9</t>
  </si>
  <si>
    <t>LineFeat7</t>
  </si>
  <si>
    <t>10</t>
  </si>
  <si>
    <t>LineFeat8</t>
  </si>
  <si>
    <t>11.1-7</t>
  </si>
  <si>
    <t>CartesianRepFeat2 of LineFeat5</t>
  </si>
  <si>
    <t>11.1-8</t>
  </si>
  <si>
    <t>CartesianRepFeat2 of LineFeat6</t>
  </si>
  <si>
    <t>11.1-9</t>
  </si>
  <si>
    <t>CartesianRepFeat2 of LineFeat7</t>
  </si>
  <si>
    <t>11.1-10</t>
  </si>
  <si>
    <t>CartesianRepFeat2 of LineFeat8</t>
  </si>
  <si>
    <t>11.2-7</t>
  </si>
  <si>
    <t>11.2-8</t>
  </si>
  <si>
    <t>11.2-9</t>
  </si>
  <si>
    <t>11.2-10</t>
  </si>
  <si>
    <t>11.3-7</t>
  </si>
  <si>
    <t>11.3-8</t>
  </si>
  <si>
    <t>11.3-9</t>
  </si>
  <si>
    <t>11.3-10</t>
  </si>
  <si>
    <t>11.4-7</t>
  </si>
  <si>
    <t>11.4-8</t>
  </si>
  <si>
    <t>11.4-9</t>
  </si>
  <si>
    <t>11.4-10</t>
  </si>
  <si>
    <t>11.5-7</t>
  </si>
  <si>
    <t>11.5-8</t>
  </si>
  <si>
    <t>11.5-9</t>
  </si>
  <si>
    <t>11.5-10</t>
  </si>
  <si>
    <t>12</t>
  </si>
  <si>
    <t>RetractionFeat2</t>
  </si>
  <si>
    <t>13.1-1</t>
  </si>
  <si>
    <t>CartesianRepFeat3 of LineFeat1</t>
  </si>
  <si>
    <t>13.1-2</t>
  </si>
  <si>
    <t>CartesianRepFeat3 of LineFeat2</t>
  </si>
  <si>
    <t>13.1-3</t>
  </si>
  <si>
    <t>CartesianRepFeat3 of LineFeat3</t>
  </si>
  <si>
    <t>13.1-4</t>
  </si>
  <si>
    <t>CartesianRepFeat3 of LineFeat4</t>
  </si>
  <si>
    <t>13.1-5.1-1</t>
  </si>
  <si>
    <t>CartesianRepFeat3 of CartesianRepFeat1 of LineFeat1</t>
  </si>
  <si>
    <t>13.1-5.1-2</t>
  </si>
  <si>
    <t>CartesianRepFeat3 of CartesianRepFeat1 of LineFeat2</t>
  </si>
  <si>
    <t>13.1-5.1-3</t>
  </si>
  <si>
    <t>CartesianRepFeat3 of CartesianRepFeat1 of LineFeat3</t>
  </si>
  <si>
    <t>13.1-5.1-4</t>
  </si>
  <si>
    <t>CartesianRepFeat3 of CartesianRepFeat1 of LineFeat4</t>
  </si>
  <si>
    <t>13.1-5.2-1</t>
  </si>
  <si>
    <t>13.1-5.2-2</t>
  </si>
  <si>
    <t>13.1-5.2-3</t>
  </si>
  <si>
    <t>13.1-5.2-4</t>
  </si>
  <si>
    <t>13.1-5.3-1</t>
  </si>
  <si>
    <t>13.1-5.3-2</t>
  </si>
  <si>
    <t>13.1-5.3-3</t>
  </si>
  <si>
    <t>13.1-5.3-4</t>
  </si>
  <si>
    <t>13.1-5.4-1</t>
  </si>
  <si>
    <t>13.1-5.4-2</t>
  </si>
  <si>
    <t>13.1-5.4-3</t>
  </si>
  <si>
    <t>13.1-5.4-4</t>
  </si>
  <si>
    <t>13.1-5.5-1</t>
  </si>
  <si>
    <t>13.1-5.5-2</t>
  </si>
  <si>
    <t>13.1-5.5-3</t>
  </si>
  <si>
    <t>13.1-5.5-4</t>
  </si>
  <si>
    <t>13.1-6</t>
  </si>
  <si>
    <t>CartesianRepFeat3 of RetractionFeat1</t>
  </si>
  <si>
    <t>G0 F48000 Z3.25</t>
  </si>
  <si>
    <t>13.1-7</t>
  </si>
  <si>
    <t>CartesianRepFeat3 of LineFeat5</t>
  </si>
  <si>
    <t>13.1-8</t>
  </si>
  <si>
    <t>CartesianRepFeat3 of LineFeat6</t>
  </si>
  <si>
    <t>13.1-9</t>
  </si>
  <si>
    <t>CartesianRepFeat3 of LineFeat7</t>
  </si>
  <si>
    <t>13.1-10</t>
  </si>
  <si>
    <t>CartesianRepFeat3 of LineFeat8</t>
  </si>
  <si>
    <t>13.1-11.1-7</t>
  </si>
  <si>
    <t>CartesianRepFeat3 of CartesianRepFeat2 of LineFeat5</t>
  </si>
  <si>
    <t>13.1-11.1-8</t>
  </si>
  <si>
    <t>CartesianRepFeat3 of CartesianRepFeat2 of LineFeat6</t>
  </si>
  <si>
    <t>13.1-11.1-9</t>
  </si>
  <si>
    <t>CartesianRepFeat3 of CartesianRepFeat2 of LineFeat7</t>
  </si>
  <si>
    <t>13.1-11.1-10</t>
  </si>
  <si>
    <t>CartesianRepFeat3 of CartesianRepFeat2 of LineFeat8</t>
  </si>
  <si>
    <t>13.1-11.2-7</t>
  </si>
  <si>
    <t>13.1-11.2-8</t>
  </si>
  <si>
    <t>13.1-11.2-9</t>
  </si>
  <si>
    <t>13.1-11.2-10</t>
  </si>
  <si>
    <t>13.1-11.3-7</t>
  </si>
  <si>
    <t>13.1-11.3-8</t>
  </si>
  <si>
    <t>13.1-11.3-9</t>
  </si>
  <si>
    <t>13.1-11.3-10</t>
  </si>
  <si>
    <t>13.1-11.4-7</t>
  </si>
  <si>
    <t>13.1-11.4-8</t>
  </si>
  <si>
    <t>13.1-11.4-9</t>
  </si>
  <si>
    <t>13.1-11.4-10</t>
  </si>
  <si>
    <t>13.1-11.5-7</t>
  </si>
  <si>
    <t>13.1-11.5-8</t>
  </si>
  <si>
    <t>13.1-11.5-9</t>
  </si>
  <si>
    <t>13.1-11.5-10</t>
  </si>
  <si>
    <t>13.1-12</t>
  </si>
  <si>
    <t>CartesianRepFeat3 of RetractionFeat2</t>
  </si>
  <si>
    <t>13.2-1</t>
  </si>
  <si>
    <t>13.2-2</t>
  </si>
  <si>
    <t>13.2-3</t>
  </si>
  <si>
    <t>13.2-4</t>
  </si>
  <si>
    <t>13.2-5.1-1</t>
  </si>
  <si>
    <t>13.2-5.1-2</t>
  </si>
  <si>
    <t>13.2-5.1-3</t>
  </si>
  <si>
    <t>13.2-5.1-4</t>
  </si>
  <si>
    <t>13.2-5.2-1</t>
  </si>
  <si>
    <t>13.2-5.2-2</t>
  </si>
  <si>
    <t>13.2-5.2-3</t>
  </si>
  <si>
    <t>13.2-5.2-4</t>
  </si>
  <si>
    <t>13.2-5.3-1</t>
  </si>
  <si>
    <t>13.2-5.3-2</t>
  </si>
  <si>
    <t>13.2-5.3-3</t>
  </si>
  <si>
    <t>13.2-5.3-4</t>
  </si>
  <si>
    <t>13.2-5.4-1</t>
  </si>
  <si>
    <t>13.2-5.4-2</t>
  </si>
  <si>
    <t>13.2-5.4-3</t>
  </si>
  <si>
    <t>13.2-5.4-4</t>
  </si>
  <si>
    <t>13.2-5.5-1</t>
  </si>
  <si>
    <t>13.2-5.5-2</t>
  </si>
  <si>
    <t>13.2-5.5-3</t>
  </si>
  <si>
    <t>13.2-5.5-4</t>
  </si>
  <si>
    <t>13.2-6</t>
  </si>
  <si>
    <t>G0 F48000 Z5.05</t>
  </si>
  <si>
    <t>13.2-7</t>
  </si>
  <si>
    <t>13.2-8</t>
  </si>
  <si>
    <t>13.2-9</t>
  </si>
  <si>
    <t>13.2-10</t>
  </si>
  <si>
    <t>13.2-11.1-7</t>
  </si>
  <si>
    <t>13.2-11.1-8</t>
  </si>
  <si>
    <t>13.2-11.1-9</t>
  </si>
  <si>
    <t>13.2-11.1-10</t>
  </si>
  <si>
    <t>13.2-11.2-7</t>
  </si>
  <si>
    <t>13.2-11.2-8</t>
  </si>
  <si>
    <t>13.2-11.2-9</t>
  </si>
  <si>
    <t>13.2-11.2-10</t>
  </si>
  <si>
    <t>13.2-11.3-7</t>
  </si>
  <si>
    <t>13.2-11.3-8</t>
  </si>
  <si>
    <t>13.2-11.3-9</t>
  </si>
  <si>
    <t>13.2-11.3-10</t>
  </si>
  <si>
    <t>13.2-11.4-7</t>
  </si>
  <si>
    <t>13.2-11.4-8</t>
  </si>
  <si>
    <t>13.2-11.4-9</t>
  </si>
  <si>
    <t>13.2-11.4-10</t>
  </si>
  <si>
    <t>13.2-11.5-7</t>
  </si>
  <si>
    <t>13.2-11.5-8</t>
  </si>
  <si>
    <t>13.2-11.5-9</t>
  </si>
  <si>
    <t>13.2-11.5-10</t>
  </si>
  <si>
    <t>13.2-12</t>
  </si>
  <si>
    <t>13.3-1</t>
  </si>
  <si>
    <t>13.3-2</t>
  </si>
  <si>
    <t>13.3-3</t>
  </si>
  <si>
    <t>13.3-4</t>
  </si>
  <si>
    <t>13.3-5.1-1</t>
  </si>
  <si>
    <t>13.3-5.1-2</t>
  </si>
  <si>
    <t>13.3-5.1-3</t>
  </si>
  <si>
    <t>13.3-5.1-4</t>
  </si>
  <si>
    <t>13.3-5.2-1</t>
  </si>
  <si>
    <t>13.3-5.2-2</t>
  </si>
  <si>
    <t>13.3-5.2-3</t>
  </si>
  <si>
    <t>13.3-5.2-4</t>
  </si>
  <si>
    <t>13.3-5.3-1</t>
  </si>
  <si>
    <t>13.3-5.3-2</t>
  </si>
  <si>
    <t>13.3-5.3-3</t>
  </si>
  <si>
    <t>13.3-5.3-4</t>
  </si>
  <si>
    <t>13.3-5.4-1</t>
  </si>
  <si>
    <t>13.3-5.4-2</t>
  </si>
  <si>
    <t>13.3-5.4-3</t>
  </si>
  <si>
    <t>13.3-5.4-4</t>
  </si>
  <si>
    <t>13.3-5.5-1</t>
  </si>
  <si>
    <t>13.3-5.5-2</t>
  </si>
  <si>
    <t>13.3-5.5-3</t>
  </si>
  <si>
    <t>13.3-5.5-4</t>
  </si>
  <si>
    <t>13.3-6</t>
  </si>
  <si>
    <t>G0 F48000 Z6.85</t>
  </si>
  <si>
    <t>13.3-7</t>
  </si>
  <si>
    <t>13.3-8</t>
  </si>
  <si>
    <t>13.3-9</t>
  </si>
  <si>
    <t>13.3-10</t>
  </si>
  <si>
    <t>13.3-11.1-7</t>
  </si>
  <si>
    <t>13.3-11.1-8</t>
  </si>
  <si>
    <t>13.3-11.1-9</t>
  </si>
  <si>
    <t>13.3-11.1-10</t>
  </si>
  <si>
    <t>13.3-11.2-7</t>
  </si>
  <si>
    <t>13.3-11.2-8</t>
  </si>
  <si>
    <t>13.3-11.2-9</t>
  </si>
  <si>
    <t>13.3-11.2-10</t>
  </si>
  <si>
    <t>13.3-11.3-7</t>
  </si>
  <si>
    <t>13.3-11.3-8</t>
  </si>
  <si>
    <t>13.3-11.3-9</t>
  </si>
  <si>
    <t>13.3-11.3-10</t>
  </si>
  <si>
    <t>13.3-11.4-7</t>
  </si>
  <si>
    <t>13.3-11.4-8</t>
  </si>
  <si>
    <t>13.3-11.4-9</t>
  </si>
  <si>
    <t>13.3-11.4-10</t>
  </si>
  <si>
    <t>13.3-11.5-7</t>
  </si>
  <si>
    <t>13.3-11.5-8</t>
  </si>
  <si>
    <t>13.3-11.5-9</t>
  </si>
  <si>
    <t>13.3-11.5-10</t>
  </si>
  <si>
    <t>13.3-12</t>
  </si>
  <si>
    <t>13.4-1</t>
  </si>
  <si>
    <t>13.4-2</t>
  </si>
  <si>
    <t>13.4-3</t>
  </si>
  <si>
    <t>13.4-4</t>
  </si>
  <si>
    <t>13.4-5.1-1</t>
  </si>
  <si>
    <t>13.4-5.1-2</t>
  </si>
  <si>
    <t>13.4-5.1-3</t>
  </si>
  <si>
    <t>13.4-5.1-4</t>
  </si>
  <si>
    <t>13.4-5.2-1</t>
  </si>
  <si>
    <t>13.4-5.2-2</t>
  </si>
  <si>
    <t>13.4-5.2-3</t>
  </si>
  <si>
    <t>13.4-5.2-4</t>
  </si>
  <si>
    <t>13.4-5.3-1</t>
  </si>
  <si>
    <t>13.4-5.3-2</t>
  </si>
  <si>
    <t>13.4-5.3-3</t>
  </si>
  <si>
    <t>13.4-5.3-4</t>
  </si>
  <si>
    <t>13.4-5.4-1</t>
  </si>
  <si>
    <t>13.4-5.4-2</t>
  </si>
  <si>
    <t>13.4-5.4-3</t>
  </si>
  <si>
    <t>13.4-5.4-4</t>
  </si>
  <si>
    <t>13.4-5.5-1</t>
  </si>
  <si>
    <t>13.4-5.5-2</t>
  </si>
  <si>
    <t>13.4-5.5-3</t>
  </si>
  <si>
    <t>13.4-5.5-4</t>
  </si>
  <si>
    <t>13.4-6</t>
  </si>
  <si>
    <t>G0 F48000 Z8.65</t>
  </si>
  <si>
    <t>13.4-7</t>
  </si>
  <si>
    <t>13.4-8</t>
  </si>
  <si>
    <t>13.4-9</t>
  </si>
  <si>
    <t>13.4-10</t>
  </si>
  <si>
    <t>13.4-11.1-7</t>
  </si>
  <si>
    <t>13.4-11.1-8</t>
  </si>
  <si>
    <t>13.4-11.1-9</t>
  </si>
  <si>
    <t>13.4-11.1-10</t>
  </si>
  <si>
    <t>13.4-11.2-7</t>
  </si>
  <si>
    <t>13.4-11.2-8</t>
  </si>
  <si>
    <t>13.4-11.2-9</t>
  </si>
  <si>
    <t>13.4-11.2-10</t>
  </si>
  <si>
    <t>13.4-11.3-7</t>
  </si>
  <si>
    <t>13.4-11.3-8</t>
  </si>
  <si>
    <t>13.4-11.3-9</t>
  </si>
  <si>
    <t>13.4-11.3-10</t>
  </si>
  <si>
    <t>13.4-11.4-7</t>
  </si>
  <si>
    <t>13.4-11.4-8</t>
  </si>
  <si>
    <t>13.4-11.4-9</t>
  </si>
  <si>
    <t>13.4-11.4-10</t>
  </si>
  <si>
    <t>13.4-11.5-7</t>
  </si>
  <si>
    <t>13.4-11.5-8</t>
  </si>
  <si>
    <t>13.4-11.5-9</t>
  </si>
  <si>
    <t>13.4-11.5-10</t>
  </si>
  <si>
    <t>13.4-12</t>
  </si>
  <si>
    <t>G0 F48000 Z2.35</t>
  </si>
  <si>
    <t>G0 F48000 Z4.15</t>
  </si>
  <si>
    <t>G0 F48000 Z5.95</t>
  </si>
  <si>
    <t>G0 F48000 Z7.75</t>
  </si>
  <si>
    <t>G1 Y126.35 E0.503118</t>
  </si>
  <si>
    <t>G1 Y125.0 E0.606166</t>
  </si>
  <si>
    <t>G1 Y126.35 E0.606166</t>
  </si>
  <si>
    <t>G0 F40800 X100.0 Y125.0 Z0.55</t>
  </si>
  <si>
    <t>G1 F1275 X225.0 E46.584977</t>
  </si>
  <si>
    <t>G1 X100.0 E46.584977</t>
  </si>
  <si>
    <t>G1 X225.0 E46.584977</t>
  </si>
  <si>
    <t>G1 X100.0 E56.126478</t>
  </si>
  <si>
    <t>G1 F1500 X225.0 E56.126478</t>
  </si>
  <si>
    <t>G1 X225.0 E56.126478</t>
  </si>
  <si>
    <t>ConcreteSpacing</t>
  </si>
  <si>
    <t>G1 Y131.7 E1.993837</t>
  </si>
  <si>
    <t>G1 Y138.4 E1.993837</t>
  </si>
  <si>
    <t>G1 Y139.75 E0.503118</t>
  </si>
  <si>
    <t>G1 Y145.1 E1.993837</t>
  </si>
  <si>
    <t>G1 Y146.45 E0.503118</t>
  </si>
  <si>
    <t>G1 Y151.8 E1.993837</t>
  </si>
  <si>
    <t>G1 Y153.15 E0.503118</t>
  </si>
  <si>
    <t>G1 Y158.5 E1.993837</t>
  </si>
  <si>
    <t>G1 Y159.85 E0.503118</t>
  </si>
  <si>
    <t>G1 Y165.2 E1.993837</t>
  </si>
  <si>
    <t>G1 Y158.5 E0.606166</t>
  </si>
  <si>
    <t>G1 Y151.8 E0.606166</t>
  </si>
  <si>
    <t>G1 Y145.1 E0.606166</t>
  </si>
  <si>
    <t>G1 Y138.4 E0.606166</t>
  </si>
  <si>
    <t>G1 Y131.7 E2.402213</t>
  </si>
  <si>
    <t>G1 Y138.4 E2.402213</t>
  </si>
  <si>
    <t>G1 Y139.75 E0.606166</t>
  </si>
  <si>
    <t>G1 Y145.1 E2.402213</t>
  </si>
  <si>
    <t>G1 Y146.45 E0.606166</t>
  </si>
  <si>
    <t>G1 Y151.8 E2.402213</t>
  </si>
  <si>
    <t>G1 Y153.15 E0.606166</t>
  </si>
  <si>
    <t>G1 Y158.5 E2.402213</t>
  </si>
  <si>
    <t>G1 Y159.85 E0.606166</t>
  </si>
  <si>
    <t>G1 Y165.2 E2.402213</t>
  </si>
  <si>
    <t>M140 S60</t>
  </si>
  <si>
    <t>M190 S60</t>
  </si>
  <si>
    <t>G1 Y153.15 E2.402213</t>
  </si>
  <si>
    <t>G1 Y146.45 E2.402213</t>
  </si>
  <si>
    <t>G1 Y139.75 E2.402213</t>
  </si>
  <si>
    <t>G1 Y133.05 E2.402213</t>
  </si>
  <si>
    <t>G1 Y126.35 E2.402213</t>
  </si>
  <si>
    <t>;M0</t>
  </si>
  <si>
    <t>G1 F1500 Y159.85 E2.402213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</si>
</sst>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23" activePane="bottomLeft" state="frozen"/>
      <selection activeCell="G268" sqref="G268"/>
      <selection pane="bottomLeft" activeCell="B8" sqref="B8:O20"/>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686</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100</v>
      </c>
      <c r="E8" s="2">
        <f>StartY</f>
        <v>125</v>
      </c>
      <c r="F8" s="2">
        <v>0</v>
      </c>
      <c r="G8" s="2" t="str" cm="1">
        <f t="array" ref="G8">CONCATENATE("R", Length)</f>
        <v>R125</v>
      </c>
      <c r="H8" s="2" t="s">
        <v>100</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R-125</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 + ConcreteSpacing*2)</f>
        <v>R5.35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2*ConcreteSpacing+2*ExtrusionSpacing</f>
        <v>6.7</v>
      </c>
      <c r="F12" s="2">
        <v>0</v>
      </c>
      <c r="G12" s="2">
        <f>FLOOR(Width/(2*ExtrusionSpacing+2*ConcreteSpacing), 1)</f>
        <v>5</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39</v>
      </c>
      <c r="C13" s="2">
        <v>1.25</v>
      </c>
      <c r="D13" s="2">
        <v>2100</v>
      </c>
      <c r="E13" s="2">
        <f>LayerHeight</f>
        <v>0.9</v>
      </c>
      <c r="F13" s="2">
        <v>10000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1</v>
      </c>
      <c r="C14" s="2" t="s">
        <v>18</v>
      </c>
      <c r="D14" s="2" t="s">
        <v>100</v>
      </c>
      <c r="E14" s="2" t="s">
        <v>100</v>
      </c>
      <c r="F14" s="2" t="s">
        <v>100</v>
      </c>
      <c r="G14" s="2" t="s">
        <v>100</v>
      </c>
      <c r="H14" s="2" t="str">
        <f>CONCATENATE("R-", ExtrusionSpacing + ConcreteSpacing*2)</f>
        <v>R-5.35</v>
      </c>
      <c r="I14" s="2" t="s">
        <v>100</v>
      </c>
      <c r="J14" s="2" t="s">
        <v>19</v>
      </c>
      <c r="K14" s="2">
        <v>1.2</v>
      </c>
      <c r="L14" s="2">
        <v>0.9</v>
      </c>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1</v>
      </c>
      <c r="C15" s="2" t="s">
        <v>18</v>
      </c>
      <c r="D15" s="2" t="s">
        <v>100</v>
      </c>
      <c r="E15" s="2" t="s">
        <v>100</v>
      </c>
      <c r="F15" s="143" t="s">
        <v>100</v>
      </c>
      <c r="G15" s="2" t="str">
        <f>CONCATENATE("R", Length)</f>
        <v>R125</v>
      </c>
      <c r="H15" s="2" t="s">
        <v>100</v>
      </c>
      <c r="I15" s="2" t="s">
        <v>100</v>
      </c>
      <c r="J15" s="2" t="s">
        <v>19</v>
      </c>
      <c r="K15" s="2">
        <v>1.2</v>
      </c>
      <c r="L15" s="2">
        <v>0.9</v>
      </c>
      <c r="M15" s="2"/>
      <c r="N15" s="2"/>
      <c r="O15" s="2"/>
      <c r="P15" s="2"/>
      <c r="Q15" s="2"/>
      <c r="R15"/>
      <c r="S15" s="5" t="s">
        <v>338</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1</v>
      </c>
      <c r="C16" s="2" t="s">
        <v>18</v>
      </c>
      <c r="D16" s="2" t="s">
        <v>100</v>
      </c>
      <c r="E16" s="2" t="s">
        <v>100</v>
      </c>
      <c r="F16" s="2" t="s">
        <v>100</v>
      </c>
      <c r="G16" s="2" t="s">
        <v>100</v>
      </c>
      <c r="H16" s="2" t="str">
        <f>CONCATENATE("R-", ExtrusionSpacing)</f>
        <v>R-1.35</v>
      </c>
      <c r="I16" s="2" t="s">
        <v>100</v>
      </c>
      <c r="J16" s="2" t="s">
        <v>19</v>
      </c>
      <c r="K16" s="2">
        <f>ExtrusionWidth</f>
        <v>1.2</v>
      </c>
      <c r="L16" s="2">
        <f>ExtrusionHeight</f>
        <v>0.9</v>
      </c>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100</v>
      </c>
      <c r="E17" s="2" t="s">
        <v>100</v>
      </c>
      <c r="F17" s="2" t="s">
        <v>100</v>
      </c>
      <c r="G17" s="2" t="str">
        <f>CONCATENATE("R-", Length)</f>
        <v>R-125</v>
      </c>
      <c r="H17" s="2" t="s">
        <v>100</v>
      </c>
      <c r="I17" s="2" t="s">
        <v>100</v>
      </c>
      <c r="J17" s="2" t="s">
        <v>19</v>
      </c>
      <c r="K17" s="2">
        <f>ExtrusionWidth</f>
        <v>1.2</v>
      </c>
      <c r="L17" s="2">
        <f>ExtrusionHeight</f>
        <v>0.9</v>
      </c>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2" t="s">
        <v>55</v>
      </c>
      <c r="C18" s="98" t="s">
        <v>733</v>
      </c>
      <c r="D18" s="2">
        <v>0</v>
      </c>
      <c r="E18" s="2">
        <f>-(2*ConcreteSpacing+2*ExtrusionSpacing)</f>
        <v>-6.7</v>
      </c>
      <c r="F18" s="2">
        <v>0</v>
      </c>
      <c r="G18" s="2">
        <f>FLOOR(Width/(2*ExtrusionSpacing+2*ConcreteSpacing), 1)</f>
        <v>5</v>
      </c>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39</v>
      </c>
      <c r="C19" s="2">
        <v>1.25</v>
      </c>
      <c r="D19" s="2">
        <v>2100</v>
      </c>
      <c r="E19" s="2">
        <f>LayerHeight</f>
        <v>0.9</v>
      </c>
      <c r="F19" s="2">
        <v>10000</v>
      </c>
      <c r="G19" s="2"/>
      <c r="H19" s="2"/>
      <c r="I19" s="2"/>
      <c r="J19" s="2"/>
      <c r="K19" s="2"/>
      <c r="L19" s="2"/>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55</v>
      </c>
      <c r="C20" s="98" t="s">
        <v>734</v>
      </c>
      <c r="D20" s="2">
        <v>0</v>
      </c>
      <c r="E20" s="2">
        <v>0</v>
      </c>
      <c r="F20" s="2">
        <f>LayerHeight*2</f>
        <v>1.8</v>
      </c>
      <c r="G20" s="2">
        <f>FLOOR(Height/(2*LayerHeight),1)-1</f>
        <v>4</v>
      </c>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98"/>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666</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1006</v>
      </c>
      <c r="T38" s="75">
        <v>2</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688</v>
      </c>
      <c r="T39" s="75">
        <v>1.2</v>
      </c>
      <c r="U39" s="92" t="s">
        <v>109</v>
      </c>
    </row>
    <row r="40" spans="1:40" x14ac:dyDescent="0.25">
      <c r="A40" s="2">
        <v>33</v>
      </c>
      <c r="B40" s="2"/>
      <c r="C40" s="98"/>
      <c r="D40" s="2"/>
      <c r="E40" s="2"/>
      <c r="F40" s="2"/>
      <c r="G40" s="2"/>
      <c r="H40" s="2"/>
      <c r="I40" s="2"/>
      <c r="J40" s="2"/>
      <c r="K40" s="2"/>
      <c r="L40" s="2"/>
      <c r="M40" s="2"/>
      <c r="N40" s="2"/>
      <c r="O40" s="2"/>
      <c r="P40" s="2"/>
      <c r="Q40" s="2"/>
      <c r="S40" s="75" t="s">
        <v>689</v>
      </c>
      <c r="T40" s="75">
        <v>0.9</v>
      </c>
      <c r="U40" s="92" t="s">
        <v>109</v>
      </c>
    </row>
    <row r="41" spans="1:40" x14ac:dyDescent="0.25">
      <c r="A41" s="2">
        <v>34</v>
      </c>
      <c r="B41" s="143"/>
      <c r="C41" s="2"/>
      <c r="D41" s="2"/>
      <c r="E41" s="2"/>
      <c r="F41" s="2"/>
      <c r="G41" s="2"/>
      <c r="H41" s="2"/>
      <c r="I41" s="2"/>
      <c r="J41" s="2"/>
      <c r="K41" s="2"/>
      <c r="L41" s="2"/>
      <c r="M41" s="2"/>
      <c r="N41" s="2"/>
      <c r="O41" s="2"/>
      <c r="P41" s="2"/>
      <c r="Q41" s="2"/>
      <c r="S41" s="75" t="s">
        <v>643</v>
      </c>
      <c r="T41" s="75" t="s">
        <v>467</v>
      </c>
      <c r="U41" s="92" t="s">
        <v>109</v>
      </c>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698</v>
      </c>
      <c r="T43" s="75">
        <v>125</v>
      </c>
      <c r="U43" s="92" t="s">
        <v>109</v>
      </c>
    </row>
    <row r="44" spans="1:40" x14ac:dyDescent="0.25">
      <c r="A44" s="2">
        <v>37</v>
      </c>
      <c r="B44" s="143"/>
      <c r="C44" s="2"/>
      <c r="D44" s="2"/>
      <c r="E44" s="2"/>
      <c r="F44" s="2"/>
      <c r="G44" s="2"/>
      <c r="H44" s="2"/>
      <c r="I44" s="2"/>
      <c r="J44" s="2"/>
      <c r="K44" s="2"/>
      <c r="L44" s="2"/>
      <c r="M44" s="2"/>
      <c r="N44" s="2"/>
      <c r="O44" s="2"/>
      <c r="P44" s="2"/>
      <c r="Q44" s="2"/>
      <c r="S44" s="75" t="s">
        <v>179</v>
      </c>
      <c r="T44" s="75">
        <v>40</v>
      </c>
      <c r="U44" s="92" t="s">
        <v>109</v>
      </c>
    </row>
    <row r="45" spans="1:40" x14ac:dyDescent="0.25">
      <c r="A45" s="2">
        <v>38</v>
      </c>
      <c r="B45" s="143"/>
      <c r="C45" s="2"/>
      <c r="D45" s="2"/>
      <c r="E45" s="2"/>
      <c r="F45" s="2"/>
      <c r="G45" s="2"/>
      <c r="H45" s="2"/>
      <c r="I45" s="2"/>
      <c r="J45" s="2"/>
      <c r="K45" s="2"/>
      <c r="L45" s="2"/>
      <c r="M45" s="2"/>
      <c r="N45" s="2"/>
      <c r="O45" s="2"/>
      <c r="P45" s="2"/>
      <c r="Q45" s="2"/>
      <c r="S45" s="75" t="s">
        <v>180</v>
      </c>
      <c r="T45" s="75">
        <v>10</v>
      </c>
      <c r="U45" s="92" t="s">
        <v>109</v>
      </c>
    </row>
    <row r="46" spans="1:40" x14ac:dyDescent="0.25">
      <c r="A46" s="2">
        <v>39</v>
      </c>
      <c r="B46" s="143"/>
      <c r="C46" s="2"/>
      <c r="D46" s="2"/>
      <c r="E46" s="2"/>
      <c r="F46" s="2"/>
      <c r="G46" s="2"/>
      <c r="H46" s="2"/>
      <c r="I46" s="2"/>
      <c r="J46" s="2"/>
      <c r="K46" s="2"/>
      <c r="L46" s="2"/>
      <c r="M46" s="2"/>
      <c r="N46" s="2"/>
      <c r="O46" s="2"/>
      <c r="P46" s="2"/>
      <c r="Q46" s="2"/>
      <c r="S46" s="75" t="s">
        <v>271</v>
      </c>
      <c r="T46" s="75">
        <v>100</v>
      </c>
      <c r="U46" s="92" t="s">
        <v>109</v>
      </c>
    </row>
    <row r="47" spans="1:40" x14ac:dyDescent="0.25">
      <c r="A47" s="2">
        <v>40</v>
      </c>
      <c r="B47" s="143"/>
      <c r="C47" s="2"/>
      <c r="D47" s="2"/>
      <c r="E47" s="2"/>
      <c r="F47" s="2"/>
      <c r="G47" s="2"/>
      <c r="H47" s="2"/>
      <c r="I47" s="2"/>
      <c r="J47" s="2"/>
      <c r="K47" s="2"/>
      <c r="L47" s="2"/>
      <c r="M47" s="2"/>
      <c r="N47" s="2"/>
      <c r="O47" s="2"/>
      <c r="P47" s="2"/>
      <c r="Q47" s="2"/>
      <c r="S47" s="75" t="s">
        <v>272</v>
      </c>
      <c r="T47" s="75">
        <v>125</v>
      </c>
      <c r="U4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699</v>
      </c>
      <c r="C37" s="58" t="s">
        <v>128</v>
      </c>
      <c r="D37" s="2" t="s">
        <v>617</v>
      </c>
      <c r="U37" s="89"/>
      <c r="AO37" t="s">
        <v>130</v>
      </c>
      <c r="AP37" t="s">
        <v>700</v>
      </c>
      <c r="AQ37" t="s">
        <v>129</v>
      </c>
      <c r="AR37" t="s">
        <v>699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681</v>
      </c>
      <c r="C40" s="2" t="s">
        <v>203</v>
      </c>
      <c r="D40" s="2">
        <v>0</v>
      </c>
      <c r="E40" s="2"/>
      <c r="F40" s="2"/>
      <c r="G40" s="2"/>
      <c r="H40" s="2"/>
      <c r="I40" s="2"/>
      <c r="J40" s="2"/>
      <c r="K40" s="2"/>
      <c r="L40" s="2"/>
      <c r="M40" s="2"/>
      <c r="N40" s="2"/>
      <c r="O40" s="2"/>
      <c r="P40" s="2"/>
      <c r="Q40" s="2" t="s">
        <v>665</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100</v>
      </c>
      <c r="E42" s="2">
        <f>StartY</f>
        <v>125</v>
      </c>
      <c r="F42" s="2">
        <v>0</v>
      </c>
      <c r="G42" s="2" t="e">
        <f>CONCATENATE("R", 3*ExtrusionSpacing_L1)</f>
        <v>#NAME?</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R125</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R-125</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683</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691</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R-125</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R125</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682</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R-125</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R125</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690</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691</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100</v>
      </c>
      <c r="E67" s="2">
        <f>StartY</f>
        <v>125</v>
      </c>
      <c r="F67" s="2">
        <f>LayerHeight</f>
        <v>0.9</v>
      </c>
      <c r="G67" s="2" t="e">
        <f>CONCATENATE("R", 3*ExtrusionSpacing_L1)</f>
        <v>#NAME?</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R125</v>
      </c>
      <c r="I68" s="2" t="s">
        <v>100</v>
      </c>
      <c r="J68" s="2" t="s">
        <v>19</v>
      </c>
      <c r="K68" s="2">
        <f>ExtrusionWidth</f>
        <v>1.2</v>
      </c>
      <c r="L68" s="2">
        <f>ExtrusionHeight</f>
        <v>0.9</v>
      </c>
      <c r="M68" s="2"/>
      <c r="N68" s="2"/>
      <c r="O68" s="2"/>
      <c r="P68" s="2"/>
      <c r="Q68" s="2"/>
      <c r="R68" s="29"/>
      <c r="S68" s="75" t="s">
        <v>667</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f>ExtrusionWidth</f>
        <v>1.2</v>
      </c>
      <c r="L69" s="2">
        <f>ExtrusionHeight</f>
        <v>0.9</v>
      </c>
      <c r="M69" s="2"/>
      <c r="N69" s="2"/>
      <c r="O69" s="2"/>
      <c r="P69" s="2"/>
      <c r="Q69" s="2"/>
      <c r="R69" s="29"/>
      <c r="S69" s="75" t="s">
        <v>666</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R-125</v>
      </c>
      <c r="I70" s="2" t="s">
        <v>100</v>
      </c>
      <c r="J70" s="2" t="s">
        <v>19</v>
      </c>
      <c r="K70" s="2">
        <f>ExtrusionWidth</f>
        <v>1.2</v>
      </c>
      <c r="L70" s="2">
        <f>ExtrusionHeight</f>
        <v>0.9</v>
      </c>
      <c r="M70" s="2"/>
      <c r="N70" s="2"/>
      <c r="O70" s="2"/>
      <c r="P70" s="2"/>
      <c r="Q70" s="2"/>
      <c r="S70" s="75" t="s">
        <v>688</v>
      </c>
      <c r="T70" s="75">
        <v>1.2</v>
      </c>
      <c r="U70" s="92" t="s">
        <v>109</v>
      </c>
    </row>
    <row r="71" spans="1:46" x14ac:dyDescent="0.25">
      <c r="A71" s="2">
        <v>33</v>
      </c>
      <c r="B71" s="2" t="s">
        <v>55</v>
      </c>
      <c r="C71" s="98" t="s">
        <v>694</v>
      </c>
      <c r="D71" s="2" t="e">
        <f>4*ExtrusionSpacing_L1</f>
        <v>#NAME?</v>
      </c>
      <c r="E71" s="2">
        <v>0</v>
      </c>
      <c r="F71" s="2">
        <v>0</v>
      </c>
      <c r="G71" s="2">
        <v>20</v>
      </c>
      <c r="H71" s="2"/>
      <c r="I71" s="2"/>
      <c r="J71" s="2"/>
      <c r="K71" s="2"/>
      <c r="L71" s="2"/>
      <c r="M71" s="2"/>
      <c r="N71" s="2"/>
      <c r="O71" s="2"/>
      <c r="P71" s="2"/>
      <c r="Q71" s="2"/>
      <c r="S71" s="75" t="s">
        <v>689</v>
      </c>
      <c r="T71" s="75">
        <v>0.9</v>
      </c>
      <c r="U71" s="92" t="s">
        <v>109</v>
      </c>
      <c r="AO71" t="s">
        <v>130</v>
      </c>
      <c r="AP71" t="s">
        <v>685</v>
      </c>
      <c r="AQ71" t="s">
        <v>129</v>
      </c>
      <c r="AR71" t="s">
        <v>684</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643</v>
      </c>
      <c r="T72" s="75" t="s">
        <v>467</v>
      </c>
      <c r="U72" s="92" t="s">
        <v>109</v>
      </c>
    </row>
    <row r="73" spans="1:46" x14ac:dyDescent="0.25">
      <c r="A73" s="2">
        <v>35</v>
      </c>
      <c r="B73" s="143" t="s">
        <v>55</v>
      </c>
      <c r="C73" s="2" t="s">
        <v>695</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698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701</v>
      </c>
      <c r="C80" s="58" t="s">
        <v>128</v>
      </c>
      <c r="D80" s="2" t="s">
        <v>617</v>
      </c>
      <c r="U80" s="89"/>
      <c r="AO80" t="s">
        <v>130</v>
      </c>
      <c r="AP80" t="s">
        <v>702</v>
      </c>
      <c r="AQ80" t="s">
        <v>129</v>
      </c>
      <c r="AR80" t="s">
        <v>701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681</v>
      </c>
      <c r="C83" s="2" t="s">
        <v>203</v>
      </c>
      <c r="D83" s="2">
        <v>0</v>
      </c>
      <c r="E83" s="2"/>
      <c r="F83" s="2"/>
      <c r="G83" s="2"/>
      <c r="H83" s="2"/>
      <c r="I83" s="2"/>
      <c r="J83" s="2"/>
      <c r="K83" s="2"/>
      <c r="L83" s="2"/>
      <c r="M83" s="2"/>
      <c r="N83" s="2"/>
      <c r="O83" s="2"/>
      <c r="P83" s="2"/>
      <c r="Q83" s="2" t="s">
        <v>665</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100</v>
      </c>
      <c r="E85" s="2">
        <f>StartY</f>
        <v>125</v>
      </c>
      <c r="F85" s="2">
        <v>0</v>
      </c>
      <c r="G85" s="2" t="e">
        <f>CONCATENATE("R", 3*ExtrusionSpacing_L1)</f>
        <v>#NAME?</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R125</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R-125</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683</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691</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R-125</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R125</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682</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100</v>
      </c>
      <c r="E101" s="2">
        <f>StartY</f>
        <v>125</v>
      </c>
      <c r="F101" s="2" t="s">
        <v>100</v>
      </c>
      <c r="G101" s="2" t="e">
        <f>CONCATENATE("R", 3*ExtrusionSpacing_L1)</f>
        <v>#NAME?</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R125</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R-125</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690</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691</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R-125</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f>ExtrusionWidth</f>
        <v>1.2</v>
      </c>
      <c r="L111" s="2">
        <f>ExtrusionHeight</f>
        <v>0.9</v>
      </c>
      <c r="M111" s="2"/>
      <c r="N111" s="2"/>
      <c r="O111" s="2"/>
      <c r="P111" s="2"/>
      <c r="Q111" s="2"/>
      <c r="R111" s="29"/>
      <c r="S111" s="75" t="s">
        <v>667</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R125</v>
      </c>
      <c r="I112" s="2" t="s">
        <v>100</v>
      </c>
      <c r="J112" s="2" t="s">
        <v>19</v>
      </c>
      <c r="K112" s="2">
        <f>ExtrusionWidth</f>
        <v>1.2</v>
      </c>
      <c r="L112" s="2">
        <f>ExtrusionHeight</f>
        <v>0.9</v>
      </c>
      <c r="M112" s="2"/>
      <c r="N112" s="2"/>
      <c r="O112" s="2"/>
      <c r="P112" s="2"/>
      <c r="Q112" s="2"/>
      <c r="R112" s="29"/>
      <c r="S112" s="75" t="s">
        <v>666</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f>ExtrusionWidth</f>
        <v>1.2</v>
      </c>
      <c r="L113" s="2">
        <f>ExtrusionHeight</f>
        <v>0.9</v>
      </c>
      <c r="M113" s="2"/>
      <c r="N113" s="2"/>
      <c r="O113" s="2"/>
      <c r="P113" s="2"/>
      <c r="Q113" s="2"/>
      <c r="S113" s="75" t="s">
        <v>688</v>
      </c>
      <c r="T113" s="75">
        <v>1.2</v>
      </c>
      <c r="U113" s="92" t="s">
        <v>109</v>
      </c>
    </row>
    <row r="114" spans="1:46" x14ac:dyDescent="0.25">
      <c r="A114" s="2">
        <v>33</v>
      </c>
      <c r="B114" s="2" t="s">
        <v>55</v>
      </c>
      <c r="C114" s="98" t="s">
        <v>694</v>
      </c>
      <c r="D114" s="2" t="e">
        <f>4*ExtrusionSpacing_L1</f>
        <v>#NAME?</v>
      </c>
      <c r="E114" s="2">
        <v>0</v>
      </c>
      <c r="F114" s="2">
        <v>0</v>
      </c>
      <c r="G114" s="2">
        <v>20</v>
      </c>
      <c r="H114" s="2"/>
      <c r="I114" s="2"/>
      <c r="J114" s="2"/>
      <c r="K114" s="2"/>
      <c r="L114" s="2"/>
      <c r="M114" s="2"/>
      <c r="N114" s="2"/>
      <c r="O114" s="2"/>
      <c r="P114" s="2"/>
      <c r="Q114" s="2"/>
      <c r="S114" s="75" t="s">
        <v>689</v>
      </c>
      <c r="T114" s="75">
        <v>0.9</v>
      </c>
      <c r="U114" s="92" t="s">
        <v>109</v>
      </c>
      <c r="AO114" t="s">
        <v>130</v>
      </c>
      <c r="AP114" t="s">
        <v>687</v>
      </c>
      <c r="AQ114" t="s">
        <v>129</v>
      </c>
      <c r="AR114" t="s">
        <v>686</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643</v>
      </c>
      <c r="T115" s="75" t="s">
        <v>467</v>
      </c>
      <c r="U115" s="92" t="s">
        <v>109</v>
      </c>
    </row>
    <row r="116" spans="1:46" x14ac:dyDescent="0.25">
      <c r="A116" s="2">
        <v>35</v>
      </c>
      <c r="B116" s="143" t="s">
        <v>55</v>
      </c>
      <c r="C116" s="2" t="s">
        <v>695</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698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_xlfn.SINGLE(Width)</f>
        <v>40</v>
      </c>
      <c r="L5" s="10">
        <f>_xlfn.SINGLE(Height)</f>
        <v>10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_xlfn.SINGLE(Width)</f>
        <v>40</v>
      </c>
      <c r="L6" s="12">
        <f>_xlfn.SINGLE(Height)</f>
        <v>10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100</v>
      </c>
      <c r="H164" s="8">
        <f>_xlfn.SINGLE(StartY)</f>
        <v>125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643</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643</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703</v>
      </c>
      <c r="C139" s="58" t="s">
        <v>128</v>
      </c>
      <c r="D139" s="2" t="s">
        <v>645</v>
      </c>
      <c r="G139" s="58" t="s">
        <v>129</v>
      </c>
      <c r="H139" s="2" t="s">
        <v>701</v>
      </c>
      <c r="I139" s="58" t="s">
        <v>128</v>
      </c>
      <c r="J139" s="2" t="s">
        <v>617</v>
      </c>
      <c r="U139" s="89"/>
      <c r="AO139" t="s">
        <v>130</v>
      </c>
      <c r="AP139" t="s">
        <v>704</v>
      </c>
      <c r="AQ139" t="s">
        <v>129</v>
      </c>
      <c r="AR139" t="s">
        <v>703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681</v>
      </c>
      <c r="C142" s="2" t="s">
        <v>203</v>
      </c>
      <c r="D142" s="2">
        <v>0</v>
      </c>
      <c r="E142" s="2"/>
      <c r="F142" s="2"/>
      <c r="G142" s="2"/>
      <c r="H142" s="2"/>
      <c r="I142" s="2"/>
      <c r="J142" s="2"/>
      <c r="K142" s="2"/>
      <c r="L142" s="2"/>
      <c r="M142" s="2"/>
      <c r="N142" s="2"/>
      <c r="O142" s="2"/>
      <c r="P142" s="2"/>
      <c r="Q142" s="2" t="s">
        <v>665</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100</v>
      </c>
      <c r="E144" s="2">
        <f>StartY</f>
        <v>125</v>
      </c>
      <c r="F144" s="2">
        <v>0</v>
      </c>
      <c r="G144" s="2" t="e">
        <f>CONCATENATE("R", 3*ExtrusionSpacing_L1)</f>
        <v>#NAME?</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R125</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R-125</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683</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691</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R-125</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R125</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682</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100</v>
      </c>
      <c r="E160" s="2">
        <f>StartY</f>
        <v>125</v>
      </c>
      <c r="F160" s="2" t="s">
        <v>100</v>
      </c>
      <c r="G160" s="2" t="e">
        <f>CONCATENATE("R", 3*ExtrusionSpacing_L1)</f>
        <v>#NAME?</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R125</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R-125</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690</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691</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R-125</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f>ExtrusionWidth</f>
        <v>1.2</v>
      </c>
      <c r="L170" s="2">
        <f>ExtrusionHeight</f>
        <v>0.9</v>
      </c>
      <c r="M170" s="2"/>
      <c r="N170" s="2"/>
      <c r="O170" s="2"/>
      <c r="P170" s="2"/>
      <c r="Q170" s="2"/>
      <c r="R170" s="29"/>
      <c r="S170" s="75" t="s">
        <v>667</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R125</v>
      </c>
      <c r="I171" s="2" t="s">
        <v>100</v>
      </c>
      <c r="J171" s="2" t="s">
        <v>19</v>
      </c>
      <c r="K171" s="2">
        <f>ExtrusionWidth</f>
        <v>1.2</v>
      </c>
      <c r="L171" s="2">
        <f>ExtrusionHeight</f>
        <v>0.9</v>
      </c>
      <c r="M171" s="2"/>
      <c r="N171" s="2"/>
      <c r="O171" s="2"/>
      <c r="P171" s="2"/>
      <c r="Q171" s="2"/>
      <c r="R171" s="29"/>
      <c r="S171" s="75" t="s">
        <v>666</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f>ExtrusionWidth</f>
        <v>1.2</v>
      </c>
      <c r="L172" s="2">
        <f>ExtrusionHeight</f>
        <v>0.9</v>
      </c>
      <c r="M172" s="2"/>
      <c r="N172" s="2"/>
      <c r="O172" s="2"/>
      <c r="P172" s="2"/>
      <c r="Q172" s="2"/>
      <c r="S172" s="75" t="s">
        <v>688</v>
      </c>
      <c r="T172" s="75">
        <v>1.2</v>
      </c>
      <c r="U172" s="92" t="s">
        <v>109</v>
      </c>
    </row>
    <row r="173" spans="1:40" x14ac:dyDescent="0.25">
      <c r="A173" s="2">
        <v>33</v>
      </c>
      <c r="B173" s="2" t="s">
        <v>55</v>
      </c>
      <c r="C173" s="98" t="s">
        <v>694</v>
      </c>
      <c r="D173" s="2" t="e">
        <f>4*ExtrusionSpacing_L1</f>
        <v>#NAME?</v>
      </c>
      <c r="E173" s="2">
        <v>0</v>
      </c>
      <c r="F173" s="2">
        <v>0</v>
      </c>
      <c r="G173" s="2">
        <v>20</v>
      </c>
      <c r="H173" s="2"/>
      <c r="I173" s="2"/>
      <c r="J173" s="2"/>
      <c r="K173" s="2"/>
      <c r="L173" s="2"/>
      <c r="M173" s="2"/>
      <c r="N173" s="2"/>
      <c r="O173" s="2"/>
      <c r="P173" s="2"/>
      <c r="Q173" s="2"/>
      <c r="S173" s="75" t="s">
        <v>689</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643</v>
      </c>
      <c r="T174" s="75" t="s">
        <v>467</v>
      </c>
      <c r="U174" s="92" t="s">
        <v>109</v>
      </c>
    </row>
    <row r="175" spans="1:40" x14ac:dyDescent="0.25">
      <c r="A175" s="2">
        <v>35</v>
      </c>
      <c r="B175" s="143" t="s">
        <v>55</v>
      </c>
      <c r="C175" s="2" t="s">
        <v>695</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698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71"/>
  <sheetViews>
    <sheetView zoomScale="75" zoomScaleNormal="85" workbookViewId="0">
      <selection activeCell="O1" sqref="O1:O27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100</v>
      </c>
      <c r="F2">
        <v>125</v>
      </c>
      <c r="G2">
        <v>0</v>
      </c>
      <c r="H2">
        <v>0</v>
      </c>
      <c r="I2">
        <v>0</v>
      </c>
      <c r="K2">
        <v>48000</v>
      </c>
      <c r="N2">
        <v>0</v>
      </c>
      <c r="O2" s="60">
        <v>0</v>
      </c>
      <c r="P2" t="s">
        <v>660</v>
      </c>
      <c r="Q2" t="s">
        <v>999</v>
      </c>
    </row>
    <row r="3" spans="1:17" x14ac:dyDescent="0.25">
      <c r="A3" t="s">
        <v>19</v>
      </c>
      <c r="B3">
        <v>100</v>
      </c>
      <c r="C3">
        <v>125</v>
      </c>
      <c r="D3">
        <v>0</v>
      </c>
      <c r="E3">
        <v>225</v>
      </c>
      <c r="F3">
        <v>125</v>
      </c>
      <c r="G3">
        <v>0</v>
      </c>
      <c r="H3">
        <v>1.2</v>
      </c>
      <c r="I3">
        <v>0.9</v>
      </c>
      <c r="J3">
        <v>56.126477890366417</v>
      </c>
      <c r="K3">
        <v>1500</v>
      </c>
      <c r="L3">
        <v>0</v>
      </c>
      <c r="N3">
        <v>1</v>
      </c>
      <c r="O3" s="60" t="s">
        <v>290</v>
      </c>
      <c r="P3" t="s">
        <v>662</v>
      </c>
      <c r="Q3" t="s">
        <v>1000</v>
      </c>
    </row>
    <row r="4" spans="1:17" x14ac:dyDescent="0.25">
      <c r="A4" t="s">
        <v>19</v>
      </c>
      <c r="B4">
        <v>225</v>
      </c>
      <c r="C4">
        <v>125</v>
      </c>
      <c r="D4">
        <v>0</v>
      </c>
      <c r="E4">
        <v>225</v>
      </c>
      <c r="F4">
        <v>126.35</v>
      </c>
      <c r="G4">
        <v>0</v>
      </c>
      <c r="H4">
        <v>1.2</v>
      </c>
      <c r="I4">
        <v>0.9</v>
      </c>
      <c r="J4">
        <v>0.60616596121595478</v>
      </c>
      <c r="K4">
        <v>1500</v>
      </c>
      <c r="L4">
        <v>0</v>
      </c>
      <c r="N4">
        <v>2</v>
      </c>
      <c r="O4" s="60" t="s">
        <v>661</v>
      </c>
      <c r="P4" t="s">
        <v>669</v>
      </c>
      <c r="Q4" t="s">
        <v>996</v>
      </c>
    </row>
    <row r="5" spans="1:17" x14ac:dyDescent="0.25">
      <c r="A5" t="s">
        <v>19</v>
      </c>
      <c r="B5">
        <v>225</v>
      </c>
      <c r="C5">
        <v>126.35</v>
      </c>
      <c r="D5">
        <v>0</v>
      </c>
      <c r="E5">
        <v>100</v>
      </c>
      <c r="F5">
        <v>126.35</v>
      </c>
      <c r="G5">
        <v>0</v>
      </c>
      <c r="H5">
        <v>1.2</v>
      </c>
      <c r="I5">
        <v>0.9</v>
      </c>
      <c r="J5">
        <v>56.126477890366417</v>
      </c>
      <c r="K5">
        <v>1500</v>
      </c>
      <c r="L5">
        <v>0</v>
      </c>
      <c r="N5">
        <v>3</v>
      </c>
      <c r="O5" s="60" t="s">
        <v>668</v>
      </c>
      <c r="P5" t="s">
        <v>671</v>
      </c>
      <c r="Q5" t="s">
        <v>1001</v>
      </c>
    </row>
    <row r="6" spans="1:17" x14ac:dyDescent="0.25">
      <c r="A6" t="s">
        <v>19</v>
      </c>
      <c r="B6">
        <v>100</v>
      </c>
      <c r="C6">
        <v>126.35</v>
      </c>
      <c r="D6">
        <v>0</v>
      </c>
      <c r="E6">
        <v>100</v>
      </c>
      <c r="F6">
        <v>131.69999999999999</v>
      </c>
      <c r="G6">
        <v>0</v>
      </c>
      <c r="H6">
        <v>1.2</v>
      </c>
      <c r="I6">
        <v>0.9</v>
      </c>
      <c r="J6">
        <v>2.4022132537076799</v>
      </c>
      <c r="K6">
        <v>1500</v>
      </c>
      <c r="L6">
        <v>0</v>
      </c>
      <c r="N6">
        <v>4</v>
      </c>
      <c r="O6" s="60" t="s">
        <v>670</v>
      </c>
      <c r="P6" t="s">
        <v>672</v>
      </c>
      <c r="Q6" t="s">
        <v>1007</v>
      </c>
    </row>
    <row r="7" spans="1:17" x14ac:dyDescent="0.25">
      <c r="A7" t="s">
        <v>19</v>
      </c>
      <c r="B7">
        <v>100</v>
      </c>
      <c r="C7">
        <v>131.69999999999999</v>
      </c>
      <c r="D7">
        <v>0</v>
      </c>
      <c r="E7">
        <v>225</v>
      </c>
      <c r="F7">
        <v>131.69999999999999</v>
      </c>
      <c r="G7">
        <v>0</v>
      </c>
      <c r="H7">
        <v>1.2</v>
      </c>
      <c r="I7">
        <v>0.9</v>
      </c>
      <c r="J7">
        <v>56.126477890366417</v>
      </c>
      <c r="K7">
        <v>1500</v>
      </c>
      <c r="L7">
        <v>0</v>
      </c>
      <c r="N7">
        <v>5</v>
      </c>
      <c r="O7" s="60" t="s">
        <v>710</v>
      </c>
      <c r="P7" t="s">
        <v>679</v>
      </c>
      <c r="Q7" t="s">
        <v>1002</v>
      </c>
    </row>
    <row r="8" spans="1:17" x14ac:dyDescent="0.25">
      <c r="A8" t="s">
        <v>19</v>
      </c>
      <c r="B8">
        <v>225</v>
      </c>
      <c r="C8">
        <v>131.69999999999999</v>
      </c>
      <c r="D8">
        <v>0</v>
      </c>
      <c r="E8">
        <v>225</v>
      </c>
      <c r="F8">
        <v>133.04999999999998</v>
      </c>
      <c r="G8">
        <v>0</v>
      </c>
      <c r="H8">
        <v>1.2</v>
      </c>
      <c r="I8">
        <v>0.9</v>
      </c>
      <c r="J8">
        <v>0.60616596121595478</v>
      </c>
      <c r="K8">
        <v>1500</v>
      </c>
      <c r="L8">
        <v>0</v>
      </c>
      <c r="N8">
        <v>5</v>
      </c>
      <c r="O8" s="60" t="s">
        <v>711</v>
      </c>
      <c r="P8" t="s">
        <v>674</v>
      </c>
      <c r="Q8" t="s">
        <v>730</v>
      </c>
    </row>
    <row r="9" spans="1:17" x14ac:dyDescent="0.25">
      <c r="A9" t="s">
        <v>19</v>
      </c>
      <c r="B9">
        <v>225</v>
      </c>
      <c r="C9">
        <v>133.04999999999998</v>
      </c>
      <c r="D9">
        <v>0</v>
      </c>
      <c r="E9">
        <v>100</v>
      </c>
      <c r="F9">
        <v>133.04999999999998</v>
      </c>
      <c r="G9">
        <v>0</v>
      </c>
      <c r="H9">
        <v>1.2</v>
      </c>
      <c r="I9">
        <v>0.9</v>
      </c>
      <c r="J9">
        <v>56.126477890366417</v>
      </c>
      <c r="K9">
        <v>1500</v>
      </c>
      <c r="L9">
        <v>0</v>
      </c>
      <c r="N9">
        <v>5</v>
      </c>
      <c r="O9" s="60" t="s">
        <v>712</v>
      </c>
      <c r="P9" t="s">
        <v>675</v>
      </c>
      <c r="Q9" t="s">
        <v>1001</v>
      </c>
    </row>
    <row r="10" spans="1:17" x14ac:dyDescent="0.25">
      <c r="A10" t="s">
        <v>19</v>
      </c>
      <c r="B10">
        <v>100</v>
      </c>
      <c r="C10">
        <v>133.04999999999998</v>
      </c>
      <c r="D10">
        <v>0</v>
      </c>
      <c r="E10">
        <v>100</v>
      </c>
      <c r="F10">
        <v>138.39999999999998</v>
      </c>
      <c r="G10">
        <v>0</v>
      </c>
      <c r="H10">
        <v>1.2</v>
      </c>
      <c r="I10">
        <v>0.9</v>
      </c>
      <c r="J10">
        <v>2.4022132537076799</v>
      </c>
      <c r="K10">
        <v>1500</v>
      </c>
      <c r="L10">
        <v>0</v>
      </c>
      <c r="N10">
        <v>5</v>
      </c>
      <c r="O10" s="60" t="s">
        <v>705</v>
      </c>
      <c r="P10" t="s">
        <v>676</v>
      </c>
      <c r="Q10" t="s">
        <v>1008</v>
      </c>
    </row>
    <row r="11" spans="1:17" x14ac:dyDescent="0.25">
      <c r="A11" t="s">
        <v>19</v>
      </c>
      <c r="B11">
        <v>100</v>
      </c>
      <c r="C11">
        <v>138.4</v>
      </c>
      <c r="D11">
        <v>0</v>
      </c>
      <c r="E11">
        <v>225</v>
      </c>
      <c r="F11">
        <v>138.4</v>
      </c>
      <c r="G11">
        <v>0</v>
      </c>
      <c r="H11">
        <v>1.2</v>
      </c>
      <c r="I11">
        <v>0.9</v>
      </c>
      <c r="J11">
        <v>56.126477890366417</v>
      </c>
      <c r="K11">
        <v>1500</v>
      </c>
      <c r="L11">
        <v>0</v>
      </c>
      <c r="N11">
        <v>5</v>
      </c>
      <c r="O11" s="60" t="s">
        <v>713</v>
      </c>
      <c r="P11" t="s">
        <v>679</v>
      </c>
      <c r="Q11" t="s">
        <v>1002</v>
      </c>
    </row>
    <row r="12" spans="1:17" x14ac:dyDescent="0.25">
      <c r="A12" t="s">
        <v>19</v>
      </c>
      <c r="B12">
        <v>225</v>
      </c>
      <c r="C12">
        <v>138.4</v>
      </c>
      <c r="D12">
        <v>0</v>
      </c>
      <c r="E12">
        <v>225</v>
      </c>
      <c r="F12">
        <v>139.75</v>
      </c>
      <c r="G12">
        <v>0</v>
      </c>
      <c r="H12">
        <v>1.2</v>
      </c>
      <c r="I12">
        <v>0.9</v>
      </c>
      <c r="J12">
        <v>0.60616596121595478</v>
      </c>
      <c r="K12">
        <v>1500</v>
      </c>
      <c r="L12">
        <v>0</v>
      </c>
      <c r="N12">
        <v>5</v>
      </c>
      <c r="O12" s="60" t="s">
        <v>714</v>
      </c>
      <c r="P12" t="s">
        <v>674</v>
      </c>
      <c r="Q12" t="s">
        <v>1009</v>
      </c>
    </row>
    <row r="13" spans="1:17" x14ac:dyDescent="0.25">
      <c r="A13" t="s">
        <v>19</v>
      </c>
      <c r="B13">
        <v>225</v>
      </c>
      <c r="C13">
        <v>139.75</v>
      </c>
      <c r="D13">
        <v>0</v>
      </c>
      <c r="E13">
        <v>100</v>
      </c>
      <c r="F13">
        <v>139.75</v>
      </c>
      <c r="G13">
        <v>0</v>
      </c>
      <c r="H13">
        <v>1.2</v>
      </c>
      <c r="I13">
        <v>0.9</v>
      </c>
      <c r="J13">
        <v>56.126477890366417</v>
      </c>
      <c r="K13">
        <v>1500</v>
      </c>
      <c r="L13">
        <v>0</v>
      </c>
      <c r="N13">
        <v>5</v>
      </c>
      <c r="O13" s="60" t="s">
        <v>715</v>
      </c>
      <c r="P13" t="s">
        <v>675</v>
      </c>
      <c r="Q13" t="s">
        <v>1001</v>
      </c>
    </row>
    <row r="14" spans="1:17" x14ac:dyDescent="0.25">
      <c r="A14" t="s">
        <v>19</v>
      </c>
      <c r="B14">
        <v>100</v>
      </c>
      <c r="C14">
        <v>139.75</v>
      </c>
      <c r="D14">
        <v>0</v>
      </c>
      <c r="E14">
        <v>100</v>
      </c>
      <c r="F14">
        <v>145.1</v>
      </c>
      <c r="G14">
        <v>0</v>
      </c>
      <c r="H14">
        <v>1.2</v>
      </c>
      <c r="I14">
        <v>0.9</v>
      </c>
      <c r="J14">
        <v>2.4022132537076799</v>
      </c>
      <c r="K14">
        <v>1500</v>
      </c>
      <c r="L14">
        <v>0</v>
      </c>
      <c r="N14">
        <v>5</v>
      </c>
      <c r="O14" s="60" t="s">
        <v>706</v>
      </c>
      <c r="P14" t="s">
        <v>676</v>
      </c>
      <c r="Q14" t="s">
        <v>1010</v>
      </c>
    </row>
    <row r="15" spans="1:17" x14ac:dyDescent="0.25">
      <c r="A15" t="s">
        <v>19</v>
      </c>
      <c r="B15">
        <v>100</v>
      </c>
      <c r="C15">
        <v>145.1</v>
      </c>
      <c r="D15">
        <v>0</v>
      </c>
      <c r="E15">
        <v>225</v>
      </c>
      <c r="F15">
        <v>145.1</v>
      </c>
      <c r="G15">
        <v>0</v>
      </c>
      <c r="H15">
        <v>1.2</v>
      </c>
      <c r="I15">
        <v>0.9</v>
      </c>
      <c r="J15">
        <v>56.126477890366417</v>
      </c>
      <c r="K15">
        <v>1500</v>
      </c>
      <c r="L15">
        <v>0</v>
      </c>
      <c r="N15">
        <v>5</v>
      </c>
      <c r="O15" s="60" t="s">
        <v>716</v>
      </c>
      <c r="P15" t="s">
        <v>679</v>
      </c>
      <c r="Q15" t="s">
        <v>1002</v>
      </c>
    </row>
    <row r="16" spans="1:17" x14ac:dyDescent="0.25">
      <c r="A16" t="s">
        <v>19</v>
      </c>
      <c r="B16">
        <v>225</v>
      </c>
      <c r="C16">
        <v>145.1</v>
      </c>
      <c r="D16">
        <v>0</v>
      </c>
      <c r="E16">
        <v>225</v>
      </c>
      <c r="F16">
        <v>146.44999999999999</v>
      </c>
      <c r="G16">
        <v>0</v>
      </c>
      <c r="H16">
        <v>1.2</v>
      </c>
      <c r="I16">
        <v>0.9</v>
      </c>
      <c r="J16">
        <v>0.60616596121595478</v>
      </c>
      <c r="K16">
        <v>1500</v>
      </c>
      <c r="L16">
        <v>0</v>
      </c>
      <c r="N16">
        <v>5</v>
      </c>
      <c r="O16" s="60" t="s">
        <v>717</v>
      </c>
      <c r="P16" t="s">
        <v>674</v>
      </c>
      <c r="Q16" t="s">
        <v>1011</v>
      </c>
    </row>
    <row r="17" spans="1:17" x14ac:dyDescent="0.25">
      <c r="A17" t="s">
        <v>19</v>
      </c>
      <c r="B17">
        <v>225</v>
      </c>
      <c r="C17">
        <v>146.44999999999999</v>
      </c>
      <c r="D17">
        <v>0</v>
      </c>
      <c r="E17">
        <v>100</v>
      </c>
      <c r="F17">
        <v>146.44999999999999</v>
      </c>
      <c r="G17">
        <v>0</v>
      </c>
      <c r="H17">
        <v>1.2</v>
      </c>
      <c r="I17">
        <v>0.9</v>
      </c>
      <c r="J17">
        <v>56.126477890366417</v>
      </c>
      <c r="K17">
        <v>1500</v>
      </c>
      <c r="L17">
        <v>0</v>
      </c>
      <c r="N17">
        <v>5</v>
      </c>
      <c r="O17" s="60" t="s">
        <v>718</v>
      </c>
      <c r="P17" t="s">
        <v>675</v>
      </c>
      <c r="Q17" t="s">
        <v>1001</v>
      </c>
    </row>
    <row r="18" spans="1:17" x14ac:dyDescent="0.25">
      <c r="A18" t="s">
        <v>19</v>
      </c>
      <c r="B18">
        <v>100</v>
      </c>
      <c r="C18">
        <v>146.44999999999999</v>
      </c>
      <c r="D18">
        <v>0</v>
      </c>
      <c r="E18">
        <v>100</v>
      </c>
      <c r="F18">
        <v>151.79999999999998</v>
      </c>
      <c r="G18">
        <v>0</v>
      </c>
      <c r="H18">
        <v>1.2</v>
      </c>
      <c r="I18">
        <v>0.9</v>
      </c>
      <c r="J18">
        <v>2.4022132537076799</v>
      </c>
      <c r="K18">
        <v>1500</v>
      </c>
      <c r="L18">
        <v>0</v>
      </c>
      <c r="N18">
        <v>5</v>
      </c>
      <c r="O18" s="60" t="s">
        <v>707</v>
      </c>
      <c r="P18" t="s">
        <v>676</v>
      </c>
      <c r="Q18" t="s">
        <v>1012</v>
      </c>
    </row>
    <row r="19" spans="1:17" x14ac:dyDescent="0.25">
      <c r="A19" t="s">
        <v>19</v>
      </c>
      <c r="B19">
        <v>100</v>
      </c>
      <c r="C19">
        <v>151.80000000000001</v>
      </c>
      <c r="D19">
        <v>0</v>
      </c>
      <c r="E19">
        <v>225</v>
      </c>
      <c r="F19">
        <v>151.80000000000001</v>
      </c>
      <c r="G19">
        <v>0</v>
      </c>
      <c r="H19">
        <v>1.2</v>
      </c>
      <c r="I19">
        <v>0.9</v>
      </c>
      <c r="J19">
        <v>56.126477890366417</v>
      </c>
      <c r="K19">
        <v>1500</v>
      </c>
      <c r="L19">
        <v>0</v>
      </c>
      <c r="N19">
        <v>5</v>
      </c>
      <c r="O19" s="60" t="s">
        <v>719</v>
      </c>
      <c r="P19" t="s">
        <v>679</v>
      </c>
      <c r="Q19" t="s">
        <v>1002</v>
      </c>
    </row>
    <row r="20" spans="1:17" x14ac:dyDescent="0.25">
      <c r="A20" t="s">
        <v>19</v>
      </c>
      <c r="B20">
        <v>225</v>
      </c>
      <c r="C20">
        <v>151.80000000000001</v>
      </c>
      <c r="D20">
        <v>0</v>
      </c>
      <c r="E20">
        <v>225</v>
      </c>
      <c r="F20">
        <v>153.15</v>
      </c>
      <c r="G20">
        <v>0</v>
      </c>
      <c r="H20">
        <v>1.2</v>
      </c>
      <c r="I20">
        <v>0.9</v>
      </c>
      <c r="J20">
        <v>0.60616596121595478</v>
      </c>
      <c r="K20">
        <v>1500</v>
      </c>
      <c r="L20">
        <v>0</v>
      </c>
      <c r="N20">
        <v>5</v>
      </c>
      <c r="O20" s="60" t="s">
        <v>720</v>
      </c>
      <c r="P20" t="s">
        <v>674</v>
      </c>
      <c r="Q20" t="s">
        <v>1013</v>
      </c>
    </row>
    <row r="21" spans="1:17" x14ac:dyDescent="0.25">
      <c r="A21" t="s">
        <v>19</v>
      </c>
      <c r="B21">
        <v>225</v>
      </c>
      <c r="C21">
        <v>153.15</v>
      </c>
      <c r="D21">
        <v>0</v>
      </c>
      <c r="E21">
        <v>100</v>
      </c>
      <c r="F21">
        <v>153.15</v>
      </c>
      <c r="G21">
        <v>0</v>
      </c>
      <c r="H21">
        <v>1.2</v>
      </c>
      <c r="I21">
        <v>0.9</v>
      </c>
      <c r="J21">
        <v>56.126477890366417</v>
      </c>
      <c r="K21">
        <v>1500</v>
      </c>
      <c r="L21">
        <v>0</v>
      </c>
      <c r="N21">
        <v>5</v>
      </c>
      <c r="O21" s="60" t="s">
        <v>721</v>
      </c>
      <c r="P21" t="s">
        <v>675</v>
      </c>
      <c r="Q21" t="s">
        <v>1001</v>
      </c>
    </row>
    <row r="22" spans="1:17" x14ac:dyDescent="0.25">
      <c r="A22" t="s">
        <v>19</v>
      </c>
      <c r="B22">
        <v>100</v>
      </c>
      <c r="C22">
        <v>153.15</v>
      </c>
      <c r="D22">
        <v>0</v>
      </c>
      <c r="E22">
        <v>100</v>
      </c>
      <c r="F22">
        <v>158.5</v>
      </c>
      <c r="G22">
        <v>0</v>
      </c>
      <c r="H22">
        <v>1.2</v>
      </c>
      <c r="I22">
        <v>0.9</v>
      </c>
      <c r="J22">
        <v>2.4022132537076799</v>
      </c>
      <c r="K22">
        <v>1500</v>
      </c>
      <c r="L22">
        <v>0</v>
      </c>
      <c r="N22">
        <v>5</v>
      </c>
      <c r="O22" s="60" t="s">
        <v>708</v>
      </c>
      <c r="P22" t="s">
        <v>676</v>
      </c>
      <c r="Q22" t="s">
        <v>1014</v>
      </c>
    </row>
    <row r="23" spans="1:17" x14ac:dyDescent="0.25">
      <c r="A23" t="s">
        <v>19</v>
      </c>
      <c r="B23">
        <v>100</v>
      </c>
      <c r="C23">
        <v>158.5</v>
      </c>
      <c r="D23">
        <v>0</v>
      </c>
      <c r="E23">
        <v>225</v>
      </c>
      <c r="F23">
        <v>158.5</v>
      </c>
      <c r="G23">
        <v>0</v>
      </c>
      <c r="H23">
        <v>1.2</v>
      </c>
      <c r="I23">
        <v>0.9</v>
      </c>
      <c r="J23">
        <v>56.126477890366417</v>
      </c>
      <c r="K23">
        <v>1500</v>
      </c>
      <c r="L23">
        <v>0</v>
      </c>
      <c r="N23">
        <v>5</v>
      </c>
      <c r="O23" s="60" t="s">
        <v>722</v>
      </c>
      <c r="P23" t="s">
        <v>679</v>
      </c>
      <c r="Q23" t="s">
        <v>1002</v>
      </c>
    </row>
    <row r="24" spans="1:17" x14ac:dyDescent="0.25">
      <c r="A24" t="s">
        <v>19</v>
      </c>
      <c r="B24">
        <v>225</v>
      </c>
      <c r="C24">
        <v>158.5</v>
      </c>
      <c r="D24">
        <v>0</v>
      </c>
      <c r="E24">
        <v>225</v>
      </c>
      <c r="F24">
        <v>159.85</v>
      </c>
      <c r="G24">
        <v>0</v>
      </c>
      <c r="H24">
        <v>1.2</v>
      </c>
      <c r="I24">
        <v>0.9</v>
      </c>
      <c r="J24">
        <v>0.60616596121595478</v>
      </c>
      <c r="K24">
        <v>1500</v>
      </c>
      <c r="L24">
        <v>0</v>
      </c>
      <c r="N24">
        <v>5</v>
      </c>
      <c r="O24" s="60" t="s">
        <v>723</v>
      </c>
      <c r="P24" t="s">
        <v>674</v>
      </c>
      <c r="Q24" t="s">
        <v>1015</v>
      </c>
    </row>
    <row r="25" spans="1:17" x14ac:dyDescent="0.25">
      <c r="A25" t="s">
        <v>19</v>
      </c>
      <c r="B25">
        <v>225</v>
      </c>
      <c r="C25">
        <v>159.85</v>
      </c>
      <c r="D25">
        <v>0</v>
      </c>
      <c r="E25">
        <v>100</v>
      </c>
      <c r="F25">
        <v>159.85</v>
      </c>
      <c r="G25">
        <v>0</v>
      </c>
      <c r="H25">
        <v>1.2</v>
      </c>
      <c r="I25">
        <v>0.9</v>
      </c>
      <c r="J25">
        <v>56.126477890366417</v>
      </c>
      <c r="K25">
        <v>1500</v>
      </c>
      <c r="L25">
        <v>0</v>
      </c>
      <c r="N25">
        <v>5</v>
      </c>
      <c r="O25" s="60" t="s">
        <v>724</v>
      </c>
      <c r="P25" t="s">
        <v>675</v>
      </c>
      <c r="Q25" t="s">
        <v>1001</v>
      </c>
    </row>
    <row r="26" spans="1:17" x14ac:dyDescent="0.25">
      <c r="A26" t="s">
        <v>19</v>
      </c>
      <c r="B26">
        <v>100</v>
      </c>
      <c r="C26">
        <v>159.85</v>
      </c>
      <c r="D26">
        <v>0</v>
      </c>
      <c r="E26">
        <v>100</v>
      </c>
      <c r="F26">
        <v>165.2</v>
      </c>
      <c r="G26">
        <v>0</v>
      </c>
      <c r="H26">
        <v>1.2</v>
      </c>
      <c r="I26">
        <v>0.9</v>
      </c>
      <c r="J26">
        <v>2.4022132537076799</v>
      </c>
      <c r="K26">
        <v>1500</v>
      </c>
      <c r="L26">
        <v>0</v>
      </c>
      <c r="N26">
        <v>5</v>
      </c>
      <c r="O26" s="60" t="s">
        <v>709</v>
      </c>
      <c r="P26" t="s">
        <v>676</v>
      </c>
      <c r="Q26" t="s">
        <v>1016</v>
      </c>
    </row>
    <row r="27" spans="1:17" x14ac:dyDescent="0.25">
      <c r="A27" t="s">
        <v>39</v>
      </c>
      <c r="B27">
        <v>-1.25</v>
      </c>
      <c r="C27">
        <v>2100</v>
      </c>
      <c r="N27">
        <v>6</v>
      </c>
      <c r="O27" s="60" t="s">
        <v>673</v>
      </c>
      <c r="P27" t="s">
        <v>677</v>
      </c>
      <c r="Q27" t="s">
        <v>697</v>
      </c>
    </row>
    <row r="28" spans="1:17" x14ac:dyDescent="0.25">
      <c r="A28" t="s">
        <v>659</v>
      </c>
      <c r="B28">
        <v>0.9</v>
      </c>
      <c r="C28">
        <v>10000</v>
      </c>
      <c r="N28">
        <v>6</v>
      </c>
      <c r="O28" s="60" t="s">
        <v>673</v>
      </c>
      <c r="P28" t="s">
        <v>677</v>
      </c>
      <c r="Q28" t="s">
        <v>725</v>
      </c>
    </row>
    <row r="29" spans="1:17" x14ac:dyDescent="0.25">
      <c r="A29" t="s">
        <v>23</v>
      </c>
      <c r="B29">
        <v>100</v>
      </c>
      <c r="C29">
        <v>165.2</v>
      </c>
      <c r="D29">
        <v>0</v>
      </c>
      <c r="E29">
        <v>100</v>
      </c>
      <c r="F29">
        <v>165.2</v>
      </c>
      <c r="G29">
        <v>0.9</v>
      </c>
      <c r="H29">
        <v>0</v>
      </c>
      <c r="I29">
        <v>0</v>
      </c>
      <c r="K29">
        <v>48000</v>
      </c>
      <c r="N29">
        <v>0</v>
      </c>
      <c r="O29" s="60">
        <v>0</v>
      </c>
      <c r="P29" t="s">
        <v>660</v>
      </c>
      <c r="Q29" t="s">
        <v>735</v>
      </c>
    </row>
    <row r="30" spans="1:17" x14ac:dyDescent="0.25">
      <c r="A30" t="s">
        <v>19</v>
      </c>
      <c r="B30">
        <v>100</v>
      </c>
      <c r="C30">
        <v>165.2</v>
      </c>
      <c r="D30">
        <v>0.9</v>
      </c>
      <c r="E30">
        <v>100</v>
      </c>
      <c r="F30">
        <v>159.85</v>
      </c>
      <c r="G30">
        <v>0.9</v>
      </c>
      <c r="H30">
        <v>1.2</v>
      </c>
      <c r="I30">
        <v>0.9</v>
      </c>
      <c r="J30">
        <v>2.4022132537076799</v>
      </c>
      <c r="K30">
        <v>1500</v>
      </c>
      <c r="L30">
        <v>0</v>
      </c>
      <c r="N30">
        <v>7</v>
      </c>
      <c r="O30" s="60" t="s">
        <v>736</v>
      </c>
      <c r="P30" t="s">
        <v>737</v>
      </c>
      <c r="Q30" t="s">
        <v>1039</v>
      </c>
    </row>
    <row r="31" spans="1:17" x14ac:dyDescent="0.25">
      <c r="A31" t="s">
        <v>19</v>
      </c>
      <c r="B31">
        <v>100</v>
      </c>
      <c r="C31">
        <v>159.85</v>
      </c>
      <c r="D31">
        <v>0.9</v>
      </c>
      <c r="E31">
        <v>225</v>
      </c>
      <c r="F31">
        <v>159.85</v>
      </c>
      <c r="G31">
        <v>0.9</v>
      </c>
      <c r="H31">
        <v>1.2</v>
      </c>
      <c r="I31">
        <v>0.9</v>
      </c>
      <c r="J31">
        <v>56.126477890366417</v>
      </c>
      <c r="K31">
        <v>1500</v>
      </c>
      <c r="L31">
        <v>0</v>
      </c>
      <c r="N31">
        <v>8</v>
      </c>
      <c r="O31" s="60" t="s">
        <v>738</v>
      </c>
      <c r="P31" t="s">
        <v>739</v>
      </c>
      <c r="Q31" t="s">
        <v>1005</v>
      </c>
    </row>
    <row r="32" spans="1:17" x14ac:dyDescent="0.25">
      <c r="A32" t="s">
        <v>19</v>
      </c>
      <c r="B32">
        <v>225</v>
      </c>
      <c r="C32">
        <v>159.85</v>
      </c>
      <c r="D32">
        <v>0.9</v>
      </c>
      <c r="E32">
        <v>225</v>
      </c>
      <c r="F32">
        <v>158.5</v>
      </c>
      <c r="G32">
        <v>0.9</v>
      </c>
      <c r="H32">
        <v>1.2</v>
      </c>
      <c r="I32">
        <v>0.9</v>
      </c>
      <c r="J32">
        <v>0.60616596121595478</v>
      </c>
      <c r="K32">
        <v>1500</v>
      </c>
      <c r="L32">
        <v>0</v>
      </c>
      <c r="N32">
        <v>9</v>
      </c>
      <c r="O32" s="60" t="s">
        <v>740</v>
      </c>
      <c r="P32" t="s">
        <v>741</v>
      </c>
      <c r="Q32" t="s">
        <v>1017</v>
      </c>
    </row>
    <row r="33" spans="1:17" x14ac:dyDescent="0.25">
      <c r="A33" t="s">
        <v>19</v>
      </c>
      <c r="B33">
        <v>225</v>
      </c>
      <c r="C33">
        <v>158.5</v>
      </c>
      <c r="D33">
        <v>0.9</v>
      </c>
      <c r="E33">
        <v>100</v>
      </c>
      <c r="F33">
        <v>158.5</v>
      </c>
      <c r="G33">
        <v>0.9</v>
      </c>
      <c r="H33">
        <v>1.2</v>
      </c>
      <c r="I33">
        <v>0.9</v>
      </c>
      <c r="J33">
        <v>56.126477890366417</v>
      </c>
      <c r="K33">
        <v>1500</v>
      </c>
      <c r="L33">
        <v>0</v>
      </c>
      <c r="N33">
        <v>10</v>
      </c>
      <c r="O33" s="60" t="s">
        <v>742</v>
      </c>
      <c r="P33" t="s">
        <v>743</v>
      </c>
      <c r="Q33" t="s">
        <v>1003</v>
      </c>
    </row>
    <row r="34" spans="1:17" x14ac:dyDescent="0.25">
      <c r="A34" t="s">
        <v>19</v>
      </c>
      <c r="B34">
        <v>100</v>
      </c>
      <c r="C34">
        <v>158.5</v>
      </c>
      <c r="D34">
        <v>0.9</v>
      </c>
      <c r="E34">
        <v>100</v>
      </c>
      <c r="F34">
        <v>153.15</v>
      </c>
      <c r="G34">
        <v>0.9</v>
      </c>
      <c r="H34">
        <v>1.2</v>
      </c>
      <c r="I34">
        <v>0.9</v>
      </c>
      <c r="J34">
        <v>2.4022132537076799</v>
      </c>
      <c r="K34">
        <v>1500</v>
      </c>
      <c r="L34">
        <v>0</v>
      </c>
      <c r="N34">
        <v>11</v>
      </c>
      <c r="O34" s="60" t="s">
        <v>744</v>
      </c>
      <c r="P34" t="s">
        <v>745</v>
      </c>
      <c r="Q34" t="s">
        <v>1033</v>
      </c>
    </row>
    <row r="35" spans="1:17" x14ac:dyDescent="0.25">
      <c r="A35" t="s">
        <v>19</v>
      </c>
      <c r="B35">
        <v>100</v>
      </c>
      <c r="C35">
        <v>153.15</v>
      </c>
      <c r="D35">
        <v>0.9</v>
      </c>
      <c r="E35">
        <v>225</v>
      </c>
      <c r="F35">
        <v>153.15</v>
      </c>
      <c r="G35">
        <v>0.9</v>
      </c>
      <c r="H35">
        <v>1.2</v>
      </c>
      <c r="I35">
        <v>0.9</v>
      </c>
      <c r="J35">
        <v>56.126477890366417</v>
      </c>
      <c r="K35">
        <v>1500</v>
      </c>
      <c r="L35">
        <v>0</v>
      </c>
      <c r="N35">
        <v>11</v>
      </c>
      <c r="O35" s="60" t="s">
        <v>746</v>
      </c>
      <c r="P35" t="s">
        <v>747</v>
      </c>
      <c r="Q35" t="s">
        <v>1005</v>
      </c>
    </row>
    <row r="36" spans="1:17" x14ac:dyDescent="0.25">
      <c r="A36" t="s">
        <v>19</v>
      </c>
      <c r="B36">
        <v>225</v>
      </c>
      <c r="C36">
        <v>153.15</v>
      </c>
      <c r="D36">
        <v>0.9</v>
      </c>
      <c r="E36">
        <v>225</v>
      </c>
      <c r="F36">
        <v>151.80000000000001</v>
      </c>
      <c r="G36">
        <v>0.9</v>
      </c>
      <c r="H36">
        <v>1.2</v>
      </c>
      <c r="I36">
        <v>0.9</v>
      </c>
      <c r="J36">
        <v>0.60616596121595478</v>
      </c>
      <c r="K36">
        <v>1500</v>
      </c>
      <c r="L36">
        <v>0</v>
      </c>
      <c r="N36">
        <v>11</v>
      </c>
      <c r="O36" s="60" t="s">
        <v>748</v>
      </c>
      <c r="P36" t="s">
        <v>749</v>
      </c>
      <c r="Q36" t="s">
        <v>1018</v>
      </c>
    </row>
    <row r="37" spans="1:17" x14ac:dyDescent="0.25">
      <c r="A37" t="s">
        <v>19</v>
      </c>
      <c r="B37">
        <v>225</v>
      </c>
      <c r="C37">
        <v>151.80000000000001</v>
      </c>
      <c r="D37">
        <v>0.9</v>
      </c>
      <c r="E37">
        <v>100</v>
      </c>
      <c r="F37">
        <v>151.80000000000001</v>
      </c>
      <c r="G37">
        <v>0.9</v>
      </c>
      <c r="H37">
        <v>1.2</v>
      </c>
      <c r="I37">
        <v>0.9</v>
      </c>
      <c r="J37">
        <v>56.126477890366417</v>
      </c>
      <c r="K37">
        <v>1500</v>
      </c>
      <c r="L37">
        <v>0</v>
      </c>
      <c r="N37">
        <v>11</v>
      </c>
      <c r="O37" s="60" t="s">
        <v>750</v>
      </c>
      <c r="P37" t="s">
        <v>751</v>
      </c>
      <c r="Q37" t="s">
        <v>1003</v>
      </c>
    </row>
    <row r="38" spans="1:17" x14ac:dyDescent="0.25">
      <c r="A38" t="s">
        <v>19</v>
      </c>
      <c r="B38">
        <v>100</v>
      </c>
      <c r="C38">
        <v>151.79999999999998</v>
      </c>
      <c r="D38">
        <v>0.9</v>
      </c>
      <c r="E38">
        <v>100</v>
      </c>
      <c r="F38">
        <v>146.44999999999999</v>
      </c>
      <c r="G38">
        <v>0.9</v>
      </c>
      <c r="H38">
        <v>1.2</v>
      </c>
      <c r="I38">
        <v>0.9</v>
      </c>
      <c r="J38">
        <v>2.4022132537076799</v>
      </c>
      <c r="K38">
        <v>1500</v>
      </c>
      <c r="L38">
        <v>0</v>
      </c>
      <c r="N38">
        <v>11</v>
      </c>
      <c r="O38" s="60" t="s">
        <v>752</v>
      </c>
      <c r="P38" t="s">
        <v>745</v>
      </c>
      <c r="Q38" t="s">
        <v>1034</v>
      </c>
    </row>
    <row r="39" spans="1:17" x14ac:dyDescent="0.25">
      <c r="A39" t="s">
        <v>19</v>
      </c>
      <c r="B39">
        <v>100</v>
      </c>
      <c r="C39">
        <v>146.44999999999999</v>
      </c>
      <c r="D39">
        <v>0.9</v>
      </c>
      <c r="E39">
        <v>225</v>
      </c>
      <c r="F39">
        <v>146.44999999999999</v>
      </c>
      <c r="G39">
        <v>0.9</v>
      </c>
      <c r="H39">
        <v>1.2</v>
      </c>
      <c r="I39">
        <v>0.9</v>
      </c>
      <c r="J39">
        <v>56.126477890366417</v>
      </c>
      <c r="K39">
        <v>1500</v>
      </c>
      <c r="L39">
        <v>0</v>
      </c>
      <c r="N39">
        <v>11</v>
      </c>
      <c r="O39" s="60" t="s">
        <v>753</v>
      </c>
      <c r="P39" t="s">
        <v>747</v>
      </c>
      <c r="Q39" t="s">
        <v>1005</v>
      </c>
    </row>
    <row r="40" spans="1:17" x14ac:dyDescent="0.25">
      <c r="A40" t="s">
        <v>19</v>
      </c>
      <c r="B40">
        <v>225</v>
      </c>
      <c r="C40">
        <v>146.44999999999999</v>
      </c>
      <c r="D40">
        <v>0.9</v>
      </c>
      <c r="E40">
        <v>225</v>
      </c>
      <c r="F40">
        <v>145.1</v>
      </c>
      <c r="G40">
        <v>0.9</v>
      </c>
      <c r="H40">
        <v>1.2</v>
      </c>
      <c r="I40">
        <v>0.9</v>
      </c>
      <c r="J40">
        <v>0.60616596121595478</v>
      </c>
      <c r="K40">
        <v>1500</v>
      </c>
      <c r="L40">
        <v>0</v>
      </c>
      <c r="N40">
        <v>11</v>
      </c>
      <c r="O40" s="60" t="s">
        <v>754</v>
      </c>
      <c r="P40" t="s">
        <v>749</v>
      </c>
      <c r="Q40" t="s">
        <v>1019</v>
      </c>
    </row>
    <row r="41" spans="1:17" x14ac:dyDescent="0.25">
      <c r="A41" t="s">
        <v>19</v>
      </c>
      <c r="B41">
        <v>225</v>
      </c>
      <c r="C41">
        <v>145.1</v>
      </c>
      <c r="D41">
        <v>0.9</v>
      </c>
      <c r="E41">
        <v>100</v>
      </c>
      <c r="F41">
        <v>145.1</v>
      </c>
      <c r="G41">
        <v>0.9</v>
      </c>
      <c r="H41">
        <v>1.2</v>
      </c>
      <c r="I41">
        <v>0.9</v>
      </c>
      <c r="J41">
        <v>56.126477890366417</v>
      </c>
      <c r="K41">
        <v>1500</v>
      </c>
      <c r="L41">
        <v>0</v>
      </c>
      <c r="N41">
        <v>11</v>
      </c>
      <c r="O41" s="60" t="s">
        <v>755</v>
      </c>
      <c r="P41" t="s">
        <v>751</v>
      </c>
      <c r="Q41" t="s">
        <v>1003</v>
      </c>
    </row>
    <row r="42" spans="1:17" x14ac:dyDescent="0.25">
      <c r="A42" t="s">
        <v>19</v>
      </c>
      <c r="B42">
        <v>100</v>
      </c>
      <c r="C42">
        <v>145.1</v>
      </c>
      <c r="D42">
        <v>0.9</v>
      </c>
      <c r="E42">
        <v>100</v>
      </c>
      <c r="F42">
        <v>139.75</v>
      </c>
      <c r="G42">
        <v>0.9</v>
      </c>
      <c r="H42">
        <v>1.2</v>
      </c>
      <c r="I42">
        <v>0.9</v>
      </c>
      <c r="J42">
        <v>2.4022132537076799</v>
      </c>
      <c r="K42">
        <v>1500</v>
      </c>
      <c r="L42">
        <v>0</v>
      </c>
      <c r="N42">
        <v>11</v>
      </c>
      <c r="O42" s="60" t="s">
        <v>756</v>
      </c>
      <c r="P42" t="s">
        <v>745</v>
      </c>
      <c r="Q42" t="s">
        <v>1035</v>
      </c>
    </row>
    <row r="43" spans="1:17" x14ac:dyDescent="0.25">
      <c r="A43" t="s">
        <v>19</v>
      </c>
      <c r="B43">
        <v>100</v>
      </c>
      <c r="C43">
        <v>139.75</v>
      </c>
      <c r="D43">
        <v>0.9</v>
      </c>
      <c r="E43">
        <v>225</v>
      </c>
      <c r="F43">
        <v>139.75</v>
      </c>
      <c r="G43">
        <v>0.9</v>
      </c>
      <c r="H43">
        <v>1.2</v>
      </c>
      <c r="I43">
        <v>0.9</v>
      </c>
      <c r="J43">
        <v>56.126477890366417</v>
      </c>
      <c r="K43">
        <v>1500</v>
      </c>
      <c r="L43">
        <v>0</v>
      </c>
      <c r="N43">
        <v>11</v>
      </c>
      <c r="O43" s="60" t="s">
        <v>757</v>
      </c>
      <c r="P43" t="s">
        <v>747</v>
      </c>
      <c r="Q43" t="s">
        <v>1005</v>
      </c>
    </row>
    <row r="44" spans="1:17" x14ac:dyDescent="0.25">
      <c r="A44" t="s">
        <v>19</v>
      </c>
      <c r="B44">
        <v>225</v>
      </c>
      <c r="C44">
        <v>139.75</v>
      </c>
      <c r="D44">
        <v>0.9</v>
      </c>
      <c r="E44">
        <v>225</v>
      </c>
      <c r="F44">
        <v>138.4</v>
      </c>
      <c r="G44">
        <v>0.9</v>
      </c>
      <c r="H44">
        <v>1.2</v>
      </c>
      <c r="I44">
        <v>0.9</v>
      </c>
      <c r="J44">
        <v>0.60616596121595478</v>
      </c>
      <c r="K44">
        <v>1500</v>
      </c>
      <c r="L44">
        <v>0</v>
      </c>
      <c r="N44">
        <v>11</v>
      </c>
      <c r="O44" s="60" t="s">
        <v>758</v>
      </c>
      <c r="P44" t="s">
        <v>749</v>
      </c>
      <c r="Q44" t="s">
        <v>1020</v>
      </c>
    </row>
    <row r="45" spans="1:17" x14ac:dyDescent="0.25">
      <c r="A45" t="s">
        <v>19</v>
      </c>
      <c r="B45">
        <v>225</v>
      </c>
      <c r="C45">
        <v>138.4</v>
      </c>
      <c r="D45">
        <v>0.9</v>
      </c>
      <c r="E45">
        <v>100</v>
      </c>
      <c r="F45">
        <v>138.4</v>
      </c>
      <c r="G45">
        <v>0.9</v>
      </c>
      <c r="H45">
        <v>1.2</v>
      </c>
      <c r="I45">
        <v>0.9</v>
      </c>
      <c r="J45">
        <v>56.126477890366417</v>
      </c>
      <c r="K45">
        <v>1500</v>
      </c>
      <c r="L45">
        <v>0</v>
      </c>
      <c r="N45">
        <v>11</v>
      </c>
      <c r="O45" s="60" t="s">
        <v>759</v>
      </c>
      <c r="P45" t="s">
        <v>751</v>
      </c>
      <c r="Q45" t="s">
        <v>1003</v>
      </c>
    </row>
    <row r="46" spans="1:17" x14ac:dyDescent="0.25">
      <c r="A46" t="s">
        <v>19</v>
      </c>
      <c r="B46">
        <v>100</v>
      </c>
      <c r="C46">
        <v>138.39999999999998</v>
      </c>
      <c r="D46">
        <v>0.9</v>
      </c>
      <c r="E46">
        <v>100</v>
      </c>
      <c r="F46">
        <v>133.04999999999998</v>
      </c>
      <c r="G46">
        <v>0.9</v>
      </c>
      <c r="H46">
        <v>1.2</v>
      </c>
      <c r="I46">
        <v>0.9</v>
      </c>
      <c r="J46">
        <v>2.4022132537076799</v>
      </c>
      <c r="K46">
        <v>1500</v>
      </c>
      <c r="L46">
        <v>0</v>
      </c>
      <c r="N46">
        <v>11</v>
      </c>
      <c r="O46" s="60" t="s">
        <v>760</v>
      </c>
      <c r="P46" t="s">
        <v>745</v>
      </c>
      <c r="Q46" t="s">
        <v>1036</v>
      </c>
    </row>
    <row r="47" spans="1:17" x14ac:dyDescent="0.25">
      <c r="A47" t="s">
        <v>19</v>
      </c>
      <c r="B47">
        <v>100</v>
      </c>
      <c r="C47">
        <v>133.04999999999998</v>
      </c>
      <c r="D47">
        <v>0.9</v>
      </c>
      <c r="E47">
        <v>225</v>
      </c>
      <c r="F47">
        <v>133.04999999999998</v>
      </c>
      <c r="G47">
        <v>0.9</v>
      </c>
      <c r="H47">
        <v>1.2</v>
      </c>
      <c r="I47">
        <v>0.9</v>
      </c>
      <c r="J47">
        <v>56.126477890366417</v>
      </c>
      <c r="K47">
        <v>1500</v>
      </c>
      <c r="L47">
        <v>0</v>
      </c>
      <c r="N47">
        <v>11</v>
      </c>
      <c r="O47" s="60" t="s">
        <v>761</v>
      </c>
      <c r="P47" t="s">
        <v>747</v>
      </c>
      <c r="Q47" t="s">
        <v>1005</v>
      </c>
    </row>
    <row r="48" spans="1:17" x14ac:dyDescent="0.25">
      <c r="A48" t="s">
        <v>19</v>
      </c>
      <c r="B48">
        <v>225</v>
      </c>
      <c r="C48">
        <v>133.04999999999998</v>
      </c>
      <c r="D48">
        <v>0.9</v>
      </c>
      <c r="E48">
        <v>225</v>
      </c>
      <c r="F48">
        <v>131.69999999999999</v>
      </c>
      <c r="G48">
        <v>0.9</v>
      </c>
      <c r="H48">
        <v>1.2</v>
      </c>
      <c r="I48">
        <v>0.9</v>
      </c>
      <c r="J48">
        <v>0.60616596121595478</v>
      </c>
      <c r="K48">
        <v>1500</v>
      </c>
      <c r="L48">
        <v>0</v>
      </c>
      <c r="N48">
        <v>11</v>
      </c>
      <c r="O48" s="60" t="s">
        <v>762</v>
      </c>
      <c r="P48" t="s">
        <v>749</v>
      </c>
      <c r="Q48" t="s">
        <v>731</v>
      </c>
    </row>
    <row r="49" spans="1:17" x14ac:dyDescent="0.25">
      <c r="A49" t="s">
        <v>19</v>
      </c>
      <c r="B49">
        <v>225</v>
      </c>
      <c r="C49">
        <v>131.69999999999999</v>
      </c>
      <c r="D49">
        <v>0.9</v>
      </c>
      <c r="E49">
        <v>100</v>
      </c>
      <c r="F49">
        <v>131.69999999999999</v>
      </c>
      <c r="G49">
        <v>0.9</v>
      </c>
      <c r="H49">
        <v>1.2</v>
      </c>
      <c r="I49">
        <v>0.9</v>
      </c>
      <c r="J49">
        <v>56.126477890366417</v>
      </c>
      <c r="K49">
        <v>1500</v>
      </c>
      <c r="L49">
        <v>0</v>
      </c>
      <c r="N49">
        <v>11</v>
      </c>
      <c r="O49" s="60" t="s">
        <v>763</v>
      </c>
      <c r="P49" t="s">
        <v>751</v>
      </c>
      <c r="Q49" t="s">
        <v>1003</v>
      </c>
    </row>
    <row r="50" spans="1:17" x14ac:dyDescent="0.25">
      <c r="A50" t="s">
        <v>19</v>
      </c>
      <c r="B50">
        <v>100</v>
      </c>
      <c r="C50">
        <v>131.69999999999999</v>
      </c>
      <c r="D50">
        <v>0.9</v>
      </c>
      <c r="E50">
        <v>100</v>
      </c>
      <c r="F50">
        <v>126.35</v>
      </c>
      <c r="G50">
        <v>0.9</v>
      </c>
      <c r="H50">
        <v>1.2</v>
      </c>
      <c r="I50">
        <v>0.9</v>
      </c>
      <c r="J50">
        <v>2.4022132537076799</v>
      </c>
      <c r="K50">
        <v>1500</v>
      </c>
      <c r="L50">
        <v>0</v>
      </c>
      <c r="N50">
        <v>11</v>
      </c>
      <c r="O50" s="60" t="s">
        <v>764</v>
      </c>
      <c r="P50" t="s">
        <v>745</v>
      </c>
      <c r="Q50" t="s">
        <v>1037</v>
      </c>
    </row>
    <row r="51" spans="1:17" x14ac:dyDescent="0.25">
      <c r="A51" t="s">
        <v>19</v>
      </c>
      <c r="B51">
        <v>100</v>
      </c>
      <c r="C51">
        <v>126.35</v>
      </c>
      <c r="D51">
        <v>0.9</v>
      </c>
      <c r="E51">
        <v>225</v>
      </c>
      <c r="F51">
        <v>126.35</v>
      </c>
      <c r="G51">
        <v>0.9</v>
      </c>
      <c r="H51">
        <v>1.2</v>
      </c>
      <c r="I51">
        <v>0.9</v>
      </c>
      <c r="J51">
        <v>56.126477890366417</v>
      </c>
      <c r="K51">
        <v>1500</v>
      </c>
      <c r="L51">
        <v>0</v>
      </c>
      <c r="N51">
        <v>11</v>
      </c>
      <c r="O51" s="60" t="s">
        <v>765</v>
      </c>
      <c r="P51" t="s">
        <v>747</v>
      </c>
      <c r="Q51" t="s">
        <v>1005</v>
      </c>
    </row>
    <row r="52" spans="1:17" x14ac:dyDescent="0.25">
      <c r="A52" t="s">
        <v>19</v>
      </c>
      <c r="B52">
        <v>225</v>
      </c>
      <c r="C52">
        <v>126.35</v>
      </c>
      <c r="D52">
        <v>0.9</v>
      </c>
      <c r="E52">
        <v>225</v>
      </c>
      <c r="F52">
        <v>125</v>
      </c>
      <c r="G52">
        <v>0.9</v>
      </c>
      <c r="H52">
        <v>1.2</v>
      </c>
      <c r="I52">
        <v>0.9</v>
      </c>
      <c r="J52">
        <v>0.60616596121595478</v>
      </c>
      <c r="K52">
        <v>1500</v>
      </c>
      <c r="L52">
        <v>0</v>
      </c>
      <c r="N52">
        <v>11</v>
      </c>
      <c r="O52" s="60" t="s">
        <v>766</v>
      </c>
      <c r="P52" t="s">
        <v>749</v>
      </c>
      <c r="Q52" t="s">
        <v>997</v>
      </c>
    </row>
    <row r="53" spans="1:17" x14ac:dyDescent="0.25">
      <c r="A53" t="s">
        <v>19</v>
      </c>
      <c r="B53">
        <v>225</v>
      </c>
      <c r="C53">
        <v>125</v>
      </c>
      <c r="D53">
        <v>0.9</v>
      </c>
      <c r="E53">
        <v>100</v>
      </c>
      <c r="F53">
        <v>125</v>
      </c>
      <c r="G53">
        <v>0.9</v>
      </c>
      <c r="H53">
        <v>1.2</v>
      </c>
      <c r="I53">
        <v>0.9</v>
      </c>
      <c r="J53">
        <v>56.126477890366417</v>
      </c>
      <c r="K53">
        <v>1500</v>
      </c>
      <c r="L53">
        <v>0</v>
      </c>
      <c r="N53">
        <v>11</v>
      </c>
      <c r="O53" s="60" t="s">
        <v>767</v>
      </c>
      <c r="P53" t="s">
        <v>751</v>
      </c>
      <c r="Q53" t="s">
        <v>1003</v>
      </c>
    </row>
    <row r="54" spans="1:17" x14ac:dyDescent="0.25">
      <c r="A54" t="s">
        <v>39</v>
      </c>
      <c r="B54">
        <v>-1.25</v>
      </c>
      <c r="C54">
        <v>2100</v>
      </c>
      <c r="N54">
        <v>12</v>
      </c>
      <c r="O54" s="60" t="s">
        <v>768</v>
      </c>
      <c r="P54" t="s">
        <v>769</v>
      </c>
      <c r="Q54" t="s">
        <v>697</v>
      </c>
    </row>
    <row r="55" spans="1:17" x14ac:dyDescent="0.25">
      <c r="A55" t="s">
        <v>659</v>
      </c>
      <c r="B55">
        <v>0.9</v>
      </c>
      <c r="C55">
        <v>10000</v>
      </c>
      <c r="N55">
        <v>12</v>
      </c>
      <c r="O55" s="60" t="s">
        <v>768</v>
      </c>
      <c r="P55" t="s">
        <v>769</v>
      </c>
      <c r="Q55" t="s">
        <v>692</v>
      </c>
    </row>
    <row r="56" spans="1:17" x14ac:dyDescent="0.25">
      <c r="A56" t="s">
        <v>23</v>
      </c>
      <c r="B56">
        <v>100</v>
      </c>
      <c r="C56">
        <v>125</v>
      </c>
      <c r="D56">
        <v>0.9</v>
      </c>
      <c r="E56">
        <v>100</v>
      </c>
      <c r="F56">
        <v>125</v>
      </c>
      <c r="G56">
        <v>1.8</v>
      </c>
      <c r="H56">
        <v>0</v>
      </c>
      <c r="I56">
        <v>0</v>
      </c>
      <c r="K56">
        <v>48000</v>
      </c>
      <c r="N56">
        <v>0</v>
      </c>
      <c r="O56" s="60">
        <v>0</v>
      </c>
      <c r="P56" t="s">
        <v>660</v>
      </c>
      <c r="Q56" t="s">
        <v>992</v>
      </c>
    </row>
    <row r="57" spans="1:17" x14ac:dyDescent="0.25">
      <c r="A57" t="s">
        <v>19</v>
      </c>
      <c r="B57">
        <v>100</v>
      </c>
      <c r="C57">
        <v>125</v>
      </c>
      <c r="D57">
        <v>1.8</v>
      </c>
      <c r="E57">
        <v>225</v>
      </c>
      <c r="F57">
        <v>125</v>
      </c>
      <c r="G57">
        <v>1.8</v>
      </c>
      <c r="H57">
        <v>1.2</v>
      </c>
      <c r="I57">
        <v>0.9</v>
      </c>
      <c r="J57">
        <v>56.126477890366417</v>
      </c>
      <c r="K57">
        <v>1500</v>
      </c>
      <c r="L57">
        <v>0</v>
      </c>
      <c r="N57">
        <v>13</v>
      </c>
      <c r="O57" s="60" t="s">
        <v>770</v>
      </c>
      <c r="P57" t="s">
        <v>771</v>
      </c>
      <c r="Q57" t="s">
        <v>1004</v>
      </c>
    </row>
    <row r="58" spans="1:17" x14ac:dyDescent="0.25">
      <c r="A58" t="s">
        <v>19</v>
      </c>
      <c r="B58">
        <v>225</v>
      </c>
      <c r="C58">
        <v>125</v>
      </c>
      <c r="D58">
        <v>1.8</v>
      </c>
      <c r="E58">
        <v>225</v>
      </c>
      <c r="F58">
        <v>126.35</v>
      </c>
      <c r="G58">
        <v>1.8</v>
      </c>
      <c r="H58">
        <v>1.2</v>
      </c>
      <c r="I58">
        <v>0.9</v>
      </c>
      <c r="J58">
        <v>0.60616596121595478</v>
      </c>
      <c r="K58">
        <v>1500</v>
      </c>
      <c r="L58">
        <v>0</v>
      </c>
      <c r="N58">
        <v>13</v>
      </c>
      <c r="O58" s="60" t="s">
        <v>772</v>
      </c>
      <c r="P58" t="s">
        <v>773</v>
      </c>
      <c r="Q58" t="s">
        <v>998</v>
      </c>
    </row>
    <row r="59" spans="1:17" x14ac:dyDescent="0.25">
      <c r="A59" t="s">
        <v>19</v>
      </c>
      <c r="B59">
        <v>225</v>
      </c>
      <c r="C59">
        <v>126.35</v>
      </c>
      <c r="D59">
        <v>1.8</v>
      </c>
      <c r="E59">
        <v>100</v>
      </c>
      <c r="F59">
        <v>126.35</v>
      </c>
      <c r="G59">
        <v>1.8</v>
      </c>
      <c r="H59">
        <v>1.2</v>
      </c>
      <c r="I59">
        <v>0.9</v>
      </c>
      <c r="J59">
        <v>56.126477890366417</v>
      </c>
      <c r="K59">
        <v>1500</v>
      </c>
      <c r="L59">
        <v>0</v>
      </c>
      <c r="N59">
        <v>13</v>
      </c>
      <c r="O59" s="60" t="s">
        <v>774</v>
      </c>
      <c r="P59" t="s">
        <v>775</v>
      </c>
      <c r="Q59" t="s">
        <v>1003</v>
      </c>
    </row>
    <row r="60" spans="1:17" x14ac:dyDescent="0.25">
      <c r="A60" t="s">
        <v>19</v>
      </c>
      <c r="B60">
        <v>100</v>
      </c>
      <c r="C60">
        <v>126.35</v>
      </c>
      <c r="D60">
        <v>1.8</v>
      </c>
      <c r="E60">
        <v>100</v>
      </c>
      <c r="F60">
        <v>131.69999999999999</v>
      </c>
      <c r="G60">
        <v>1.8</v>
      </c>
      <c r="H60">
        <v>1.2</v>
      </c>
      <c r="I60">
        <v>0.9</v>
      </c>
      <c r="J60">
        <v>2.4022132537076799</v>
      </c>
      <c r="K60">
        <v>1500</v>
      </c>
      <c r="L60">
        <v>0</v>
      </c>
      <c r="N60">
        <v>13</v>
      </c>
      <c r="O60" s="60" t="s">
        <v>776</v>
      </c>
      <c r="P60" t="s">
        <v>777</v>
      </c>
      <c r="Q60" t="s">
        <v>1021</v>
      </c>
    </row>
    <row r="61" spans="1:17" x14ac:dyDescent="0.25">
      <c r="A61" t="s">
        <v>19</v>
      </c>
      <c r="B61">
        <v>100</v>
      </c>
      <c r="C61">
        <v>131.69999999999999</v>
      </c>
      <c r="D61">
        <v>1.8</v>
      </c>
      <c r="E61">
        <v>225</v>
      </c>
      <c r="F61">
        <v>131.69999999999999</v>
      </c>
      <c r="G61">
        <v>1.8</v>
      </c>
      <c r="H61">
        <v>1.2</v>
      </c>
      <c r="I61">
        <v>0.9</v>
      </c>
      <c r="J61">
        <v>56.126477890366417</v>
      </c>
      <c r="K61">
        <v>1500</v>
      </c>
      <c r="L61">
        <v>0</v>
      </c>
      <c r="N61">
        <v>13</v>
      </c>
      <c r="O61" s="60" t="s">
        <v>778</v>
      </c>
      <c r="P61" t="s">
        <v>779</v>
      </c>
      <c r="Q61" t="s">
        <v>1005</v>
      </c>
    </row>
    <row r="62" spans="1:17" x14ac:dyDescent="0.25">
      <c r="A62" t="s">
        <v>19</v>
      </c>
      <c r="B62">
        <v>225</v>
      </c>
      <c r="C62">
        <v>131.69999999999999</v>
      </c>
      <c r="D62">
        <v>1.8</v>
      </c>
      <c r="E62">
        <v>225</v>
      </c>
      <c r="F62">
        <v>133.04999999999998</v>
      </c>
      <c r="G62">
        <v>1.8</v>
      </c>
      <c r="H62">
        <v>1.2</v>
      </c>
      <c r="I62">
        <v>0.9</v>
      </c>
      <c r="J62">
        <v>0.60616596121595478</v>
      </c>
      <c r="K62">
        <v>1500</v>
      </c>
      <c r="L62">
        <v>0</v>
      </c>
      <c r="N62">
        <v>13</v>
      </c>
      <c r="O62" s="60" t="s">
        <v>780</v>
      </c>
      <c r="P62" t="s">
        <v>781</v>
      </c>
      <c r="Q62" t="s">
        <v>732</v>
      </c>
    </row>
    <row r="63" spans="1:17" x14ac:dyDescent="0.25">
      <c r="A63" t="s">
        <v>19</v>
      </c>
      <c r="B63">
        <v>225</v>
      </c>
      <c r="C63">
        <v>133.04999999999998</v>
      </c>
      <c r="D63">
        <v>1.8</v>
      </c>
      <c r="E63">
        <v>100</v>
      </c>
      <c r="F63">
        <v>133.04999999999998</v>
      </c>
      <c r="G63">
        <v>1.8</v>
      </c>
      <c r="H63">
        <v>1.2</v>
      </c>
      <c r="I63">
        <v>0.9</v>
      </c>
      <c r="J63">
        <v>56.126477890366417</v>
      </c>
      <c r="K63">
        <v>1500</v>
      </c>
      <c r="L63">
        <v>0</v>
      </c>
      <c r="N63">
        <v>13</v>
      </c>
      <c r="O63" s="60" t="s">
        <v>782</v>
      </c>
      <c r="P63" t="s">
        <v>783</v>
      </c>
      <c r="Q63" t="s">
        <v>1003</v>
      </c>
    </row>
    <row r="64" spans="1:17" x14ac:dyDescent="0.25">
      <c r="A64" t="s">
        <v>19</v>
      </c>
      <c r="B64">
        <v>100</v>
      </c>
      <c r="C64">
        <v>133.04999999999998</v>
      </c>
      <c r="D64">
        <v>1.8</v>
      </c>
      <c r="E64">
        <v>100</v>
      </c>
      <c r="F64">
        <v>138.39999999999998</v>
      </c>
      <c r="G64">
        <v>1.8</v>
      </c>
      <c r="H64">
        <v>1.2</v>
      </c>
      <c r="I64">
        <v>0.9</v>
      </c>
      <c r="J64">
        <v>2.4022132537076799</v>
      </c>
      <c r="K64">
        <v>1500</v>
      </c>
      <c r="L64">
        <v>0</v>
      </c>
      <c r="N64">
        <v>13</v>
      </c>
      <c r="O64" s="60" t="s">
        <v>784</v>
      </c>
      <c r="P64" t="s">
        <v>785</v>
      </c>
      <c r="Q64" t="s">
        <v>1022</v>
      </c>
    </row>
    <row r="65" spans="1:17" x14ac:dyDescent="0.25">
      <c r="A65" t="s">
        <v>19</v>
      </c>
      <c r="B65">
        <v>100</v>
      </c>
      <c r="C65">
        <v>138.4</v>
      </c>
      <c r="D65">
        <v>1.8</v>
      </c>
      <c r="E65">
        <v>225</v>
      </c>
      <c r="F65">
        <v>138.4</v>
      </c>
      <c r="G65">
        <v>1.8</v>
      </c>
      <c r="H65">
        <v>1.2</v>
      </c>
      <c r="I65">
        <v>0.9</v>
      </c>
      <c r="J65">
        <v>56.126477890366417</v>
      </c>
      <c r="K65">
        <v>1500</v>
      </c>
      <c r="L65">
        <v>0</v>
      </c>
      <c r="N65">
        <v>13</v>
      </c>
      <c r="O65" s="60" t="s">
        <v>786</v>
      </c>
      <c r="P65" t="s">
        <v>779</v>
      </c>
      <c r="Q65" t="s">
        <v>1005</v>
      </c>
    </row>
    <row r="66" spans="1:17" x14ac:dyDescent="0.25">
      <c r="A66" t="s">
        <v>19</v>
      </c>
      <c r="B66">
        <v>225</v>
      </c>
      <c r="C66">
        <v>138.4</v>
      </c>
      <c r="D66">
        <v>1.8</v>
      </c>
      <c r="E66">
        <v>225</v>
      </c>
      <c r="F66">
        <v>139.75</v>
      </c>
      <c r="G66">
        <v>1.8</v>
      </c>
      <c r="H66">
        <v>1.2</v>
      </c>
      <c r="I66">
        <v>0.9</v>
      </c>
      <c r="J66">
        <v>0.60616596121595478</v>
      </c>
      <c r="K66">
        <v>1500</v>
      </c>
      <c r="L66">
        <v>0</v>
      </c>
      <c r="N66">
        <v>13</v>
      </c>
      <c r="O66" s="60" t="s">
        <v>787</v>
      </c>
      <c r="P66" t="s">
        <v>781</v>
      </c>
      <c r="Q66" t="s">
        <v>1023</v>
      </c>
    </row>
    <row r="67" spans="1:17" x14ac:dyDescent="0.25">
      <c r="A67" t="s">
        <v>19</v>
      </c>
      <c r="B67">
        <v>225</v>
      </c>
      <c r="C67">
        <v>139.75</v>
      </c>
      <c r="D67">
        <v>1.8</v>
      </c>
      <c r="E67">
        <v>100</v>
      </c>
      <c r="F67">
        <v>139.75</v>
      </c>
      <c r="G67">
        <v>1.8</v>
      </c>
      <c r="H67">
        <v>1.2</v>
      </c>
      <c r="I67">
        <v>0.9</v>
      </c>
      <c r="J67">
        <v>56.126477890366417</v>
      </c>
      <c r="K67">
        <v>1500</v>
      </c>
      <c r="L67">
        <v>0</v>
      </c>
      <c r="N67">
        <v>13</v>
      </c>
      <c r="O67" s="60" t="s">
        <v>788</v>
      </c>
      <c r="P67" t="s">
        <v>783</v>
      </c>
      <c r="Q67" t="s">
        <v>1003</v>
      </c>
    </row>
    <row r="68" spans="1:17" x14ac:dyDescent="0.25">
      <c r="A68" t="s">
        <v>19</v>
      </c>
      <c r="B68">
        <v>100</v>
      </c>
      <c r="C68">
        <v>139.75</v>
      </c>
      <c r="D68">
        <v>1.8</v>
      </c>
      <c r="E68">
        <v>100</v>
      </c>
      <c r="F68">
        <v>145.1</v>
      </c>
      <c r="G68">
        <v>1.8</v>
      </c>
      <c r="H68">
        <v>1.2</v>
      </c>
      <c r="I68">
        <v>0.9</v>
      </c>
      <c r="J68">
        <v>2.4022132537076799</v>
      </c>
      <c r="K68">
        <v>1500</v>
      </c>
      <c r="L68">
        <v>0</v>
      </c>
      <c r="N68">
        <v>13</v>
      </c>
      <c r="O68" s="60" t="s">
        <v>789</v>
      </c>
      <c r="P68" t="s">
        <v>785</v>
      </c>
      <c r="Q68" t="s">
        <v>1024</v>
      </c>
    </row>
    <row r="69" spans="1:17" x14ac:dyDescent="0.25">
      <c r="A69" t="s">
        <v>19</v>
      </c>
      <c r="B69">
        <v>100</v>
      </c>
      <c r="C69">
        <v>145.1</v>
      </c>
      <c r="D69">
        <v>1.8</v>
      </c>
      <c r="E69">
        <v>225</v>
      </c>
      <c r="F69">
        <v>145.1</v>
      </c>
      <c r="G69">
        <v>1.8</v>
      </c>
      <c r="H69">
        <v>1.2</v>
      </c>
      <c r="I69">
        <v>0.9</v>
      </c>
      <c r="J69">
        <v>56.126477890366417</v>
      </c>
      <c r="K69">
        <v>1500</v>
      </c>
      <c r="L69">
        <v>0</v>
      </c>
      <c r="N69">
        <v>13</v>
      </c>
      <c r="O69" s="60" t="s">
        <v>790</v>
      </c>
      <c r="P69" t="s">
        <v>779</v>
      </c>
      <c r="Q69" t="s">
        <v>1005</v>
      </c>
    </row>
    <row r="70" spans="1:17" x14ac:dyDescent="0.25">
      <c r="A70" t="s">
        <v>19</v>
      </c>
      <c r="B70">
        <v>225</v>
      </c>
      <c r="C70">
        <v>145.1</v>
      </c>
      <c r="D70">
        <v>1.8</v>
      </c>
      <c r="E70">
        <v>225</v>
      </c>
      <c r="F70">
        <v>146.44999999999999</v>
      </c>
      <c r="G70">
        <v>1.8</v>
      </c>
      <c r="H70">
        <v>1.2</v>
      </c>
      <c r="I70">
        <v>0.9</v>
      </c>
      <c r="J70">
        <v>0.60616596121595478</v>
      </c>
      <c r="K70">
        <v>1500</v>
      </c>
      <c r="L70">
        <v>0</v>
      </c>
      <c r="N70">
        <v>13</v>
      </c>
      <c r="O70" s="60" t="s">
        <v>791</v>
      </c>
      <c r="P70" t="s">
        <v>781</v>
      </c>
      <c r="Q70" t="s">
        <v>1025</v>
      </c>
    </row>
    <row r="71" spans="1:17" x14ac:dyDescent="0.25">
      <c r="A71" t="s">
        <v>19</v>
      </c>
      <c r="B71">
        <v>225</v>
      </c>
      <c r="C71">
        <v>146.44999999999999</v>
      </c>
      <c r="D71">
        <v>1.8</v>
      </c>
      <c r="E71">
        <v>100</v>
      </c>
      <c r="F71">
        <v>146.44999999999999</v>
      </c>
      <c r="G71">
        <v>1.8</v>
      </c>
      <c r="H71">
        <v>1.2</v>
      </c>
      <c r="I71">
        <v>0.9</v>
      </c>
      <c r="J71">
        <v>56.126477890366417</v>
      </c>
      <c r="K71">
        <v>1500</v>
      </c>
      <c r="L71">
        <v>0</v>
      </c>
      <c r="N71">
        <v>13</v>
      </c>
      <c r="O71" s="60" t="s">
        <v>792</v>
      </c>
      <c r="P71" t="s">
        <v>783</v>
      </c>
      <c r="Q71" t="s">
        <v>1003</v>
      </c>
    </row>
    <row r="72" spans="1:17" x14ac:dyDescent="0.25">
      <c r="A72" t="s">
        <v>19</v>
      </c>
      <c r="B72">
        <v>100</v>
      </c>
      <c r="C72">
        <v>146.44999999999999</v>
      </c>
      <c r="D72">
        <v>1.8</v>
      </c>
      <c r="E72">
        <v>100</v>
      </c>
      <c r="F72">
        <v>151.79999999999998</v>
      </c>
      <c r="G72">
        <v>1.8</v>
      </c>
      <c r="H72">
        <v>1.2</v>
      </c>
      <c r="I72">
        <v>0.9</v>
      </c>
      <c r="J72">
        <v>2.4022132537076799</v>
      </c>
      <c r="K72">
        <v>1500</v>
      </c>
      <c r="L72">
        <v>0</v>
      </c>
      <c r="N72">
        <v>13</v>
      </c>
      <c r="O72" s="60" t="s">
        <v>793</v>
      </c>
      <c r="P72" t="s">
        <v>785</v>
      </c>
      <c r="Q72" t="s">
        <v>1026</v>
      </c>
    </row>
    <row r="73" spans="1:17" x14ac:dyDescent="0.25">
      <c r="A73" t="s">
        <v>19</v>
      </c>
      <c r="B73">
        <v>100</v>
      </c>
      <c r="C73">
        <v>151.80000000000001</v>
      </c>
      <c r="D73">
        <v>1.8</v>
      </c>
      <c r="E73">
        <v>225</v>
      </c>
      <c r="F73">
        <v>151.80000000000001</v>
      </c>
      <c r="G73">
        <v>1.8</v>
      </c>
      <c r="H73">
        <v>1.2</v>
      </c>
      <c r="I73">
        <v>0.9</v>
      </c>
      <c r="J73">
        <v>56.126477890366417</v>
      </c>
      <c r="K73">
        <v>1500</v>
      </c>
      <c r="L73">
        <v>0</v>
      </c>
      <c r="N73">
        <v>13</v>
      </c>
      <c r="O73" s="60" t="s">
        <v>794</v>
      </c>
      <c r="P73" t="s">
        <v>779</v>
      </c>
      <c r="Q73" t="s">
        <v>1005</v>
      </c>
    </row>
    <row r="74" spans="1:17" x14ac:dyDescent="0.25">
      <c r="A74" t="s">
        <v>19</v>
      </c>
      <c r="B74">
        <v>225</v>
      </c>
      <c r="C74">
        <v>151.80000000000001</v>
      </c>
      <c r="D74">
        <v>1.8</v>
      </c>
      <c r="E74">
        <v>225</v>
      </c>
      <c r="F74">
        <v>153.15</v>
      </c>
      <c r="G74">
        <v>1.8</v>
      </c>
      <c r="H74">
        <v>1.2</v>
      </c>
      <c r="I74">
        <v>0.9</v>
      </c>
      <c r="J74">
        <v>0.60616596121595478</v>
      </c>
      <c r="K74">
        <v>1500</v>
      </c>
      <c r="L74">
        <v>0</v>
      </c>
      <c r="N74">
        <v>13</v>
      </c>
      <c r="O74" s="60" t="s">
        <v>795</v>
      </c>
      <c r="P74" t="s">
        <v>781</v>
      </c>
      <c r="Q74" t="s">
        <v>1027</v>
      </c>
    </row>
    <row r="75" spans="1:17" x14ac:dyDescent="0.25">
      <c r="A75" t="s">
        <v>19</v>
      </c>
      <c r="B75">
        <v>225</v>
      </c>
      <c r="C75">
        <v>153.15</v>
      </c>
      <c r="D75">
        <v>1.8</v>
      </c>
      <c r="E75">
        <v>100</v>
      </c>
      <c r="F75">
        <v>153.15</v>
      </c>
      <c r="G75">
        <v>1.8</v>
      </c>
      <c r="H75">
        <v>1.2</v>
      </c>
      <c r="I75">
        <v>0.9</v>
      </c>
      <c r="J75">
        <v>56.126477890366417</v>
      </c>
      <c r="K75">
        <v>1500</v>
      </c>
      <c r="L75">
        <v>0</v>
      </c>
      <c r="N75">
        <v>13</v>
      </c>
      <c r="O75" s="60" t="s">
        <v>796</v>
      </c>
      <c r="P75" t="s">
        <v>783</v>
      </c>
      <c r="Q75" t="s">
        <v>1003</v>
      </c>
    </row>
    <row r="76" spans="1:17" x14ac:dyDescent="0.25">
      <c r="A76" t="s">
        <v>19</v>
      </c>
      <c r="B76">
        <v>100</v>
      </c>
      <c r="C76">
        <v>153.15</v>
      </c>
      <c r="D76">
        <v>1.8</v>
      </c>
      <c r="E76">
        <v>100</v>
      </c>
      <c r="F76">
        <v>158.5</v>
      </c>
      <c r="G76">
        <v>1.8</v>
      </c>
      <c r="H76">
        <v>1.2</v>
      </c>
      <c r="I76">
        <v>0.9</v>
      </c>
      <c r="J76">
        <v>2.4022132537076799</v>
      </c>
      <c r="K76">
        <v>1500</v>
      </c>
      <c r="L76">
        <v>0</v>
      </c>
      <c r="N76">
        <v>13</v>
      </c>
      <c r="O76" s="60" t="s">
        <v>797</v>
      </c>
      <c r="P76" t="s">
        <v>785</v>
      </c>
      <c r="Q76" t="s">
        <v>1028</v>
      </c>
    </row>
    <row r="77" spans="1:17" x14ac:dyDescent="0.25">
      <c r="A77" t="s">
        <v>19</v>
      </c>
      <c r="B77">
        <v>100</v>
      </c>
      <c r="C77">
        <v>158.5</v>
      </c>
      <c r="D77">
        <v>1.8</v>
      </c>
      <c r="E77">
        <v>225</v>
      </c>
      <c r="F77">
        <v>158.5</v>
      </c>
      <c r="G77">
        <v>1.8</v>
      </c>
      <c r="H77">
        <v>1.2</v>
      </c>
      <c r="I77">
        <v>0.9</v>
      </c>
      <c r="J77">
        <v>56.126477890366417</v>
      </c>
      <c r="K77">
        <v>1500</v>
      </c>
      <c r="L77">
        <v>0</v>
      </c>
      <c r="N77">
        <v>13</v>
      </c>
      <c r="O77" s="60" t="s">
        <v>798</v>
      </c>
      <c r="P77" t="s">
        <v>779</v>
      </c>
      <c r="Q77" t="s">
        <v>1005</v>
      </c>
    </row>
    <row r="78" spans="1:17" x14ac:dyDescent="0.25">
      <c r="A78" t="s">
        <v>19</v>
      </c>
      <c r="B78">
        <v>225</v>
      </c>
      <c r="C78">
        <v>158.5</v>
      </c>
      <c r="D78">
        <v>1.8</v>
      </c>
      <c r="E78">
        <v>225</v>
      </c>
      <c r="F78">
        <v>159.85</v>
      </c>
      <c r="G78">
        <v>1.8</v>
      </c>
      <c r="H78">
        <v>1.2</v>
      </c>
      <c r="I78">
        <v>0.9</v>
      </c>
      <c r="J78">
        <v>0.60616596121595478</v>
      </c>
      <c r="K78">
        <v>1500</v>
      </c>
      <c r="L78">
        <v>0</v>
      </c>
      <c r="N78">
        <v>13</v>
      </c>
      <c r="O78" s="60" t="s">
        <v>799</v>
      </c>
      <c r="P78" t="s">
        <v>781</v>
      </c>
      <c r="Q78" t="s">
        <v>1029</v>
      </c>
    </row>
    <row r="79" spans="1:17" x14ac:dyDescent="0.25">
      <c r="A79" t="s">
        <v>19</v>
      </c>
      <c r="B79">
        <v>225</v>
      </c>
      <c r="C79">
        <v>159.85</v>
      </c>
      <c r="D79">
        <v>1.8</v>
      </c>
      <c r="E79">
        <v>100</v>
      </c>
      <c r="F79">
        <v>159.85</v>
      </c>
      <c r="G79">
        <v>1.8</v>
      </c>
      <c r="H79">
        <v>1.2</v>
      </c>
      <c r="I79">
        <v>0.9</v>
      </c>
      <c r="J79">
        <v>56.126477890366417</v>
      </c>
      <c r="K79">
        <v>1500</v>
      </c>
      <c r="L79">
        <v>0</v>
      </c>
      <c r="N79">
        <v>13</v>
      </c>
      <c r="O79" s="60" t="s">
        <v>800</v>
      </c>
      <c r="P79" t="s">
        <v>783</v>
      </c>
      <c r="Q79" t="s">
        <v>1003</v>
      </c>
    </row>
    <row r="80" spans="1:17" x14ac:dyDescent="0.25">
      <c r="A80" t="s">
        <v>19</v>
      </c>
      <c r="B80">
        <v>100</v>
      </c>
      <c r="C80">
        <v>159.85</v>
      </c>
      <c r="D80">
        <v>1.8</v>
      </c>
      <c r="E80">
        <v>100</v>
      </c>
      <c r="F80">
        <v>165.2</v>
      </c>
      <c r="G80">
        <v>1.8</v>
      </c>
      <c r="H80">
        <v>1.2</v>
      </c>
      <c r="I80">
        <v>0.9</v>
      </c>
      <c r="J80">
        <v>2.4022132537076799</v>
      </c>
      <c r="K80">
        <v>1500</v>
      </c>
      <c r="L80">
        <v>0</v>
      </c>
      <c r="N80">
        <v>13</v>
      </c>
      <c r="O80" s="60" t="s">
        <v>801</v>
      </c>
      <c r="P80" t="s">
        <v>785</v>
      </c>
      <c r="Q80" t="s">
        <v>1030</v>
      </c>
    </row>
    <row r="81" spans="1:17" x14ac:dyDescent="0.25">
      <c r="A81" t="s">
        <v>39</v>
      </c>
      <c r="B81">
        <v>-1.25</v>
      </c>
      <c r="C81">
        <v>2100</v>
      </c>
      <c r="N81">
        <v>13</v>
      </c>
      <c r="O81" s="60" t="s">
        <v>802</v>
      </c>
      <c r="P81" t="s">
        <v>803</v>
      </c>
      <c r="Q81" t="s">
        <v>697</v>
      </c>
    </row>
    <row r="82" spans="1:17" x14ac:dyDescent="0.25">
      <c r="A82" t="s">
        <v>659</v>
      </c>
      <c r="B82">
        <v>0.9</v>
      </c>
      <c r="C82">
        <v>10000</v>
      </c>
      <c r="N82">
        <v>13</v>
      </c>
      <c r="O82" s="60" t="s">
        <v>802</v>
      </c>
      <c r="P82" t="s">
        <v>803</v>
      </c>
      <c r="Q82" t="s">
        <v>726</v>
      </c>
    </row>
    <row r="83" spans="1:17" x14ac:dyDescent="0.25">
      <c r="A83" t="s">
        <v>23</v>
      </c>
      <c r="B83">
        <v>100</v>
      </c>
      <c r="C83">
        <v>165.2</v>
      </c>
      <c r="D83">
        <v>1.8</v>
      </c>
      <c r="E83">
        <v>100</v>
      </c>
      <c r="F83">
        <v>165.2</v>
      </c>
      <c r="G83">
        <v>2.7</v>
      </c>
      <c r="H83">
        <v>0</v>
      </c>
      <c r="I83">
        <v>0</v>
      </c>
      <c r="K83">
        <v>48000</v>
      </c>
      <c r="N83">
        <v>0</v>
      </c>
      <c r="O83" s="60">
        <v>0</v>
      </c>
      <c r="P83" t="s">
        <v>660</v>
      </c>
      <c r="Q83" t="s">
        <v>804</v>
      </c>
    </row>
    <row r="84" spans="1:17" x14ac:dyDescent="0.25">
      <c r="A84" t="s">
        <v>19</v>
      </c>
      <c r="B84">
        <v>100</v>
      </c>
      <c r="C84">
        <v>165.2</v>
      </c>
      <c r="D84">
        <v>2.7</v>
      </c>
      <c r="E84">
        <v>100</v>
      </c>
      <c r="F84">
        <v>159.85</v>
      </c>
      <c r="G84">
        <v>2.7</v>
      </c>
      <c r="H84">
        <v>1.2</v>
      </c>
      <c r="I84">
        <v>0.9</v>
      </c>
      <c r="J84">
        <v>2.4022132537076799</v>
      </c>
      <c r="K84">
        <v>1500</v>
      </c>
      <c r="L84">
        <v>0</v>
      </c>
      <c r="N84">
        <v>13</v>
      </c>
      <c r="O84" s="60" t="s">
        <v>805</v>
      </c>
      <c r="P84" t="s">
        <v>806</v>
      </c>
      <c r="Q84" t="s">
        <v>1039</v>
      </c>
    </row>
    <row r="85" spans="1:17" x14ac:dyDescent="0.25">
      <c r="A85" t="s">
        <v>19</v>
      </c>
      <c r="B85">
        <v>100</v>
      </c>
      <c r="C85">
        <v>159.85</v>
      </c>
      <c r="D85">
        <v>2.7</v>
      </c>
      <c r="E85">
        <v>225</v>
      </c>
      <c r="F85">
        <v>159.85</v>
      </c>
      <c r="G85">
        <v>2.7</v>
      </c>
      <c r="H85">
        <v>1.2</v>
      </c>
      <c r="I85">
        <v>0.9</v>
      </c>
      <c r="J85">
        <v>56.126477890366417</v>
      </c>
      <c r="K85">
        <v>1500</v>
      </c>
      <c r="L85">
        <v>0</v>
      </c>
      <c r="N85">
        <v>13</v>
      </c>
      <c r="O85" s="60" t="s">
        <v>807</v>
      </c>
      <c r="P85" t="s">
        <v>808</v>
      </c>
      <c r="Q85" t="s">
        <v>1005</v>
      </c>
    </row>
    <row r="86" spans="1:17" x14ac:dyDescent="0.25">
      <c r="A86" t="s">
        <v>19</v>
      </c>
      <c r="B86">
        <v>225</v>
      </c>
      <c r="C86">
        <v>159.85</v>
      </c>
      <c r="D86">
        <v>2.7</v>
      </c>
      <c r="E86">
        <v>225</v>
      </c>
      <c r="F86">
        <v>158.5</v>
      </c>
      <c r="G86">
        <v>2.7</v>
      </c>
      <c r="H86">
        <v>1.2</v>
      </c>
      <c r="I86">
        <v>0.9</v>
      </c>
      <c r="J86">
        <v>0.60616596121595478</v>
      </c>
      <c r="K86">
        <v>1500</v>
      </c>
      <c r="L86">
        <v>0</v>
      </c>
      <c r="N86">
        <v>13</v>
      </c>
      <c r="O86" s="60" t="s">
        <v>809</v>
      </c>
      <c r="P86" t="s">
        <v>810</v>
      </c>
      <c r="Q86" t="s">
        <v>1017</v>
      </c>
    </row>
    <row r="87" spans="1:17" x14ac:dyDescent="0.25">
      <c r="A87" t="s">
        <v>19</v>
      </c>
      <c r="B87">
        <v>225</v>
      </c>
      <c r="C87">
        <v>158.5</v>
      </c>
      <c r="D87">
        <v>2.7</v>
      </c>
      <c r="E87">
        <v>100</v>
      </c>
      <c r="F87">
        <v>158.5</v>
      </c>
      <c r="G87">
        <v>2.7</v>
      </c>
      <c r="H87">
        <v>1.2</v>
      </c>
      <c r="I87">
        <v>0.9</v>
      </c>
      <c r="J87">
        <v>56.126477890366417</v>
      </c>
      <c r="K87">
        <v>1500</v>
      </c>
      <c r="L87">
        <v>0</v>
      </c>
      <c r="N87">
        <v>13</v>
      </c>
      <c r="O87" s="60" t="s">
        <v>811</v>
      </c>
      <c r="P87" t="s">
        <v>812</v>
      </c>
      <c r="Q87" t="s">
        <v>1003</v>
      </c>
    </row>
    <row r="88" spans="1:17" x14ac:dyDescent="0.25">
      <c r="A88" t="s">
        <v>19</v>
      </c>
      <c r="B88">
        <v>100</v>
      </c>
      <c r="C88">
        <v>158.5</v>
      </c>
      <c r="D88">
        <v>2.7</v>
      </c>
      <c r="E88">
        <v>100</v>
      </c>
      <c r="F88">
        <v>153.15</v>
      </c>
      <c r="G88">
        <v>2.7</v>
      </c>
      <c r="H88">
        <v>1.2</v>
      </c>
      <c r="I88">
        <v>0.9</v>
      </c>
      <c r="J88">
        <v>2.4022132537076799</v>
      </c>
      <c r="K88">
        <v>1500</v>
      </c>
      <c r="L88">
        <v>0</v>
      </c>
      <c r="N88">
        <v>13</v>
      </c>
      <c r="O88" s="60" t="s">
        <v>813</v>
      </c>
      <c r="P88" t="s">
        <v>814</v>
      </c>
      <c r="Q88" t="s">
        <v>1033</v>
      </c>
    </row>
    <row r="89" spans="1:17" x14ac:dyDescent="0.25">
      <c r="A89" t="s">
        <v>19</v>
      </c>
      <c r="B89">
        <v>100</v>
      </c>
      <c r="C89">
        <v>153.15</v>
      </c>
      <c r="D89">
        <v>2.7</v>
      </c>
      <c r="E89">
        <v>225</v>
      </c>
      <c r="F89">
        <v>153.15</v>
      </c>
      <c r="G89">
        <v>2.7</v>
      </c>
      <c r="H89">
        <v>1.2</v>
      </c>
      <c r="I89">
        <v>0.9</v>
      </c>
      <c r="J89">
        <v>56.126477890366417</v>
      </c>
      <c r="K89">
        <v>1500</v>
      </c>
      <c r="L89">
        <v>0</v>
      </c>
      <c r="N89">
        <v>13</v>
      </c>
      <c r="O89" s="60" t="s">
        <v>815</v>
      </c>
      <c r="P89" t="s">
        <v>816</v>
      </c>
      <c r="Q89" t="s">
        <v>1005</v>
      </c>
    </row>
    <row r="90" spans="1:17" x14ac:dyDescent="0.25">
      <c r="A90" t="s">
        <v>19</v>
      </c>
      <c r="B90">
        <v>225</v>
      </c>
      <c r="C90">
        <v>153.15</v>
      </c>
      <c r="D90">
        <v>2.7</v>
      </c>
      <c r="E90">
        <v>225</v>
      </c>
      <c r="F90">
        <v>151.80000000000001</v>
      </c>
      <c r="G90">
        <v>2.7</v>
      </c>
      <c r="H90">
        <v>1.2</v>
      </c>
      <c r="I90">
        <v>0.9</v>
      </c>
      <c r="J90">
        <v>0.60616596121595478</v>
      </c>
      <c r="K90">
        <v>1500</v>
      </c>
      <c r="L90">
        <v>0</v>
      </c>
      <c r="N90">
        <v>13</v>
      </c>
      <c r="O90" s="60" t="s">
        <v>817</v>
      </c>
      <c r="P90" t="s">
        <v>818</v>
      </c>
      <c r="Q90" t="s">
        <v>1018</v>
      </c>
    </row>
    <row r="91" spans="1:17" x14ac:dyDescent="0.25">
      <c r="A91" t="s">
        <v>19</v>
      </c>
      <c r="B91">
        <v>225</v>
      </c>
      <c r="C91">
        <v>151.80000000000001</v>
      </c>
      <c r="D91">
        <v>2.7</v>
      </c>
      <c r="E91">
        <v>100</v>
      </c>
      <c r="F91">
        <v>151.80000000000001</v>
      </c>
      <c r="G91">
        <v>2.7</v>
      </c>
      <c r="H91">
        <v>1.2</v>
      </c>
      <c r="I91">
        <v>0.9</v>
      </c>
      <c r="J91">
        <v>56.126477890366417</v>
      </c>
      <c r="K91">
        <v>1500</v>
      </c>
      <c r="L91">
        <v>0</v>
      </c>
      <c r="N91">
        <v>13</v>
      </c>
      <c r="O91" s="60" t="s">
        <v>819</v>
      </c>
      <c r="P91" t="s">
        <v>820</v>
      </c>
      <c r="Q91" t="s">
        <v>1003</v>
      </c>
    </row>
    <row r="92" spans="1:17" x14ac:dyDescent="0.25">
      <c r="A92" t="s">
        <v>19</v>
      </c>
      <c r="B92">
        <v>100</v>
      </c>
      <c r="C92">
        <v>151.79999999999998</v>
      </c>
      <c r="D92">
        <v>2.7</v>
      </c>
      <c r="E92">
        <v>100</v>
      </c>
      <c r="F92">
        <v>146.44999999999999</v>
      </c>
      <c r="G92">
        <v>2.7</v>
      </c>
      <c r="H92">
        <v>1.2</v>
      </c>
      <c r="I92">
        <v>0.9</v>
      </c>
      <c r="J92">
        <v>2.4022132537076799</v>
      </c>
      <c r="K92">
        <v>1500</v>
      </c>
      <c r="L92">
        <v>0</v>
      </c>
      <c r="N92">
        <v>13</v>
      </c>
      <c r="O92" s="60" t="s">
        <v>821</v>
      </c>
      <c r="P92" t="s">
        <v>814</v>
      </c>
      <c r="Q92" t="s">
        <v>1034</v>
      </c>
    </row>
    <row r="93" spans="1:17" x14ac:dyDescent="0.25">
      <c r="A93" t="s">
        <v>19</v>
      </c>
      <c r="B93">
        <v>100</v>
      </c>
      <c r="C93">
        <v>146.44999999999999</v>
      </c>
      <c r="D93">
        <v>2.7</v>
      </c>
      <c r="E93">
        <v>225</v>
      </c>
      <c r="F93">
        <v>146.44999999999999</v>
      </c>
      <c r="G93">
        <v>2.7</v>
      </c>
      <c r="H93">
        <v>1.2</v>
      </c>
      <c r="I93">
        <v>0.9</v>
      </c>
      <c r="J93">
        <v>56.126477890366417</v>
      </c>
      <c r="K93">
        <v>1500</v>
      </c>
      <c r="L93">
        <v>0</v>
      </c>
      <c r="N93">
        <v>13</v>
      </c>
      <c r="O93" s="60" t="s">
        <v>822</v>
      </c>
      <c r="P93" t="s">
        <v>816</v>
      </c>
      <c r="Q93" t="s">
        <v>1005</v>
      </c>
    </row>
    <row r="94" spans="1:17" x14ac:dyDescent="0.25">
      <c r="A94" t="s">
        <v>19</v>
      </c>
      <c r="B94">
        <v>225</v>
      </c>
      <c r="C94">
        <v>146.44999999999999</v>
      </c>
      <c r="D94">
        <v>2.7</v>
      </c>
      <c r="E94">
        <v>225</v>
      </c>
      <c r="F94">
        <v>145.1</v>
      </c>
      <c r="G94">
        <v>2.7</v>
      </c>
      <c r="H94">
        <v>1.2</v>
      </c>
      <c r="I94">
        <v>0.9</v>
      </c>
      <c r="J94">
        <v>0.60616596121595478</v>
      </c>
      <c r="K94">
        <v>1500</v>
      </c>
      <c r="L94">
        <v>0</v>
      </c>
      <c r="N94">
        <v>13</v>
      </c>
      <c r="O94" s="60" t="s">
        <v>823</v>
      </c>
      <c r="P94" t="s">
        <v>818</v>
      </c>
      <c r="Q94" t="s">
        <v>1019</v>
      </c>
    </row>
    <row r="95" spans="1:17" x14ac:dyDescent="0.25">
      <c r="A95" t="s">
        <v>19</v>
      </c>
      <c r="B95">
        <v>225</v>
      </c>
      <c r="C95">
        <v>145.1</v>
      </c>
      <c r="D95">
        <v>2.7</v>
      </c>
      <c r="E95">
        <v>100</v>
      </c>
      <c r="F95">
        <v>145.1</v>
      </c>
      <c r="G95">
        <v>2.7</v>
      </c>
      <c r="H95">
        <v>1.2</v>
      </c>
      <c r="I95">
        <v>0.9</v>
      </c>
      <c r="J95">
        <v>56.126477890366417</v>
      </c>
      <c r="K95">
        <v>1500</v>
      </c>
      <c r="L95">
        <v>0</v>
      </c>
      <c r="N95">
        <v>13</v>
      </c>
      <c r="O95" s="60" t="s">
        <v>824</v>
      </c>
      <c r="P95" t="s">
        <v>820</v>
      </c>
      <c r="Q95" t="s">
        <v>1003</v>
      </c>
    </row>
    <row r="96" spans="1:17" x14ac:dyDescent="0.25">
      <c r="A96" t="s">
        <v>19</v>
      </c>
      <c r="B96">
        <v>100</v>
      </c>
      <c r="C96">
        <v>145.1</v>
      </c>
      <c r="D96">
        <v>2.7</v>
      </c>
      <c r="E96">
        <v>100</v>
      </c>
      <c r="F96">
        <v>139.75</v>
      </c>
      <c r="G96">
        <v>2.7</v>
      </c>
      <c r="H96">
        <v>1.2</v>
      </c>
      <c r="I96">
        <v>0.9</v>
      </c>
      <c r="J96">
        <v>2.4022132537076799</v>
      </c>
      <c r="K96">
        <v>1500</v>
      </c>
      <c r="L96">
        <v>0</v>
      </c>
      <c r="N96">
        <v>13</v>
      </c>
      <c r="O96" s="60" t="s">
        <v>825</v>
      </c>
      <c r="P96" t="s">
        <v>814</v>
      </c>
      <c r="Q96" t="s">
        <v>1035</v>
      </c>
    </row>
    <row r="97" spans="1:17" x14ac:dyDescent="0.25">
      <c r="A97" t="s">
        <v>19</v>
      </c>
      <c r="B97">
        <v>100</v>
      </c>
      <c r="C97">
        <v>139.75</v>
      </c>
      <c r="D97">
        <v>2.7</v>
      </c>
      <c r="E97">
        <v>225</v>
      </c>
      <c r="F97">
        <v>139.75</v>
      </c>
      <c r="G97">
        <v>2.7</v>
      </c>
      <c r="H97">
        <v>1.2</v>
      </c>
      <c r="I97">
        <v>0.9</v>
      </c>
      <c r="J97">
        <v>56.126477890366417</v>
      </c>
      <c r="K97">
        <v>1500</v>
      </c>
      <c r="L97">
        <v>0</v>
      </c>
      <c r="N97">
        <v>13</v>
      </c>
      <c r="O97" s="60" t="s">
        <v>826</v>
      </c>
      <c r="P97" t="s">
        <v>816</v>
      </c>
      <c r="Q97" t="s">
        <v>1005</v>
      </c>
    </row>
    <row r="98" spans="1:17" x14ac:dyDescent="0.25">
      <c r="A98" t="s">
        <v>19</v>
      </c>
      <c r="B98">
        <v>225</v>
      </c>
      <c r="C98">
        <v>139.75</v>
      </c>
      <c r="D98">
        <v>2.7</v>
      </c>
      <c r="E98">
        <v>225</v>
      </c>
      <c r="F98">
        <v>138.4</v>
      </c>
      <c r="G98">
        <v>2.7</v>
      </c>
      <c r="H98">
        <v>1.2</v>
      </c>
      <c r="I98">
        <v>0.9</v>
      </c>
      <c r="J98">
        <v>0.60616596121595478</v>
      </c>
      <c r="K98">
        <v>1500</v>
      </c>
      <c r="L98">
        <v>0</v>
      </c>
      <c r="N98">
        <v>13</v>
      </c>
      <c r="O98" s="60" t="s">
        <v>827</v>
      </c>
      <c r="P98" t="s">
        <v>818</v>
      </c>
      <c r="Q98" t="s">
        <v>1020</v>
      </c>
    </row>
    <row r="99" spans="1:17" x14ac:dyDescent="0.25">
      <c r="A99" t="s">
        <v>19</v>
      </c>
      <c r="B99">
        <v>225</v>
      </c>
      <c r="C99">
        <v>138.4</v>
      </c>
      <c r="D99">
        <v>2.7</v>
      </c>
      <c r="E99">
        <v>100</v>
      </c>
      <c r="F99">
        <v>138.4</v>
      </c>
      <c r="G99">
        <v>2.7</v>
      </c>
      <c r="H99">
        <v>1.2</v>
      </c>
      <c r="I99">
        <v>0.9</v>
      </c>
      <c r="J99">
        <v>56.126477890366417</v>
      </c>
      <c r="K99">
        <v>1500</v>
      </c>
      <c r="L99">
        <v>0</v>
      </c>
      <c r="N99">
        <v>13</v>
      </c>
      <c r="O99" s="60" t="s">
        <v>828</v>
      </c>
      <c r="P99" t="s">
        <v>820</v>
      </c>
      <c r="Q99" t="s">
        <v>1003</v>
      </c>
    </row>
    <row r="100" spans="1:17" x14ac:dyDescent="0.25">
      <c r="A100" t="s">
        <v>19</v>
      </c>
      <c r="B100">
        <v>100</v>
      </c>
      <c r="C100">
        <v>138.39999999999998</v>
      </c>
      <c r="D100">
        <v>2.7</v>
      </c>
      <c r="E100">
        <v>100</v>
      </c>
      <c r="F100">
        <v>133.04999999999998</v>
      </c>
      <c r="G100">
        <v>2.7</v>
      </c>
      <c r="H100">
        <v>1.2</v>
      </c>
      <c r="I100">
        <v>0.9</v>
      </c>
      <c r="J100">
        <v>2.4022132537076799</v>
      </c>
      <c r="K100">
        <v>1500</v>
      </c>
      <c r="L100">
        <v>0</v>
      </c>
      <c r="N100">
        <v>13</v>
      </c>
      <c r="O100" s="60" t="s">
        <v>829</v>
      </c>
      <c r="P100" t="s">
        <v>814</v>
      </c>
      <c r="Q100" t="s">
        <v>1036</v>
      </c>
    </row>
    <row r="101" spans="1:17" x14ac:dyDescent="0.25">
      <c r="A101" t="s">
        <v>19</v>
      </c>
      <c r="B101">
        <v>100</v>
      </c>
      <c r="C101">
        <v>133.04999999999998</v>
      </c>
      <c r="D101">
        <v>2.7</v>
      </c>
      <c r="E101">
        <v>225</v>
      </c>
      <c r="F101">
        <v>133.04999999999998</v>
      </c>
      <c r="G101">
        <v>2.7</v>
      </c>
      <c r="H101">
        <v>1.2</v>
      </c>
      <c r="I101">
        <v>0.9</v>
      </c>
      <c r="J101">
        <v>56.126477890366417</v>
      </c>
      <c r="K101">
        <v>1500</v>
      </c>
      <c r="L101">
        <v>0</v>
      </c>
      <c r="N101">
        <v>13</v>
      </c>
      <c r="O101" s="60" t="s">
        <v>830</v>
      </c>
      <c r="P101" t="s">
        <v>816</v>
      </c>
      <c r="Q101" t="s">
        <v>1005</v>
      </c>
    </row>
    <row r="102" spans="1:17" x14ac:dyDescent="0.25">
      <c r="A102" t="s">
        <v>19</v>
      </c>
      <c r="B102">
        <v>225</v>
      </c>
      <c r="C102">
        <v>133.04999999999998</v>
      </c>
      <c r="D102">
        <v>2.7</v>
      </c>
      <c r="E102">
        <v>225</v>
      </c>
      <c r="F102">
        <v>131.69999999999999</v>
      </c>
      <c r="G102">
        <v>2.7</v>
      </c>
      <c r="H102">
        <v>1.2</v>
      </c>
      <c r="I102">
        <v>0.9</v>
      </c>
      <c r="J102">
        <v>0.60616596121595478</v>
      </c>
      <c r="K102">
        <v>1500</v>
      </c>
      <c r="L102">
        <v>0</v>
      </c>
      <c r="N102">
        <v>13</v>
      </c>
      <c r="O102" s="60" t="s">
        <v>831</v>
      </c>
      <c r="P102" t="s">
        <v>818</v>
      </c>
      <c r="Q102" t="s">
        <v>731</v>
      </c>
    </row>
    <row r="103" spans="1:17" x14ac:dyDescent="0.25">
      <c r="A103" t="s">
        <v>19</v>
      </c>
      <c r="B103">
        <v>225</v>
      </c>
      <c r="C103">
        <v>131.69999999999999</v>
      </c>
      <c r="D103">
        <v>2.7</v>
      </c>
      <c r="E103">
        <v>100</v>
      </c>
      <c r="F103">
        <v>131.69999999999999</v>
      </c>
      <c r="G103">
        <v>2.7</v>
      </c>
      <c r="H103">
        <v>1.2</v>
      </c>
      <c r="I103">
        <v>0.9</v>
      </c>
      <c r="J103">
        <v>56.126477890366417</v>
      </c>
      <c r="K103">
        <v>1500</v>
      </c>
      <c r="L103">
        <v>0</v>
      </c>
      <c r="N103">
        <v>13</v>
      </c>
      <c r="O103" s="60" t="s">
        <v>832</v>
      </c>
      <c r="P103" t="s">
        <v>820</v>
      </c>
      <c r="Q103" t="s">
        <v>1003</v>
      </c>
    </row>
    <row r="104" spans="1:17" x14ac:dyDescent="0.25">
      <c r="A104" t="s">
        <v>19</v>
      </c>
      <c r="B104">
        <v>100</v>
      </c>
      <c r="C104">
        <v>131.69999999999999</v>
      </c>
      <c r="D104">
        <v>2.7</v>
      </c>
      <c r="E104">
        <v>100</v>
      </c>
      <c r="F104">
        <v>126.35</v>
      </c>
      <c r="G104">
        <v>2.7</v>
      </c>
      <c r="H104">
        <v>1.2</v>
      </c>
      <c r="I104">
        <v>0.9</v>
      </c>
      <c r="J104">
        <v>2.4022132537076799</v>
      </c>
      <c r="K104">
        <v>1500</v>
      </c>
      <c r="L104">
        <v>0</v>
      </c>
      <c r="N104">
        <v>13</v>
      </c>
      <c r="O104" s="60" t="s">
        <v>833</v>
      </c>
      <c r="P104" t="s">
        <v>814</v>
      </c>
      <c r="Q104" t="s">
        <v>1037</v>
      </c>
    </row>
    <row r="105" spans="1:17" x14ac:dyDescent="0.25">
      <c r="A105" t="s">
        <v>19</v>
      </c>
      <c r="B105">
        <v>100</v>
      </c>
      <c r="C105">
        <v>126.35</v>
      </c>
      <c r="D105">
        <v>2.7</v>
      </c>
      <c r="E105">
        <v>225</v>
      </c>
      <c r="F105">
        <v>126.35</v>
      </c>
      <c r="G105">
        <v>2.7</v>
      </c>
      <c r="H105">
        <v>1.2</v>
      </c>
      <c r="I105">
        <v>0.9</v>
      </c>
      <c r="J105">
        <v>56.126477890366417</v>
      </c>
      <c r="K105">
        <v>1500</v>
      </c>
      <c r="L105">
        <v>0</v>
      </c>
      <c r="N105">
        <v>13</v>
      </c>
      <c r="O105" s="60" t="s">
        <v>834</v>
      </c>
      <c r="P105" t="s">
        <v>816</v>
      </c>
      <c r="Q105" t="s">
        <v>1005</v>
      </c>
    </row>
    <row r="106" spans="1:17" x14ac:dyDescent="0.25">
      <c r="A106" t="s">
        <v>19</v>
      </c>
      <c r="B106">
        <v>225</v>
      </c>
      <c r="C106">
        <v>126.35</v>
      </c>
      <c r="D106">
        <v>2.7</v>
      </c>
      <c r="E106">
        <v>225</v>
      </c>
      <c r="F106">
        <v>125</v>
      </c>
      <c r="G106">
        <v>2.7</v>
      </c>
      <c r="H106">
        <v>1.2</v>
      </c>
      <c r="I106">
        <v>0.9</v>
      </c>
      <c r="J106">
        <v>0.60616596121595478</v>
      </c>
      <c r="K106">
        <v>1500</v>
      </c>
      <c r="L106">
        <v>0</v>
      </c>
      <c r="N106">
        <v>13</v>
      </c>
      <c r="O106" s="60" t="s">
        <v>835</v>
      </c>
      <c r="P106" t="s">
        <v>818</v>
      </c>
      <c r="Q106" t="s">
        <v>997</v>
      </c>
    </row>
    <row r="107" spans="1:17" x14ac:dyDescent="0.25">
      <c r="A107" t="s">
        <v>19</v>
      </c>
      <c r="B107">
        <v>225</v>
      </c>
      <c r="C107">
        <v>125</v>
      </c>
      <c r="D107">
        <v>2.7</v>
      </c>
      <c r="E107">
        <v>100</v>
      </c>
      <c r="F107">
        <v>125</v>
      </c>
      <c r="G107">
        <v>2.7</v>
      </c>
      <c r="H107">
        <v>1.2</v>
      </c>
      <c r="I107">
        <v>0.9</v>
      </c>
      <c r="J107">
        <v>56.126477890366417</v>
      </c>
      <c r="K107">
        <v>1500</v>
      </c>
      <c r="L107">
        <v>0</v>
      </c>
      <c r="N107">
        <v>13</v>
      </c>
      <c r="O107" s="60" t="s">
        <v>836</v>
      </c>
      <c r="P107" t="s">
        <v>820</v>
      </c>
      <c r="Q107" t="s">
        <v>1003</v>
      </c>
    </row>
    <row r="108" spans="1:17" x14ac:dyDescent="0.25">
      <c r="A108" t="s">
        <v>39</v>
      </c>
      <c r="B108">
        <v>-1.25</v>
      </c>
      <c r="C108">
        <v>2100</v>
      </c>
      <c r="N108">
        <v>13</v>
      </c>
      <c r="O108" s="60" t="s">
        <v>837</v>
      </c>
      <c r="P108" t="s">
        <v>838</v>
      </c>
      <c r="Q108" t="s">
        <v>697</v>
      </c>
    </row>
    <row r="109" spans="1:17" x14ac:dyDescent="0.25">
      <c r="A109" t="s">
        <v>659</v>
      </c>
      <c r="B109">
        <v>0.9</v>
      </c>
      <c r="C109">
        <v>10000</v>
      </c>
      <c r="N109">
        <v>13</v>
      </c>
      <c r="O109" s="60" t="s">
        <v>837</v>
      </c>
      <c r="P109" t="s">
        <v>838</v>
      </c>
      <c r="Q109" t="s">
        <v>680</v>
      </c>
    </row>
    <row r="110" spans="1:17" x14ac:dyDescent="0.25">
      <c r="A110" t="s">
        <v>23</v>
      </c>
      <c r="B110">
        <v>100</v>
      </c>
      <c r="C110">
        <v>125</v>
      </c>
      <c r="D110">
        <v>2.7</v>
      </c>
      <c r="E110">
        <v>100</v>
      </c>
      <c r="F110">
        <v>125</v>
      </c>
      <c r="G110">
        <v>3.6</v>
      </c>
      <c r="H110">
        <v>0</v>
      </c>
      <c r="I110">
        <v>0</v>
      </c>
      <c r="K110">
        <v>48000</v>
      </c>
      <c r="N110">
        <v>0</v>
      </c>
      <c r="O110" s="60">
        <v>0</v>
      </c>
      <c r="P110" t="s">
        <v>660</v>
      </c>
      <c r="Q110" t="s">
        <v>993</v>
      </c>
    </row>
    <row r="111" spans="1:17" x14ac:dyDescent="0.25">
      <c r="A111" t="s">
        <v>19</v>
      </c>
      <c r="B111">
        <v>100</v>
      </c>
      <c r="C111">
        <v>125</v>
      </c>
      <c r="D111">
        <v>3.6</v>
      </c>
      <c r="E111">
        <v>225</v>
      </c>
      <c r="F111">
        <v>125</v>
      </c>
      <c r="G111">
        <v>3.6</v>
      </c>
      <c r="H111">
        <v>1.2</v>
      </c>
      <c r="I111">
        <v>0.9</v>
      </c>
      <c r="J111">
        <v>56.126477890366417</v>
      </c>
      <c r="K111">
        <v>1500</v>
      </c>
      <c r="L111">
        <v>0</v>
      </c>
      <c r="N111">
        <v>13</v>
      </c>
      <c r="O111" s="60" t="s">
        <v>839</v>
      </c>
      <c r="P111" t="s">
        <v>771</v>
      </c>
      <c r="Q111" t="s">
        <v>1004</v>
      </c>
    </row>
    <row r="112" spans="1:17" x14ac:dyDescent="0.25">
      <c r="A112" t="s">
        <v>19</v>
      </c>
      <c r="B112">
        <v>225</v>
      </c>
      <c r="C112">
        <v>125</v>
      </c>
      <c r="D112">
        <v>3.6</v>
      </c>
      <c r="E112">
        <v>225</v>
      </c>
      <c r="F112">
        <v>126.35</v>
      </c>
      <c r="G112">
        <v>3.6</v>
      </c>
      <c r="H112">
        <v>1.2</v>
      </c>
      <c r="I112">
        <v>0.9</v>
      </c>
      <c r="J112">
        <v>0.60616596121595478</v>
      </c>
      <c r="K112">
        <v>1500</v>
      </c>
      <c r="L112">
        <v>0</v>
      </c>
      <c r="N112">
        <v>13</v>
      </c>
      <c r="O112" s="60" t="s">
        <v>840</v>
      </c>
      <c r="P112" t="s">
        <v>773</v>
      </c>
      <c r="Q112" t="s">
        <v>998</v>
      </c>
    </row>
    <row r="113" spans="1:17" x14ac:dyDescent="0.25">
      <c r="A113" t="s">
        <v>19</v>
      </c>
      <c r="B113">
        <v>225</v>
      </c>
      <c r="C113">
        <v>126.35</v>
      </c>
      <c r="D113">
        <v>3.6</v>
      </c>
      <c r="E113">
        <v>100</v>
      </c>
      <c r="F113">
        <v>126.35</v>
      </c>
      <c r="G113">
        <v>3.6</v>
      </c>
      <c r="H113">
        <v>1.2</v>
      </c>
      <c r="I113">
        <v>0.9</v>
      </c>
      <c r="J113">
        <v>56.126477890366417</v>
      </c>
      <c r="K113">
        <v>1500</v>
      </c>
      <c r="L113">
        <v>0</v>
      </c>
      <c r="N113">
        <v>13</v>
      </c>
      <c r="O113" s="60" t="s">
        <v>841</v>
      </c>
      <c r="P113" t="s">
        <v>775</v>
      </c>
      <c r="Q113" t="s">
        <v>1003</v>
      </c>
    </row>
    <row r="114" spans="1:17" x14ac:dyDescent="0.25">
      <c r="A114" t="s">
        <v>19</v>
      </c>
      <c r="B114">
        <v>100</v>
      </c>
      <c r="C114">
        <v>126.35</v>
      </c>
      <c r="D114">
        <v>3.6</v>
      </c>
      <c r="E114">
        <v>100</v>
      </c>
      <c r="F114">
        <v>131.69999999999999</v>
      </c>
      <c r="G114">
        <v>3.6</v>
      </c>
      <c r="H114">
        <v>1.2</v>
      </c>
      <c r="I114">
        <v>0.9</v>
      </c>
      <c r="J114">
        <v>2.4022132537076799</v>
      </c>
      <c r="K114">
        <v>1500</v>
      </c>
      <c r="L114">
        <v>0</v>
      </c>
      <c r="N114">
        <v>13</v>
      </c>
      <c r="O114" s="60" t="s">
        <v>842</v>
      </c>
      <c r="P114" t="s">
        <v>777</v>
      </c>
      <c r="Q114" t="s">
        <v>1021</v>
      </c>
    </row>
    <row r="115" spans="1:17" x14ac:dyDescent="0.25">
      <c r="A115" t="s">
        <v>19</v>
      </c>
      <c r="B115">
        <v>100</v>
      </c>
      <c r="C115">
        <v>131.69999999999999</v>
      </c>
      <c r="D115">
        <v>3.6</v>
      </c>
      <c r="E115">
        <v>225</v>
      </c>
      <c r="F115">
        <v>131.69999999999999</v>
      </c>
      <c r="G115">
        <v>3.6</v>
      </c>
      <c r="H115">
        <v>1.2</v>
      </c>
      <c r="I115">
        <v>0.9</v>
      </c>
      <c r="J115">
        <v>56.126477890366417</v>
      </c>
      <c r="K115">
        <v>1500</v>
      </c>
      <c r="L115">
        <v>0</v>
      </c>
      <c r="N115">
        <v>13</v>
      </c>
      <c r="O115" s="60" t="s">
        <v>843</v>
      </c>
      <c r="P115" t="s">
        <v>779</v>
      </c>
      <c r="Q115" t="s">
        <v>1005</v>
      </c>
    </row>
    <row r="116" spans="1:17" x14ac:dyDescent="0.25">
      <c r="A116" t="s">
        <v>19</v>
      </c>
      <c r="B116">
        <v>225</v>
      </c>
      <c r="C116">
        <v>131.69999999999999</v>
      </c>
      <c r="D116">
        <v>3.6</v>
      </c>
      <c r="E116">
        <v>225</v>
      </c>
      <c r="F116">
        <v>133.04999999999998</v>
      </c>
      <c r="G116">
        <v>3.6</v>
      </c>
      <c r="H116">
        <v>1.2</v>
      </c>
      <c r="I116">
        <v>0.9</v>
      </c>
      <c r="J116">
        <v>0.60616596121595478</v>
      </c>
      <c r="K116">
        <v>1500</v>
      </c>
      <c r="L116">
        <v>0</v>
      </c>
      <c r="N116">
        <v>13</v>
      </c>
      <c r="O116" s="60" t="s">
        <v>844</v>
      </c>
      <c r="P116" t="s">
        <v>781</v>
      </c>
      <c r="Q116" t="s">
        <v>732</v>
      </c>
    </row>
    <row r="117" spans="1:17" x14ac:dyDescent="0.25">
      <c r="A117" t="s">
        <v>19</v>
      </c>
      <c r="B117">
        <v>225</v>
      </c>
      <c r="C117">
        <v>133.04999999999998</v>
      </c>
      <c r="D117">
        <v>3.6</v>
      </c>
      <c r="E117">
        <v>100</v>
      </c>
      <c r="F117">
        <v>133.04999999999998</v>
      </c>
      <c r="G117">
        <v>3.6</v>
      </c>
      <c r="H117">
        <v>1.2</v>
      </c>
      <c r="I117">
        <v>0.9</v>
      </c>
      <c r="J117">
        <v>56.126477890366417</v>
      </c>
      <c r="K117">
        <v>1500</v>
      </c>
      <c r="L117">
        <v>0</v>
      </c>
      <c r="N117">
        <v>13</v>
      </c>
      <c r="O117" s="60" t="s">
        <v>845</v>
      </c>
      <c r="P117" t="s">
        <v>783</v>
      </c>
      <c r="Q117" t="s">
        <v>1003</v>
      </c>
    </row>
    <row r="118" spans="1:17" x14ac:dyDescent="0.25">
      <c r="A118" t="s">
        <v>19</v>
      </c>
      <c r="B118">
        <v>100</v>
      </c>
      <c r="C118">
        <v>133.04999999999998</v>
      </c>
      <c r="D118">
        <v>3.6</v>
      </c>
      <c r="E118">
        <v>100</v>
      </c>
      <c r="F118">
        <v>138.39999999999998</v>
      </c>
      <c r="G118">
        <v>3.6</v>
      </c>
      <c r="H118">
        <v>1.2</v>
      </c>
      <c r="I118">
        <v>0.9</v>
      </c>
      <c r="J118">
        <v>2.4022132537076799</v>
      </c>
      <c r="K118">
        <v>1500</v>
      </c>
      <c r="L118">
        <v>0</v>
      </c>
      <c r="N118">
        <v>13</v>
      </c>
      <c r="O118" s="60" t="s">
        <v>846</v>
      </c>
      <c r="P118" t="s">
        <v>785</v>
      </c>
      <c r="Q118" t="s">
        <v>1022</v>
      </c>
    </row>
    <row r="119" spans="1:17" x14ac:dyDescent="0.25">
      <c r="A119" t="s">
        <v>19</v>
      </c>
      <c r="B119">
        <v>100</v>
      </c>
      <c r="C119">
        <v>138.4</v>
      </c>
      <c r="D119">
        <v>3.6</v>
      </c>
      <c r="E119">
        <v>225</v>
      </c>
      <c r="F119">
        <v>138.4</v>
      </c>
      <c r="G119">
        <v>3.6</v>
      </c>
      <c r="H119">
        <v>1.2</v>
      </c>
      <c r="I119">
        <v>0.9</v>
      </c>
      <c r="J119">
        <v>56.126477890366417</v>
      </c>
      <c r="K119">
        <v>1500</v>
      </c>
      <c r="L119">
        <v>0</v>
      </c>
      <c r="N119">
        <v>13</v>
      </c>
      <c r="O119" s="60" t="s">
        <v>847</v>
      </c>
      <c r="P119" t="s">
        <v>779</v>
      </c>
      <c r="Q119" t="s">
        <v>1005</v>
      </c>
    </row>
    <row r="120" spans="1:17" x14ac:dyDescent="0.25">
      <c r="A120" t="s">
        <v>19</v>
      </c>
      <c r="B120">
        <v>225</v>
      </c>
      <c r="C120">
        <v>138.4</v>
      </c>
      <c r="D120">
        <v>3.6</v>
      </c>
      <c r="E120">
        <v>225</v>
      </c>
      <c r="F120">
        <v>139.75</v>
      </c>
      <c r="G120">
        <v>3.6</v>
      </c>
      <c r="H120">
        <v>1.2</v>
      </c>
      <c r="I120">
        <v>0.9</v>
      </c>
      <c r="J120">
        <v>0.60616596121595478</v>
      </c>
      <c r="K120">
        <v>1500</v>
      </c>
      <c r="L120">
        <v>0</v>
      </c>
      <c r="N120">
        <v>13</v>
      </c>
      <c r="O120" s="60" t="s">
        <v>848</v>
      </c>
      <c r="P120" t="s">
        <v>781</v>
      </c>
      <c r="Q120" t="s">
        <v>1023</v>
      </c>
    </row>
    <row r="121" spans="1:17" x14ac:dyDescent="0.25">
      <c r="A121" t="s">
        <v>19</v>
      </c>
      <c r="B121">
        <v>225</v>
      </c>
      <c r="C121">
        <v>139.75</v>
      </c>
      <c r="D121">
        <v>3.6</v>
      </c>
      <c r="E121">
        <v>100</v>
      </c>
      <c r="F121">
        <v>139.75</v>
      </c>
      <c r="G121">
        <v>3.6</v>
      </c>
      <c r="H121">
        <v>1.2</v>
      </c>
      <c r="I121">
        <v>0.9</v>
      </c>
      <c r="J121">
        <v>56.126477890366417</v>
      </c>
      <c r="K121">
        <v>1500</v>
      </c>
      <c r="L121">
        <v>0</v>
      </c>
      <c r="N121">
        <v>13</v>
      </c>
      <c r="O121" s="60" t="s">
        <v>849</v>
      </c>
      <c r="P121" t="s">
        <v>783</v>
      </c>
      <c r="Q121" t="s">
        <v>1003</v>
      </c>
    </row>
    <row r="122" spans="1:17" x14ac:dyDescent="0.25">
      <c r="A122" t="s">
        <v>19</v>
      </c>
      <c r="B122">
        <v>100</v>
      </c>
      <c r="C122">
        <v>139.75</v>
      </c>
      <c r="D122">
        <v>3.6</v>
      </c>
      <c r="E122">
        <v>100</v>
      </c>
      <c r="F122">
        <v>145.1</v>
      </c>
      <c r="G122">
        <v>3.6</v>
      </c>
      <c r="H122">
        <v>1.2</v>
      </c>
      <c r="I122">
        <v>0.9</v>
      </c>
      <c r="J122">
        <v>2.4022132537076799</v>
      </c>
      <c r="K122">
        <v>1500</v>
      </c>
      <c r="L122">
        <v>0</v>
      </c>
      <c r="N122">
        <v>13</v>
      </c>
      <c r="O122" s="60" t="s">
        <v>850</v>
      </c>
      <c r="P122" t="s">
        <v>785</v>
      </c>
      <c r="Q122" t="s">
        <v>1024</v>
      </c>
    </row>
    <row r="123" spans="1:17" x14ac:dyDescent="0.25">
      <c r="A123" t="s">
        <v>19</v>
      </c>
      <c r="B123">
        <v>100</v>
      </c>
      <c r="C123">
        <v>145.1</v>
      </c>
      <c r="D123">
        <v>3.6</v>
      </c>
      <c r="E123">
        <v>225</v>
      </c>
      <c r="F123">
        <v>145.1</v>
      </c>
      <c r="G123">
        <v>3.6</v>
      </c>
      <c r="H123">
        <v>1.2</v>
      </c>
      <c r="I123">
        <v>0.9</v>
      </c>
      <c r="J123">
        <v>56.126477890366417</v>
      </c>
      <c r="K123">
        <v>1500</v>
      </c>
      <c r="L123">
        <v>0</v>
      </c>
      <c r="N123">
        <v>13</v>
      </c>
      <c r="O123" s="60" t="s">
        <v>851</v>
      </c>
      <c r="P123" t="s">
        <v>779</v>
      </c>
      <c r="Q123" t="s">
        <v>1005</v>
      </c>
    </row>
    <row r="124" spans="1:17" x14ac:dyDescent="0.25">
      <c r="A124" t="s">
        <v>19</v>
      </c>
      <c r="B124">
        <v>225</v>
      </c>
      <c r="C124">
        <v>145.1</v>
      </c>
      <c r="D124">
        <v>3.6</v>
      </c>
      <c r="E124">
        <v>225</v>
      </c>
      <c r="F124">
        <v>146.44999999999999</v>
      </c>
      <c r="G124">
        <v>3.6</v>
      </c>
      <c r="H124">
        <v>1.2</v>
      </c>
      <c r="I124">
        <v>0.9</v>
      </c>
      <c r="J124">
        <v>0.60616596121595478</v>
      </c>
      <c r="K124">
        <v>1500</v>
      </c>
      <c r="L124">
        <v>0</v>
      </c>
      <c r="N124">
        <v>13</v>
      </c>
      <c r="O124" s="60" t="s">
        <v>852</v>
      </c>
      <c r="P124" t="s">
        <v>781</v>
      </c>
      <c r="Q124" t="s">
        <v>1025</v>
      </c>
    </row>
    <row r="125" spans="1:17" x14ac:dyDescent="0.25">
      <c r="A125" t="s">
        <v>19</v>
      </c>
      <c r="B125">
        <v>225</v>
      </c>
      <c r="C125">
        <v>146.44999999999999</v>
      </c>
      <c r="D125">
        <v>3.6</v>
      </c>
      <c r="E125">
        <v>100</v>
      </c>
      <c r="F125">
        <v>146.44999999999999</v>
      </c>
      <c r="G125">
        <v>3.6</v>
      </c>
      <c r="H125">
        <v>1.2</v>
      </c>
      <c r="I125">
        <v>0.9</v>
      </c>
      <c r="J125">
        <v>56.126477890366417</v>
      </c>
      <c r="K125">
        <v>1500</v>
      </c>
      <c r="L125">
        <v>0</v>
      </c>
      <c r="N125">
        <v>13</v>
      </c>
      <c r="O125" s="60" t="s">
        <v>853</v>
      </c>
      <c r="P125" t="s">
        <v>783</v>
      </c>
      <c r="Q125" t="s">
        <v>1003</v>
      </c>
    </row>
    <row r="126" spans="1:17" x14ac:dyDescent="0.25">
      <c r="A126" t="s">
        <v>19</v>
      </c>
      <c r="B126">
        <v>100</v>
      </c>
      <c r="C126">
        <v>146.44999999999999</v>
      </c>
      <c r="D126">
        <v>3.6</v>
      </c>
      <c r="E126">
        <v>100</v>
      </c>
      <c r="F126">
        <v>151.79999999999998</v>
      </c>
      <c r="G126">
        <v>3.6</v>
      </c>
      <c r="H126">
        <v>1.2</v>
      </c>
      <c r="I126">
        <v>0.9</v>
      </c>
      <c r="J126">
        <v>2.4022132537076799</v>
      </c>
      <c r="K126">
        <v>1500</v>
      </c>
      <c r="L126">
        <v>0</v>
      </c>
      <c r="N126">
        <v>13</v>
      </c>
      <c r="O126" s="60" t="s">
        <v>854</v>
      </c>
      <c r="P126" t="s">
        <v>785</v>
      </c>
      <c r="Q126" t="s">
        <v>1026</v>
      </c>
    </row>
    <row r="127" spans="1:17" x14ac:dyDescent="0.25">
      <c r="A127" t="s">
        <v>19</v>
      </c>
      <c r="B127">
        <v>100</v>
      </c>
      <c r="C127">
        <v>151.80000000000001</v>
      </c>
      <c r="D127">
        <v>3.6</v>
      </c>
      <c r="E127">
        <v>225</v>
      </c>
      <c r="F127">
        <v>151.80000000000001</v>
      </c>
      <c r="G127">
        <v>3.6</v>
      </c>
      <c r="H127">
        <v>1.2</v>
      </c>
      <c r="I127">
        <v>0.9</v>
      </c>
      <c r="J127">
        <v>56.126477890366417</v>
      </c>
      <c r="K127">
        <v>1500</v>
      </c>
      <c r="L127">
        <v>0</v>
      </c>
      <c r="N127">
        <v>13</v>
      </c>
      <c r="O127" s="60" t="s">
        <v>855</v>
      </c>
      <c r="P127" t="s">
        <v>779</v>
      </c>
      <c r="Q127" t="s">
        <v>1005</v>
      </c>
    </row>
    <row r="128" spans="1:17" x14ac:dyDescent="0.25">
      <c r="A128" t="s">
        <v>19</v>
      </c>
      <c r="B128">
        <v>225</v>
      </c>
      <c r="C128">
        <v>151.80000000000001</v>
      </c>
      <c r="D128">
        <v>3.6</v>
      </c>
      <c r="E128">
        <v>225</v>
      </c>
      <c r="F128">
        <v>153.15</v>
      </c>
      <c r="G128">
        <v>3.6</v>
      </c>
      <c r="H128">
        <v>1.2</v>
      </c>
      <c r="I128">
        <v>0.9</v>
      </c>
      <c r="J128">
        <v>0.60616596121595478</v>
      </c>
      <c r="K128">
        <v>1500</v>
      </c>
      <c r="L128">
        <v>0</v>
      </c>
      <c r="N128">
        <v>13</v>
      </c>
      <c r="O128" s="60" t="s">
        <v>856</v>
      </c>
      <c r="P128" t="s">
        <v>781</v>
      </c>
      <c r="Q128" t="s">
        <v>1027</v>
      </c>
    </row>
    <row r="129" spans="1:17" x14ac:dyDescent="0.25">
      <c r="A129" t="s">
        <v>19</v>
      </c>
      <c r="B129">
        <v>225</v>
      </c>
      <c r="C129">
        <v>153.15</v>
      </c>
      <c r="D129">
        <v>3.6</v>
      </c>
      <c r="E129">
        <v>100</v>
      </c>
      <c r="F129">
        <v>153.15</v>
      </c>
      <c r="G129">
        <v>3.6</v>
      </c>
      <c r="H129">
        <v>1.2</v>
      </c>
      <c r="I129">
        <v>0.9</v>
      </c>
      <c r="J129">
        <v>56.126477890366417</v>
      </c>
      <c r="K129">
        <v>1500</v>
      </c>
      <c r="L129">
        <v>0</v>
      </c>
      <c r="N129">
        <v>13</v>
      </c>
      <c r="O129" s="60" t="s">
        <v>857</v>
      </c>
      <c r="P129" t="s">
        <v>783</v>
      </c>
      <c r="Q129" t="s">
        <v>1003</v>
      </c>
    </row>
    <row r="130" spans="1:17" x14ac:dyDescent="0.25">
      <c r="A130" t="s">
        <v>19</v>
      </c>
      <c r="B130">
        <v>100</v>
      </c>
      <c r="C130">
        <v>153.15</v>
      </c>
      <c r="D130">
        <v>3.6</v>
      </c>
      <c r="E130">
        <v>100</v>
      </c>
      <c r="F130">
        <v>158.5</v>
      </c>
      <c r="G130">
        <v>3.6</v>
      </c>
      <c r="H130">
        <v>1.2</v>
      </c>
      <c r="I130">
        <v>0.9</v>
      </c>
      <c r="J130">
        <v>2.4022132537076799</v>
      </c>
      <c r="K130">
        <v>1500</v>
      </c>
      <c r="L130">
        <v>0</v>
      </c>
      <c r="N130">
        <v>13</v>
      </c>
      <c r="O130" s="60" t="s">
        <v>858</v>
      </c>
      <c r="P130" t="s">
        <v>785</v>
      </c>
      <c r="Q130" t="s">
        <v>1028</v>
      </c>
    </row>
    <row r="131" spans="1:17" x14ac:dyDescent="0.25">
      <c r="A131" t="s">
        <v>19</v>
      </c>
      <c r="B131">
        <v>100</v>
      </c>
      <c r="C131">
        <v>158.5</v>
      </c>
      <c r="D131">
        <v>3.6</v>
      </c>
      <c r="E131">
        <v>225</v>
      </c>
      <c r="F131">
        <v>158.5</v>
      </c>
      <c r="G131">
        <v>3.6</v>
      </c>
      <c r="H131">
        <v>1.2</v>
      </c>
      <c r="I131">
        <v>0.9</v>
      </c>
      <c r="J131">
        <v>56.126477890366417</v>
      </c>
      <c r="K131">
        <v>1500</v>
      </c>
      <c r="L131">
        <v>0</v>
      </c>
      <c r="N131">
        <v>13</v>
      </c>
      <c r="O131" s="60" t="s">
        <v>859</v>
      </c>
      <c r="P131" t="s">
        <v>779</v>
      </c>
      <c r="Q131" t="s">
        <v>1005</v>
      </c>
    </row>
    <row r="132" spans="1:17" x14ac:dyDescent="0.25">
      <c r="A132" t="s">
        <v>19</v>
      </c>
      <c r="B132">
        <v>225</v>
      </c>
      <c r="C132">
        <v>158.5</v>
      </c>
      <c r="D132">
        <v>3.6</v>
      </c>
      <c r="E132">
        <v>225</v>
      </c>
      <c r="F132">
        <v>159.85</v>
      </c>
      <c r="G132">
        <v>3.6</v>
      </c>
      <c r="H132">
        <v>1.2</v>
      </c>
      <c r="I132">
        <v>0.9</v>
      </c>
      <c r="J132">
        <v>0.60616596121595478</v>
      </c>
      <c r="K132">
        <v>1500</v>
      </c>
      <c r="L132">
        <v>0</v>
      </c>
      <c r="N132">
        <v>13</v>
      </c>
      <c r="O132" s="60" t="s">
        <v>860</v>
      </c>
      <c r="P132" t="s">
        <v>781</v>
      </c>
      <c r="Q132" t="s">
        <v>1029</v>
      </c>
    </row>
    <row r="133" spans="1:17" x14ac:dyDescent="0.25">
      <c r="A133" t="s">
        <v>19</v>
      </c>
      <c r="B133">
        <v>225</v>
      </c>
      <c r="C133">
        <v>159.85</v>
      </c>
      <c r="D133">
        <v>3.6</v>
      </c>
      <c r="E133">
        <v>100</v>
      </c>
      <c r="F133">
        <v>159.85</v>
      </c>
      <c r="G133">
        <v>3.6</v>
      </c>
      <c r="H133">
        <v>1.2</v>
      </c>
      <c r="I133">
        <v>0.9</v>
      </c>
      <c r="J133">
        <v>56.126477890366417</v>
      </c>
      <c r="K133">
        <v>1500</v>
      </c>
      <c r="L133">
        <v>0</v>
      </c>
      <c r="N133">
        <v>13</v>
      </c>
      <c r="O133" s="60" t="s">
        <v>861</v>
      </c>
      <c r="P133" t="s">
        <v>783</v>
      </c>
      <c r="Q133" t="s">
        <v>1003</v>
      </c>
    </row>
    <row r="134" spans="1:17" x14ac:dyDescent="0.25">
      <c r="A134" t="s">
        <v>19</v>
      </c>
      <c r="B134">
        <v>100</v>
      </c>
      <c r="C134">
        <v>159.85</v>
      </c>
      <c r="D134">
        <v>3.6</v>
      </c>
      <c r="E134">
        <v>100</v>
      </c>
      <c r="F134">
        <v>165.2</v>
      </c>
      <c r="G134">
        <v>3.6</v>
      </c>
      <c r="H134">
        <v>1.2</v>
      </c>
      <c r="I134">
        <v>0.9</v>
      </c>
      <c r="J134">
        <v>2.4022132537076799</v>
      </c>
      <c r="K134">
        <v>1500</v>
      </c>
      <c r="L134">
        <v>0</v>
      </c>
      <c r="N134">
        <v>13</v>
      </c>
      <c r="O134" s="60" t="s">
        <v>862</v>
      </c>
      <c r="P134" t="s">
        <v>785</v>
      </c>
      <c r="Q134" t="s">
        <v>1030</v>
      </c>
    </row>
    <row r="135" spans="1:17" x14ac:dyDescent="0.25">
      <c r="A135" t="s">
        <v>39</v>
      </c>
      <c r="B135">
        <v>-1.25</v>
      </c>
      <c r="C135">
        <v>2100</v>
      </c>
      <c r="N135">
        <v>13</v>
      </c>
      <c r="O135" s="60" t="s">
        <v>863</v>
      </c>
      <c r="P135" t="s">
        <v>803</v>
      </c>
      <c r="Q135" t="s">
        <v>697</v>
      </c>
    </row>
    <row r="136" spans="1:17" x14ac:dyDescent="0.25">
      <c r="A136" t="s">
        <v>659</v>
      </c>
      <c r="B136">
        <v>0.9</v>
      </c>
      <c r="C136">
        <v>10000</v>
      </c>
      <c r="N136">
        <v>13</v>
      </c>
      <c r="O136" s="60" t="s">
        <v>863</v>
      </c>
      <c r="P136" t="s">
        <v>803</v>
      </c>
      <c r="Q136" t="s">
        <v>727</v>
      </c>
    </row>
    <row r="137" spans="1:17" x14ac:dyDescent="0.25">
      <c r="A137" t="s">
        <v>23</v>
      </c>
      <c r="B137">
        <v>100</v>
      </c>
      <c r="C137">
        <v>165.2</v>
      </c>
      <c r="D137">
        <v>3.6</v>
      </c>
      <c r="E137">
        <v>100</v>
      </c>
      <c r="F137">
        <v>165.2</v>
      </c>
      <c r="G137">
        <v>4.5</v>
      </c>
      <c r="H137">
        <v>0</v>
      </c>
      <c r="I137">
        <v>0</v>
      </c>
      <c r="K137">
        <v>48000</v>
      </c>
      <c r="N137">
        <v>0</v>
      </c>
      <c r="O137" s="60">
        <v>0</v>
      </c>
      <c r="P137" t="s">
        <v>660</v>
      </c>
      <c r="Q137" t="s">
        <v>864</v>
      </c>
    </row>
    <row r="138" spans="1:17" x14ac:dyDescent="0.25">
      <c r="A138" t="s">
        <v>19</v>
      </c>
      <c r="B138">
        <v>100</v>
      </c>
      <c r="C138">
        <v>165.2</v>
      </c>
      <c r="D138">
        <v>4.5</v>
      </c>
      <c r="E138">
        <v>100</v>
      </c>
      <c r="F138">
        <v>159.85</v>
      </c>
      <c r="G138">
        <v>4.5</v>
      </c>
      <c r="H138">
        <v>1.2</v>
      </c>
      <c r="I138">
        <v>0.9</v>
      </c>
      <c r="J138">
        <v>2.4022132537076799</v>
      </c>
      <c r="K138">
        <v>1500</v>
      </c>
      <c r="L138">
        <v>0</v>
      </c>
      <c r="N138">
        <v>13</v>
      </c>
      <c r="O138" s="60" t="s">
        <v>865</v>
      </c>
      <c r="P138" t="s">
        <v>806</v>
      </c>
      <c r="Q138" t="s">
        <v>1039</v>
      </c>
    </row>
    <row r="139" spans="1:17" x14ac:dyDescent="0.25">
      <c r="A139" t="s">
        <v>19</v>
      </c>
      <c r="B139">
        <v>100</v>
      </c>
      <c r="C139">
        <v>159.85</v>
      </c>
      <c r="D139">
        <v>4.5</v>
      </c>
      <c r="E139">
        <v>225</v>
      </c>
      <c r="F139">
        <v>159.85</v>
      </c>
      <c r="G139">
        <v>4.5</v>
      </c>
      <c r="H139">
        <v>1.2</v>
      </c>
      <c r="I139">
        <v>0.9</v>
      </c>
      <c r="J139">
        <v>56.126477890366417</v>
      </c>
      <c r="K139">
        <v>1500</v>
      </c>
      <c r="L139">
        <v>0</v>
      </c>
      <c r="N139">
        <v>13</v>
      </c>
      <c r="O139" s="60" t="s">
        <v>866</v>
      </c>
      <c r="P139" t="s">
        <v>808</v>
      </c>
      <c r="Q139" t="s">
        <v>1005</v>
      </c>
    </row>
    <row r="140" spans="1:17" x14ac:dyDescent="0.25">
      <c r="A140" t="s">
        <v>19</v>
      </c>
      <c r="B140">
        <v>225</v>
      </c>
      <c r="C140">
        <v>159.85</v>
      </c>
      <c r="D140">
        <v>4.5</v>
      </c>
      <c r="E140">
        <v>225</v>
      </c>
      <c r="F140">
        <v>158.5</v>
      </c>
      <c r="G140">
        <v>4.5</v>
      </c>
      <c r="H140">
        <v>1.2</v>
      </c>
      <c r="I140">
        <v>0.9</v>
      </c>
      <c r="J140">
        <v>0.60616596121595478</v>
      </c>
      <c r="K140">
        <v>1500</v>
      </c>
      <c r="L140">
        <v>0</v>
      </c>
      <c r="N140">
        <v>13</v>
      </c>
      <c r="O140" s="60" t="s">
        <v>867</v>
      </c>
      <c r="P140" t="s">
        <v>810</v>
      </c>
      <c r="Q140" t="s">
        <v>1017</v>
      </c>
    </row>
    <row r="141" spans="1:17" x14ac:dyDescent="0.25">
      <c r="A141" t="s">
        <v>19</v>
      </c>
      <c r="B141">
        <v>225</v>
      </c>
      <c r="C141">
        <v>158.5</v>
      </c>
      <c r="D141">
        <v>4.5</v>
      </c>
      <c r="E141">
        <v>100</v>
      </c>
      <c r="F141">
        <v>158.5</v>
      </c>
      <c r="G141">
        <v>4.5</v>
      </c>
      <c r="H141">
        <v>1.2</v>
      </c>
      <c r="I141">
        <v>0.9</v>
      </c>
      <c r="J141">
        <v>56.126477890366417</v>
      </c>
      <c r="K141">
        <v>1500</v>
      </c>
      <c r="L141">
        <v>0</v>
      </c>
      <c r="N141">
        <v>13</v>
      </c>
      <c r="O141" s="60" t="s">
        <v>868</v>
      </c>
      <c r="P141" t="s">
        <v>812</v>
      </c>
      <c r="Q141" t="s">
        <v>1003</v>
      </c>
    </row>
    <row r="142" spans="1:17" x14ac:dyDescent="0.25">
      <c r="A142" t="s">
        <v>19</v>
      </c>
      <c r="B142">
        <v>100</v>
      </c>
      <c r="C142">
        <v>158.5</v>
      </c>
      <c r="D142">
        <v>4.5</v>
      </c>
      <c r="E142">
        <v>100</v>
      </c>
      <c r="F142">
        <v>153.15</v>
      </c>
      <c r="G142">
        <v>4.5</v>
      </c>
      <c r="H142">
        <v>1.2</v>
      </c>
      <c r="I142">
        <v>0.9</v>
      </c>
      <c r="J142">
        <v>2.4022132537076799</v>
      </c>
      <c r="K142">
        <v>1500</v>
      </c>
      <c r="L142">
        <v>0</v>
      </c>
      <c r="N142">
        <v>13</v>
      </c>
      <c r="O142" s="60" t="s">
        <v>869</v>
      </c>
      <c r="P142" t="s">
        <v>814</v>
      </c>
      <c r="Q142" t="s">
        <v>1033</v>
      </c>
    </row>
    <row r="143" spans="1:17" x14ac:dyDescent="0.25">
      <c r="A143" t="s">
        <v>19</v>
      </c>
      <c r="B143">
        <v>100</v>
      </c>
      <c r="C143">
        <v>153.15</v>
      </c>
      <c r="D143">
        <v>4.5</v>
      </c>
      <c r="E143">
        <v>225</v>
      </c>
      <c r="F143">
        <v>153.15</v>
      </c>
      <c r="G143">
        <v>4.5</v>
      </c>
      <c r="H143">
        <v>1.2</v>
      </c>
      <c r="I143">
        <v>0.9</v>
      </c>
      <c r="J143">
        <v>56.126477890366417</v>
      </c>
      <c r="K143">
        <v>1500</v>
      </c>
      <c r="L143">
        <v>0</v>
      </c>
      <c r="N143">
        <v>13</v>
      </c>
      <c r="O143" s="60" t="s">
        <v>870</v>
      </c>
      <c r="P143" t="s">
        <v>816</v>
      </c>
      <c r="Q143" t="s">
        <v>1005</v>
      </c>
    </row>
    <row r="144" spans="1:17" x14ac:dyDescent="0.25">
      <c r="A144" t="s">
        <v>19</v>
      </c>
      <c r="B144">
        <v>225</v>
      </c>
      <c r="C144">
        <v>153.15</v>
      </c>
      <c r="D144">
        <v>4.5</v>
      </c>
      <c r="E144">
        <v>225</v>
      </c>
      <c r="F144">
        <v>151.80000000000001</v>
      </c>
      <c r="G144">
        <v>4.5</v>
      </c>
      <c r="H144">
        <v>1.2</v>
      </c>
      <c r="I144">
        <v>0.9</v>
      </c>
      <c r="J144">
        <v>0.60616596121595478</v>
      </c>
      <c r="K144">
        <v>1500</v>
      </c>
      <c r="L144">
        <v>0</v>
      </c>
      <c r="N144">
        <v>13</v>
      </c>
      <c r="O144" s="60" t="s">
        <v>871</v>
      </c>
      <c r="P144" t="s">
        <v>818</v>
      </c>
      <c r="Q144" t="s">
        <v>1018</v>
      </c>
    </row>
    <row r="145" spans="1:17" x14ac:dyDescent="0.25">
      <c r="A145" t="s">
        <v>19</v>
      </c>
      <c r="B145">
        <v>225</v>
      </c>
      <c r="C145">
        <v>151.80000000000001</v>
      </c>
      <c r="D145">
        <v>4.5</v>
      </c>
      <c r="E145">
        <v>100</v>
      </c>
      <c r="F145">
        <v>151.80000000000001</v>
      </c>
      <c r="G145">
        <v>4.5</v>
      </c>
      <c r="H145">
        <v>1.2</v>
      </c>
      <c r="I145">
        <v>0.9</v>
      </c>
      <c r="J145">
        <v>56.126477890366417</v>
      </c>
      <c r="K145">
        <v>1500</v>
      </c>
      <c r="L145">
        <v>0</v>
      </c>
      <c r="N145">
        <v>13</v>
      </c>
      <c r="O145" s="60" t="s">
        <v>872</v>
      </c>
      <c r="P145" t="s">
        <v>820</v>
      </c>
      <c r="Q145" t="s">
        <v>1003</v>
      </c>
    </row>
    <row r="146" spans="1:17" x14ac:dyDescent="0.25">
      <c r="A146" t="s">
        <v>19</v>
      </c>
      <c r="B146">
        <v>100</v>
      </c>
      <c r="C146">
        <v>151.79999999999998</v>
      </c>
      <c r="D146">
        <v>4.5</v>
      </c>
      <c r="E146">
        <v>100</v>
      </c>
      <c r="F146">
        <v>146.44999999999999</v>
      </c>
      <c r="G146">
        <v>4.5</v>
      </c>
      <c r="H146">
        <v>1.2</v>
      </c>
      <c r="I146">
        <v>0.9</v>
      </c>
      <c r="J146">
        <v>2.4022132537076799</v>
      </c>
      <c r="K146">
        <v>1500</v>
      </c>
      <c r="L146">
        <v>0</v>
      </c>
      <c r="N146">
        <v>13</v>
      </c>
      <c r="O146" s="60" t="s">
        <v>873</v>
      </c>
      <c r="P146" t="s">
        <v>814</v>
      </c>
      <c r="Q146" t="s">
        <v>1034</v>
      </c>
    </row>
    <row r="147" spans="1:17" x14ac:dyDescent="0.25">
      <c r="A147" t="s">
        <v>19</v>
      </c>
      <c r="B147">
        <v>100</v>
      </c>
      <c r="C147">
        <v>146.44999999999999</v>
      </c>
      <c r="D147">
        <v>4.5</v>
      </c>
      <c r="E147">
        <v>225</v>
      </c>
      <c r="F147">
        <v>146.44999999999999</v>
      </c>
      <c r="G147">
        <v>4.5</v>
      </c>
      <c r="H147">
        <v>1.2</v>
      </c>
      <c r="I147">
        <v>0.9</v>
      </c>
      <c r="J147">
        <v>56.126477890366417</v>
      </c>
      <c r="K147">
        <v>1500</v>
      </c>
      <c r="L147">
        <v>0</v>
      </c>
      <c r="N147">
        <v>13</v>
      </c>
      <c r="O147" s="60" t="s">
        <v>874</v>
      </c>
      <c r="P147" t="s">
        <v>816</v>
      </c>
      <c r="Q147" t="s">
        <v>1005</v>
      </c>
    </row>
    <row r="148" spans="1:17" x14ac:dyDescent="0.25">
      <c r="A148" t="s">
        <v>19</v>
      </c>
      <c r="B148">
        <v>225</v>
      </c>
      <c r="C148">
        <v>146.44999999999999</v>
      </c>
      <c r="D148">
        <v>4.5</v>
      </c>
      <c r="E148">
        <v>225</v>
      </c>
      <c r="F148">
        <v>145.1</v>
      </c>
      <c r="G148">
        <v>4.5</v>
      </c>
      <c r="H148">
        <v>1.2</v>
      </c>
      <c r="I148">
        <v>0.9</v>
      </c>
      <c r="J148">
        <v>0.60616596121595478</v>
      </c>
      <c r="K148">
        <v>1500</v>
      </c>
      <c r="L148">
        <v>0</v>
      </c>
      <c r="N148">
        <v>13</v>
      </c>
      <c r="O148" s="60" t="s">
        <v>875</v>
      </c>
      <c r="P148" t="s">
        <v>818</v>
      </c>
      <c r="Q148" t="s">
        <v>1019</v>
      </c>
    </row>
    <row r="149" spans="1:17" x14ac:dyDescent="0.25">
      <c r="A149" t="s">
        <v>19</v>
      </c>
      <c r="B149">
        <v>225</v>
      </c>
      <c r="C149">
        <v>145.1</v>
      </c>
      <c r="D149">
        <v>4.5</v>
      </c>
      <c r="E149">
        <v>100</v>
      </c>
      <c r="F149">
        <v>145.1</v>
      </c>
      <c r="G149">
        <v>4.5</v>
      </c>
      <c r="H149">
        <v>1.2</v>
      </c>
      <c r="I149">
        <v>0.9</v>
      </c>
      <c r="J149">
        <v>56.126477890366417</v>
      </c>
      <c r="K149">
        <v>1500</v>
      </c>
      <c r="L149">
        <v>0</v>
      </c>
      <c r="N149">
        <v>13</v>
      </c>
      <c r="O149" s="60" t="s">
        <v>876</v>
      </c>
      <c r="P149" t="s">
        <v>820</v>
      </c>
      <c r="Q149" t="s">
        <v>1003</v>
      </c>
    </row>
    <row r="150" spans="1:17" x14ac:dyDescent="0.25">
      <c r="A150" t="s">
        <v>19</v>
      </c>
      <c r="B150">
        <v>100</v>
      </c>
      <c r="C150">
        <v>145.1</v>
      </c>
      <c r="D150">
        <v>4.5</v>
      </c>
      <c r="E150">
        <v>100</v>
      </c>
      <c r="F150">
        <v>139.75</v>
      </c>
      <c r="G150">
        <v>4.5</v>
      </c>
      <c r="H150">
        <v>1.2</v>
      </c>
      <c r="I150">
        <v>0.9</v>
      </c>
      <c r="J150">
        <v>2.4022132537076799</v>
      </c>
      <c r="K150">
        <v>1500</v>
      </c>
      <c r="L150">
        <v>0</v>
      </c>
      <c r="N150">
        <v>13</v>
      </c>
      <c r="O150" s="60" t="s">
        <v>877</v>
      </c>
      <c r="P150" t="s">
        <v>814</v>
      </c>
      <c r="Q150" t="s">
        <v>1035</v>
      </c>
    </row>
    <row r="151" spans="1:17" x14ac:dyDescent="0.25">
      <c r="A151" t="s">
        <v>19</v>
      </c>
      <c r="B151">
        <v>100</v>
      </c>
      <c r="C151">
        <v>139.75</v>
      </c>
      <c r="D151">
        <v>4.5</v>
      </c>
      <c r="E151">
        <v>225</v>
      </c>
      <c r="F151">
        <v>139.75</v>
      </c>
      <c r="G151">
        <v>4.5</v>
      </c>
      <c r="H151">
        <v>1.2</v>
      </c>
      <c r="I151">
        <v>0.9</v>
      </c>
      <c r="J151">
        <v>56.126477890366417</v>
      </c>
      <c r="K151">
        <v>1500</v>
      </c>
      <c r="L151">
        <v>0</v>
      </c>
      <c r="N151">
        <v>13</v>
      </c>
      <c r="O151" s="60" t="s">
        <v>878</v>
      </c>
      <c r="P151" t="s">
        <v>816</v>
      </c>
      <c r="Q151" t="s">
        <v>1005</v>
      </c>
    </row>
    <row r="152" spans="1:17" x14ac:dyDescent="0.25">
      <c r="A152" t="s">
        <v>19</v>
      </c>
      <c r="B152">
        <v>225</v>
      </c>
      <c r="C152">
        <v>139.75</v>
      </c>
      <c r="D152">
        <v>4.5</v>
      </c>
      <c r="E152">
        <v>225</v>
      </c>
      <c r="F152">
        <v>138.4</v>
      </c>
      <c r="G152">
        <v>4.5</v>
      </c>
      <c r="H152">
        <v>1.2</v>
      </c>
      <c r="I152">
        <v>0.9</v>
      </c>
      <c r="J152">
        <v>0.60616596121595478</v>
      </c>
      <c r="K152">
        <v>1500</v>
      </c>
      <c r="L152">
        <v>0</v>
      </c>
      <c r="N152">
        <v>13</v>
      </c>
      <c r="O152" s="60" t="s">
        <v>879</v>
      </c>
      <c r="P152" t="s">
        <v>818</v>
      </c>
      <c r="Q152" t="s">
        <v>1020</v>
      </c>
    </row>
    <row r="153" spans="1:17" x14ac:dyDescent="0.25">
      <c r="A153" t="s">
        <v>19</v>
      </c>
      <c r="B153">
        <v>225</v>
      </c>
      <c r="C153">
        <v>138.4</v>
      </c>
      <c r="D153">
        <v>4.5</v>
      </c>
      <c r="E153">
        <v>100</v>
      </c>
      <c r="F153">
        <v>138.4</v>
      </c>
      <c r="G153">
        <v>4.5</v>
      </c>
      <c r="H153">
        <v>1.2</v>
      </c>
      <c r="I153">
        <v>0.9</v>
      </c>
      <c r="J153">
        <v>56.126477890366417</v>
      </c>
      <c r="K153">
        <v>1500</v>
      </c>
      <c r="L153">
        <v>0</v>
      </c>
      <c r="N153">
        <v>13</v>
      </c>
      <c r="O153" s="60" t="s">
        <v>880</v>
      </c>
      <c r="P153" t="s">
        <v>820</v>
      </c>
      <c r="Q153" t="s">
        <v>1003</v>
      </c>
    </row>
    <row r="154" spans="1:17" x14ac:dyDescent="0.25">
      <c r="A154" t="s">
        <v>19</v>
      </c>
      <c r="B154">
        <v>100</v>
      </c>
      <c r="C154">
        <v>138.39999999999998</v>
      </c>
      <c r="D154">
        <v>4.5</v>
      </c>
      <c r="E154">
        <v>100</v>
      </c>
      <c r="F154">
        <v>133.04999999999998</v>
      </c>
      <c r="G154">
        <v>4.5</v>
      </c>
      <c r="H154">
        <v>1.2</v>
      </c>
      <c r="I154">
        <v>0.9</v>
      </c>
      <c r="J154">
        <v>2.4022132537076799</v>
      </c>
      <c r="K154">
        <v>1500</v>
      </c>
      <c r="L154">
        <v>0</v>
      </c>
      <c r="N154">
        <v>13</v>
      </c>
      <c r="O154" s="60" t="s">
        <v>881</v>
      </c>
      <c r="P154" t="s">
        <v>814</v>
      </c>
      <c r="Q154" t="s">
        <v>1036</v>
      </c>
    </row>
    <row r="155" spans="1:17" x14ac:dyDescent="0.25">
      <c r="A155" t="s">
        <v>19</v>
      </c>
      <c r="B155">
        <v>100</v>
      </c>
      <c r="C155">
        <v>133.04999999999998</v>
      </c>
      <c r="D155">
        <v>4.5</v>
      </c>
      <c r="E155">
        <v>225</v>
      </c>
      <c r="F155">
        <v>133.04999999999998</v>
      </c>
      <c r="G155">
        <v>4.5</v>
      </c>
      <c r="H155">
        <v>1.2</v>
      </c>
      <c r="I155">
        <v>0.9</v>
      </c>
      <c r="J155">
        <v>56.126477890366417</v>
      </c>
      <c r="K155">
        <v>1500</v>
      </c>
      <c r="L155">
        <v>0</v>
      </c>
      <c r="N155">
        <v>13</v>
      </c>
      <c r="O155" s="60" t="s">
        <v>882</v>
      </c>
      <c r="P155" t="s">
        <v>816</v>
      </c>
      <c r="Q155" t="s">
        <v>1005</v>
      </c>
    </row>
    <row r="156" spans="1:17" x14ac:dyDescent="0.25">
      <c r="A156" t="s">
        <v>19</v>
      </c>
      <c r="B156">
        <v>225</v>
      </c>
      <c r="C156">
        <v>133.04999999999998</v>
      </c>
      <c r="D156">
        <v>4.5</v>
      </c>
      <c r="E156">
        <v>225</v>
      </c>
      <c r="F156">
        <v>131.69999999999999</v>
      </c>
      <c r="G156">
        <v>4.5</v>
      </c>
      <c r="H156">
        <v>1.2</v>
      </c>
      <c r="I156">
        <v>0.9</v>
      </c>
      <c r="J156">
        <v>0.60616596121595478</v>
      </c>
      <c r="K156">
        <v>1500</v>
      </c>
      <c r="L156">
        <v>0</v>
      </c>
      <c r="N156">
        <v>13</v>
      </c>
      <c r="O156" s="60" t="s">
        <v>883</v>
      </c>
      <c r="P156" t="s">
        <v>818</v>
      </c>
      <c r="Q156" t="s">
        <v>731</v>
      </c>
    </row>
    <row r="157" spans="1:17" x14ac:dyDescent="0.25">
      <c r="A157" t="s">
        <v>19</v>
      </c>
      <c r="B157">
        <v>225</v>
      </c>
      <c r="C157">
        <v>131.69999999999999</v>
      </c>
      <c r="D157">
        <v>4.5</v>
      </c>
      <c r="E157">
        <v>100</v>
      </c>
      <c r="F157">
        <v>131.69999999999999</v>
      </c>
      <c r="G157">
        <v>4.5</v>
      </c>
      <c r="H157">
        <v>1.2</v>
      </c>
      <c r="I157">
        <v>0.9</v>
      </c>
      <c r="J157">
        <v>56.126477890366417</v>
      </c>
      <c r="K157">
        <v>1500</v>
      </c>
      <c r="L157">
        <v>0</v>
      </c>
      <c r="N157">
        <v>13</v>
      </c>
      <c r="O157" s="60" t="s">
        <v>884</v>
      </c>
      <c r="P157" t="s">
        <v>820</v>
      </c>
      <c r="Q157" t="s">
        <v>1003</v>
      </c>
    </row>
    <row r="158" spans="1:17" x14ac:dyDescent="0.25">
      <c r="A158" t="s">
        <v>19</v>
      </c>
      <c r="B158">
        <v>100</v>
      </c>
      <c r="C158">
        <v>131.69999999999999</v>
      </c>
      <c r="D158">
        <v>4.5</v>
      </c>
      <c r="E158">
        <v>100</v>
      </c>
      <c r="F158">
        <v>126.35</v>
      </c>
      <c r="G158">
        <v>4.5</v>
      </c>
      <c r="H158">
        <v>1.2</v>
      </c>
      <c r="I158">
        <v>0.9</v>
      </c>
      <c r="J158">
        <v>2.4022132537076799</v>
      </c>
      <c r="K158">
        <v>1500</v>
      </c>
      <c r="L158">
        <v>0</v>
      </c>
      <c r="N158">
        <v>13</v>
      </c>
      <c r="O158" s="60" t="s">
        <v>885</v>
      </c>
      <c r="P158" t="s">
        <v>814</v>
      </c>
      <c r="Q158" t="s">
        <v>1037</v>
      </c>
    </row>
    <row r="159" spans="1:17" x14ac:dyDescent="0.25">
      <c r="A159" t="s">
        <v>19</v>
      </c>
      <c r="B159">
        <v>100</v>
      </c>
      <c r="C159">
        <v>126.35</v>
      </c>
      <c r="D159">
        <v>4.5</v>
      </c>
      <c r="E159">
        <v>225</v>
      </c>
      <c r="F159">
        <v>126.35</v>
      </c>
      <c r="G159">
        <v>4.5</v>
      </c>
      <c r="H159">
        <v>1.2</v>
      </c>
      <c r="I159">
        <v>0.9</v>
      </c>
      <c r="J159">
        <v>56.126477890366417</v>
      </c>
      <c r="K159">
        <v>1500</v>
      </c>
      <c r="L159">
        <v>0</v>
      </c>
      <c r="N159">
        <v>13</v>
      </c>
      <c r="O159" s="60" t="s">
        <v>886</v>
      </c>
      <c r="P159" t="s">
        <v>816</v>
      </c>
      <c r="Q159" t="s">
        <v>1005</v>
      </c>
    </row>
    <row r="160" spans="1:17" x14ac:dyDescent="0.25">
      <c r="A160" t="s">
        <v>19</v>
      </c>
      <c r="B160">
        <v>225</v>
      </c>
      <c r="C160">
        <v>126.35</v>
      </c>
      <c r="D160">
        <v>4.5</v>
      </c>
      <c r="E160">
        <v>225</v>
      </c>
      <c r="F160">
        <v>125</v>
      </c>
      <c r="G160">
        <v>4.5</v>
      </c>
      <c r="H160">
        <v>1.2</v>
      </c>
      <c r="I160">
        <v>0.9</v>
      </c>
      <c r="J160">
        <v>0.60616596121595478</v>
      </c>
      <c r="K160">
        <v>1500</v>
      </c>
      <c r="L160">
        <v>0</v>
      </c>
      <c r="N160">
        <v>13</v>
      </c>
      <c r="O160" s="60" t="s">
        <v>887</v>
      </c>
      <c r="P160" t="s">
        <v>818</v>
      </c>
      <c r="Q160" t="s">
        <v>997</v>
      </c>
    </row>
    <row r="161" spans="1:17" x14ac:dyDescent="0.25">
      <c r="A161" t="s">
        <v>19</v>
      </c>
      <c r="B161">
        <v>225</v>
      </c>
      <c r="C161">
        <v>125</v>
      </c>
      <c r="D161">
        <v>4.5</v>
      </c>
      <c r="E161">
        <v>100</v>
      </c>
      <c r="F161">
        <v>125</v>
      </c>
      <c r="G161">
        <v>4.5</v>
      </c>
      <c r="H161">
        <v>1.2</v>
      </c>
      <c r="I161">
        <v>0.9</v>
      </c>
      <c r="J161">
        <v>56.126477890366417</v>
      </c>
      <c r="K161">
        <v>1500</v>
      </c>
      <c r="L161">
        <v>0</v>
      </c>
      <c r="N161">
        <v>13</v>
      </c>
      <c r="O161" s="60" t="s">
        <v>888</v>
      </c>
      <c r="P161" t="s">
        <v>820</v>
      </c>
      <c r="Q161" t="s">
        <v>1003</v>
      </c>
    </row>
    <row r="162" spans="1:17" x14ac:dyDescent="0.25">
      <c r="A162" t="s">
        <v>39</v>
      </c>
      <c r="B162">
        <v>-1.25</v>
      </c>
      <c r="C162">
        <v>2100</v>
      </c>
      <c r="N162">
        <v>13</v>
      </c>
      <c r="O162" s="60" t="s">
        <v>889</v>
      </c>
      <c r="P162" t="s">
        <v>838</v>
      </c>
      <c r="Q162" t="s">
        <v>697</v>
      </c>
    </row>
    <row r="163" spans="1:17" x14ac:dyDescent="0.25">
      <c r="A163" t="s">
        <v>659</v>
      </c>
      <c r="B163">
        <v>0.9</v>
      </c>
      <c r="C163">
        <v>10000</v>
      </c>
      <c r="N163">
        <v>13</v>
      </c>
      <c r="O163" s="60" t="s">
        <v>889</v>
      </c>
      <c r="P163" t="s">
        <v>838</v>
      </c>
      <c r="Q163" t="s">
        <v>693</v>
      </c>
    </row>
    <row r="164" spans="1:17" x14ac:dyDescent="0.25">
      <c r="A164" t="s">
        <v>23</v>
      </c>
      <c r="B164">
        <v>100</v>
      </c>
      <c r="C164">
        <v>125</v>
      </c>
      <c r="D164">
        <v>4.5</v>
      </c>
      <c r="E164">
        <v>100</v>
      </c>
      <c r="F164">
        <v>125</v>
      </c>
      <c r="G164">
        <v>5.4</v>
      </c>
      <c r="H164">
        <v>0</v>
      </c>
      <c r="I164">
        <v>0</v>
      </c>
      <c r="K164">
        <v>48000</v>
      </c>
      <c r="N164">
        <v>0</v>
      </c>
      <c r="O164" s="60">
        <v>0</v>
      </c>
      <c r="P164" t="s">
        <v>660</v>
      </c>
      <c r="Q164" t="s">
        <v>994</v>
      </c>
    </row>
    <row r="165" spans="1:17" x14ac:dyDescent="0.25">
      <c r="A165" t="s">
        <v>19</v>
      </c>
      <c r="B165">
        <v>100</v>
      </c>
      <c r="C165">
        <v>125</v>
      </c>
      <c r="D165">
        <v>5.4</v>
      </c>
      <c r="E165">
        <v>225</v>
      </c>
      <c r="F165">
        <v>125</v>
      </c>
      <c r="G165">
        <v>5.4</v>
      </c>
      <c r="H165">
        <v>1.2</v>
      </c>
      <c r="I165">
        <v>0.9</v>
      </c>
      <c r="J165">
        <v>56.126477890366417</v>
      </c>
      <c r="K165">
        <v>1500</v>
      </c>
      <c r="L165">
        <v>0</v>
      </c>
      <c r="N165">
        <v>13</v>
      </c>
      <c r="O165" s="60" t="s">
        <v>890</v>
      </c>
      <c r="P165" t="s">
        <v>771</v>
      </c>
      <c r="Q165" t="s">
        <v>1004</v>
      </c>
    </row>
    <row r="166" spans="1:17" x14ac:dyDescent="0.25">
      <c r="A166" t="s">
        <v>19</v>
      </c>
      <c r="B166">
        <v>225</v>
      </c>
      <c r="C166">
        <v>125</v>
      </c>
      <c r="D166">
        <v>5.4</v>
      </c>
      <c r="E166">
        <v>225</v>
      </c>
      <c r="F166">
        <v>126.35</v>
      </c>
      <c r="G166">
        <v>5.4</v>
      </c>
      <c r="H166">
        <v>1.2</v>
      </c>
      <c r="I166">
        <v>0.9</v>
      </c>
      <c r="J166">
        <v>0.60616596121595478</v>
      </c>
      <c r="K166">
        <v>1500</v>
      </c>
      <c r="L166">
        <v>0</v>
      </c>
      <c r="N166">
        <v>13</v>
      </c>
      <c r="O166" s="60" t="s">
        <v>891</v>
      </c>
      <c r="P166" t="s">
        <v>773</v>
      </c>
      <c r="Q166" t="s">
        <v>998</v>
      </c>
    </row>
    <row r="167" spans="1:17" x14ac:dyDescent="0.25">
      <c r="A167" t="s">
        <v>19</v>
      </c>
      <c r="B167">
        <v>225</v>
      </c>
      <c r="C167">
        <v>126.35</v>
      </c>
      <c r="D167">
        <v>5.4</v>
      </c>
      <c r="E167">
        <v>100</v>
      </c>
      <c r="F167">
        <v>126.35</v>
      </c>
      <c r="G167">
        <v>5.4</v>
      </c>
      <c r="H167">
        <v>1.2</v>
      </c>
      <c r="I167">
        <v>0.9</v>
      </c>
      <c r="J167">
        <v>56.126477890366417</v>
      </c>
      <c r="K167">
        <v>1500</v>
      </c>
      <c r="L167">
        <v>0</v>
      </c>
      <c r="N167">
        <v>13</v>
      </c>
      <c r="O167" s="60" t="s">
        <v>892</v>
      </c>
      <c r="P167" t="s">
        <v>775</v>
      </c>
      <c r="Q167" t="s">
        <v>1003</v>
      </c>
    </row>
    <row r="168" spans="1:17" x14ac:dyDescent="0.25">
      <c r="A168" t="s">
        <v>19</v>
      </c>
      <c r="B168">
        <v>100</v>
      </c>
      <c r="C168">
        <v>126.35</v>
      </c>
      <c r="D168">
        <v>5.4</v>
      </c>
      <c r="E168">
        <v>100</v>
      </c>
      <c r="F168">
        <v>131.69999999999999</v>
      </c>
      <c r="G168">
        <v>5.4</v>
      </c>
      <c r="H168">
        <v>1.2</v>
      </c>
      <c r="I168">
        <v>0.9</v>
      </c>
      <c r="J168">
        <v>2.4022132537076799</v>
      </c>
      <c r="K168">
        <v>1500</v>
      </c>
      <c r="L168">
        <v>0</v>
      </c>
      <c r="N168">
        <v>13</v>
      </c>
      <c r="O168" s="60" t="s">
        <v>893</v>
      </c>
      <c r="P168" t="s">
        <v>777</v>
      </c>
      <c r="Q168" t="s">
        <v>1021</v>
      </c>
    </row>
    <row r="169" spans="1:17" x14ac:dyDescent="0.25">
      <c r="A169" t="s">
        <v>19</v>
      </c>
      <c r="B169">
        <v>100</v>
      </c>
      <c r="C169">
        <v>131.69999999999999</v>
      </c>
      <c r="D169">
        <v>5.4</v>
      </c>
      <c r="E169">
        <v>225</v>
      </c>
      <c r="F169">
        <v>131.69999999999999</v>
      </c>
      <c r="G169">
        <v>5.4</v>
      </c>
      <c r="H169">
        <v>1.2</v>
      </c>
      <c r="I169">
        <v>0.9</v>
      </c>
      <c r="J169">
        <v>56.126477890366417</v>
      </c>
      <c r="K169">
        <v>1500</v>
      </c>
      <c r="L169">
        <v>0</v>
      </c>
      <c r="N169">
        <v>13</v>
      </c>
      <c r="O169" s="60" t="s">
        <v>894</v>
      </c>
      <c r="P169" t="s">
        <v>779</v>
      </c>
      <c r="Q169" t="s">
        <v>1005</v>
      </c>
    </row>
    <row r="170" spans="1:17" x14ac:dyDescent="0.25">
      <c r="A170" t="s">
        <v>19</v>
      </c>
      <c r="B170">
        <v>225</v>
      </c>
      <c r="C170">
        <v>131.69999999999999</v>
      </c>
      <c r="D170">
        <v>5.4</v>
      </c>
      <c r="E170">
        <v>225</v>
      </c>
      <c r="F170">
        <v>133.04999999999998</v>
      </c>
      <c r="G170">
        <v>5.4</v>
      </c>
      <c r="H170">
        <v>1.2</v>
      </c>
      <c r="I170">
        <v>0.9</v>
      </c>
      <c r="J170">
        <v>0.60616596121595478</v>
      </c>
      <c r="K170">
        <v>1500</v>
      </c>
      <c r="L170">
        <v>0</v>
      </c>
      <c r="N170">
        <v>13</v>
      </c>
      <c r="O170" s="60" t="s">
        <v>895</v>
      </c>
      <c r="P170" t="s">
        <v>781</v>
      </c>
      <c r="Q170" t="s">
        <v>732</v>
      </c>
    </row>
    <row r="171" spans="1:17" x14ac:dyDescent="0.25">
      <c r="A171" t="s">
        <v>19</v>
      </c>
      <c r="B171">
        <v>225</v>
      </c>
      <c r="C171">
        <v>133.04999999999998</v>
      </c>
      <c r="D171">
        <v>5.4</v>
      </c>
      <c r="E171">
        <v>100</v>
      </c>
      <c r="F171">
        <v>133.04999999999998</v>
      </c>
      <c r="G171">
        <v>5.4</v>
      </c>
      <c r="H171">
        <v>1.2</v>
      </c>
      <c r="I171">
        <v>0.9</v>
      </c>
      <c r="J171">
        <v>56.126477890366417</v>
      </c>
      <c r="K171">
        <v>1500</v>
      </c>
      <c r="L171">
        <v>0</v>
      </c>
      <c r="N171">
        <v>13</v>
      </c>
      <c r="O171" s="60" t="s">
        <v>896</v>
      </c>
      <c r="P171" t="s">
        <v>783</v>
      </c>
      <c r="Q171" t="s">
        <v>1003</v>
      </c>
    </row>
    <row r="172" spans="1:17" x14ac:dyDescent="0.25">
      <c r="A172" t="s">
        <v>19</v>
      </c>
      <c r="B172">
        <v>100</v>
      </c>
      <c r="C172">
        <v>133.04999999999998</v>
      </c>
      <c r="D172">
        <v>5.4</v>
      </c>
      <c r="E172">
        <v>100</v>
      </c>
      <c r="F172">
        <v>138.39999999999998</v>
      </c>
      <c r="G172">
        <v>5.4</v>
      </c>
      <c r="H172">
        <v>1.2</v>
      </c>
      <c r="I172">
        <v>0.9</v>
      </c>
      <c r="J172">
        <v>2.4022132537076799</v>
      </c>
      <c r="K172">
        <v>1500</v>
      </c>
      <c r="L172">
        <v>0</v>
      </c>
      <c r="N172">
        <v>13</v>
      </c>
      <c r="O172" s="60" t="s">
        <v>897</v>
      </c>
      <c r="P172" t="s">
        <v>785</v>
      </c>
      <c r="Q172" t="s">
        <v>1022</v>
      </c>
    </row>
    <row r="173" spans="1:17" x14ac:dyDescent="0.25">
      <c r="A173" t="s">
        <v>19</v>
      </c>
      <c r="B173">
        <v>100</v>
      </c>
      <c r="C173">
        <v>138.4</v>
      </c>
      <c r="D173">
        <v>5.4</v>
      </c>
      <c r="E173">
        <v>225</v>
      </c>
      <c r="F173">
        <v>138.4</v>
      </c>
      <c r="G173">
        <v>5.4</v>
      </c>
      <c r="H173">
        <v>1.2</v>
      </c>
      <c r="I173">
        <v>0.9</v>
      </c>
      <c r="J173">
        <v>56.126477890366417</v>
      </c>
      <c r="K173">
        <v>1500</v>
      </c>
      <c r="L173">
        <v>0</v>
      </c>
      <c r="N173">
        <v>13</v>
      </c>
      <c r="O173" s="60" t="s">
        <v>898</v>
      </c>
      <c r="P173" t="s">
        <v>779</v>
      </c>
      <c r="Q173" t="s">
        <v>1005</v>
      </c>
    </row>
    <row r="174" spans="1:17" x14ac:dyDescent="0.25">
      <c r="A174" t="s">
        <v>19</v>
      </c>
      <c r="B174">
        <v>225</v>
      </c>
      <c r="C174">
        <v>138.4</v>
      </c>
      <c r="D174">
        <v>5.4</v>
      </c>
      <c r="E174">
        <v>225</v>
      </c>
      <c r="F174">
        <v>139.75</v>
      </c>
      <c r="G174">
        <v>5.4</v>
      </c>
      <c r="H174">
        <v>1.2</v>
      </c>
      <c r="I174">
        <v>0.9</v>
      </c>
      <c r="J174">
        <v>0.60616596121595478</v>
      </c>
      <c r="K174">
        <v>1500</v>
      </c>
      <c r="L174">
        <v>0</v>
      </c>
      <c r="N174">
        <v>13</v>
      </c>
      <c r="O174" s="60" t="s">
        <v>899</v>
      </c>
      <c r="P174" t="s">
        <v>781</v>
      </c>
      <c r="Q174" t="s">
        <v>1023</v>
      </c>
    </row>
    <row r="175" spans="1:17" x14ac:dyDescent="0.25">
      <c r="A175" t="s">
        <v>19</v>
      </c>
      <c r="B175">
        <v>225</v>
      </c>
      <c r="C175">
        <v>139.75</v>
      </c>
      <c r="D175">
        <v>5.4</v>
      </c>
      <c r="E175">
        <v>100</v>
      </c>
      <c r="F175">
        <v>139.75</v>
      </c>
      <c r="G175">
        <v>5.4</v>
      </c>
      <c r="H175">
        <v>1.2</v>
      </c>
      <c r="I175">
        <v>0.9</v>
      </c>
      <c r="J175">
        <v>56.126477890366417</v>
      </c>
      <c r="K175">
        <v>1500</v>
      </c>
      <c r="L175">
        <v>0</v>
      </c>
      <c r="N175">
        <v>13</v>
      </c>
      <c r="O175" s="60" t="s">
        <v>900</v>
      </c>
      <c r="P175" t="s">
        <v>783</v>
      </c>
      <c r="Q175" t="s">
        <v>1003</v>
      </c>
    </row>
    <row r="176" spans="1:17" x14ac:dyDescent="0.25">
      <c r="A176" t="s">
        <v>19</v>
      </c>
      <c r="B176">
        <v>100</v>
      </c>
      <c r="C176">
        <v>139.75</v>
      </c>
      <c r="D176">
        <v>5.4</v>
      </c>
      <c r="E176">
        <v>100</v>
      </c>
      <c r="F176">
        <v>145.1</v>
      </c>
      <c r="G176">
        <v>5.4</v>
      </c>
      <c r="H176">
        <v>1.2</v>
      </c>
      <c r="I176">
        <v>0.9</v>
      </c>
      <c r="J176">
        <v>2.4022132537076799</v>
      </c>
      <c r="K176">
        <v>1500</v>
      </c>
      <c r="L176">
        <v>0</v>
      </c>
      <c r="N176">
        <v>13</v>
      </c>
      <c r="O176" s="60" t="s">
        <v>901</v>
      </c>
      <c r="P176" t="s">
        <v>785</v>
      </c>
      <c r="Q176" t="s">
        <v>1024</v>
      </c>
    </row>
    <row r="177" spans="1:17" x14ac:dyDescent="0.25">
      <c r="A177" t="s">
        <v>19</v>
      </c>
      <c r="B177">
        <v>100</v>
      </c>
      <c r="C177">
        <v>145.1</v>
      </c>
      <c r="D177">
        <v>5.4</v>
      </c>
      <c r="E177">
        <v>225</v>
      </c>
      <c r="F177">
        <v>145.1</v>
      </c>
      <c r="G177">
        <v>5.4</v>
      </c>
      <c r="H177">
        <v>1.2</v>
      </c>
      <c r="I177">
        <v>0.9</v>
      </c>
      <c r="J177">
        <v>56.126477890366417</v>
      </c>
      <c r="K177">
        <v>1500</v>
      </c>
      <c r="L177">
        <v>0</v>
      </c>
      <c r="N177">
        <v>13</v>
      </c>
      <c r="O177" s="60" t="s">
        <v>902</v>
      </c>
      <c r="P177" t="s">
        <v>779</v>
      </c>
      <c r="Q177" t="s">
        <v>1005</v>
      </c>
    </row>
    <row r="178" spans="1:17" x14ac:dyDescent="0.25">
      <c r="A178" t="s">
        <v>19</v>
      </c>
      <c r="B178">
        <v>225</v>
      </c>
      <c r="C178">
        <v>145.1</v>
      </c>
      <c r="D178">
        <v>5.4</v>
      </c>
      <c r="E178">
        <v>225</v>
      </c>
      <c r="F178">
        <v>146.44999999999999</v>
      </c>
      <c r="G178">
        <v>5.4</v>
      </c>
      <c r="H178">
        <v>1.2</v>
      </c>
      <c r="I178">
        <v>0.9</v>
      </c>
      <c r="J178">
        <v>0.60616596121595478</v>
      </c>
      <c r="K178">
        <v>1500</v>
      </c>
      <c r="L178">
        <v>0</v>
      </c>
      <c r="N178">
        <v>13</v>
      </c>
      <c r="O178" s="60" t="s">
        <v>903</v>
      </c>
      <c r="P178" t="s">
        <v>781</v>
      </c>
      <c r="Q178" t="s">
        <v>1025</v>
      </c>
    </row>
    <row r="179" spans="1:17" x14ac:dyDescent="0.25">
      <c r="A179" t="s">
        <v>19</v>
      </c>
      <c r="B179">
        <v>225</v>
      </c>
      <c r="C179">
        <v>146.44999999999999</v>
      </c>
      <c r="D179">
        <v>5.4</v>
      </c>
      <c r="E179">
        <v>100</v>
      </c>
      <c r="F179">
        <v>146.44999999999999</v>
      </c>
      <c r="G179">
        <v>5.4</v>
      </c>
      <c r="H179">
        <v>1.2</v>
      </c>
      <c r="I179">
        <v>0.9</v>
      </c>
      <c r="J179">
        <v>56.126477890366417</v>
      </c>
      <c r="K179">
        <v>1500</v>
      </c>
      <c r="L179">
        <v>0</v>
      </c>
      <c r="N179">
        <v>13</v>
      </c>
      <c r="O179" s="60" t="s">
        <v>904</v>
      </c>
      <c r="P179" t="s">
        <v>783</v>
      </c>
      <c r="Q179" t="s">
        <v>1003</v>
      </c>
    </row>
    <row r="180" spans="1:17" x14ac:dyDescent="0.25">
      <c r="A180" t="s">
        <v>19</v>
      </c>
      <c r="B180">
        <v>100</v>
      </c>
      <c r="C180">
        <v>146.44999999999999</v>
      </c>
      <c r="D180">
        <v>5.4</v>
      </c>
      <c r="E180">
        <v>100</v>
      </c>
      <c r="F180">
        <v>151.79999999999998</v>
      </c>
      <c r="G180">
        <v>5.4</v>
      </c>
      <c r="H180">
        <v>1.2</v>
      </c>
      <c r="I180">
        <v>0.9</v>
      </c>
      <c r="J180">
        <v>2.4022132537076799</v>
      </c>
      <c r="K180">
        <v>1500</v>
      </c>
      <c r="L180">
        <v>0</v>
      </c>
      <c r="N180">
        <v>13</v>
      </c>
      <c r="O180" s="60" t="s">
        <v>905</v>
      </c>
      <c r="P180" t="s">
        <v>785</v>
      </c>
      <c r="Q180" t="s">
        <v>1026</v>
      </c>
    </row>
    <row r="181" spans="1:17" x14ac:dyDescent="0.25">
      <c r="A181" t="s">
        <v>19</v>
      </c>
      <c r="B181">
        <v>100</v>
      </c>
      <c r="C181">
        <v>151.80000000000001</v>
      </c>
      <c r="D181">
        <v>5.4</v>
      </c>
      <c r="E181">
        <v>225</v>
      </c>
      <c r="F181">
        <v>151.80000000000001</v>
      </c>
      <c r="G181">
        <v>5.4</v>
      </c>
      <c r="H181">
        <v>1.2</v>
      </c>
      <c r="I181">
        <v>0.9</v>
      </c>
      <c r="J181">
        <v>56.126477890366417</v>
      </c>
      <c r="K181">
        <v>1500</v>
      </c>
      <c r="L181">
        <v>0</v>
      </c>
      <c r="N181">
        <v>13</v>
      </c>
      <c r="O181" s="60" t="s">
        <v>906</v>
      </c>
      <c r="P181" t="s">
        <v>779</v>
      </c>
      <c r="Q181" t="s">
        <v>1005</v>
      </c>
    </row>
    <row r="182" spans="1:17" x14ac:dyDescent="0.25">
      <c r="A182" t="s">
        <v>19</v>
      </c>
      <c r="B182">
        <v>225</v>
      </c>
      <c r="C182">
        <v>151.80000000000001</v>
      </c>
      <c r="D182">
        <v>5.4</v>
      </c>
      <c r="E182">
        <v>225</v>
      </c>
      <c r="F182">
        <v>153.15</v>
      </c>
      <c r="G182">
        <v>5.4</v>
      </c>
      <c r="H182">
        <v>1.2</v>
      </c>
      <c r="I182">
        <v>0.9</v>
      </c>
      <c r="J182">
        <v>0.60616596121595478</v>
      </c>
      <c r="K182">
        <v>1500</v>
      </c>
      <c r="L182">
        <v>0</v>
      </c>
      <c r="N182">
        <v>13</v>
      </c>
      <c r="O182" s="60" t="s">
        <v>907</v>
      </c>
      <c r="P182" t="s">
        <v>781</v>
      </c>
      <c r="Q182" t="s">
        <v>1027</v>
      </c>
    </row>
    <row r="183" spans="1:17" x14ac:dyDescent="0.25">
      <c r="A183" t="s">
        <v>19</v>
      </c>
      <c r="B183">
        <v>225</v>
      </c>
      <c r="C183">
        <v>153.15</v>
      </c>
      <c r="D183">
        <v>5.4</v>
      </c>
      <c r="E183">
        <v>100</v>
      </c>
      <c r="F183">
        <v>153.15</v>
      </c>
      <c r="G183">
        <v>5.4</v>
      </c>
      <c r="H183">
        <v>1.2</v>
      </c>
      <c r="I183">
        <v>0.9</v>
      </c>
      <c r="J183">
        <v>56.126477890366417</v>
      </c>
      <c r="K183">
        <v>1500</v>
      </c>
      <c r="L183">
        <v>0</v>
      </c>
      <c r="N183">
        <v>13</v>
      </c>
      <c r="O183" s="60" t="s">
        <v>908</v>
      </c>
      <c r="P183" t="s">
        <v>783</v>
      </c>
      <c r="Q183" t="s">
        <v>1003</v>
      </c>
    </row>
    <row r="184" spans="1:17" x14ac:dyDescent="0.25">
      <c r="A184" t="s">
        <v>19</v>
      </c>
      <c r="B184">
        <v>100</v>
      </c>
      <c r="C184">
        <v>153.15</v>
      </c>
      <c r="D184">
        <v>5.4</v>
      </c>
      <c r="E184">
        <v>100</v>
      </c>
      <c r="F184">
        <v>158.5</v>
      </c>
      <c r="G184">
        <v>5.4</v>
      </c>
      <c r="H184">
        <v>1.2</v>
      </c>
      <c r="I184">
        <v>0.9</v>
      </c>
      <c r="J184">
        <v>2.4022132537076799</v>
      </c>
      <c r="K184">
        <v>1500</v>
      </c>
      <c r="L184">
        <v>0</v>
      </c>
      <c r="N184">
        <v>13</v>
      </c>
      <c r="O184" s="60" t="s">
        <v>909</v>
      </c>
      <c r="P184" t="s">
        <v>785</v>
      </c>
      <c r="Q184" t="s">
        <v>1028</v>
      </c>
    </row>
    <row r="185" spans="1:17" x14ac:dyDescent="0.25">
      <c r="A185" t="s">
        <v>19</v>
      </c>
      <c r="B185">
        <v>100</v>
      </c>
      <c r="C185">
        <v>158.5</v>
      </c>
      <c r="D185">
        <v>5.4</v>
      </c>
      <c r="E185">
        <v>225</v>
      </c>
      <c r="F185">
        <v>158.5</v>
      </c>
      <c r="G185">
        <v>5.4</v>
      </c>
      <c r="H185">
        <v>1.2</v>
      </c>
      <c r="I185">
        <v>0.9</v>
      </c>
      <c r="J185">
        <v>56.126477890366417</v>
      </c>
      <c r="K185">
        <v>1500</v>
      </c>
      <c r="L185">
        <v>0</v>
      </c>
      <c r="N185">
        <v>13</v>
      </c>
      <c r="O185" s="60" t="s">
        <v>910</v>
      </c>
      <c r="P185" t="s">
        <v>779</v>
      </c>
      <c r="Q185" t="s">
        <v>1005</v>
      </c>
    </row>
    <row r="186" spans="1:17" x14ac:dyDescent="0.25">
      <c r="A186" t="s">
        <v>19</v>
      </c>
      <c r="B186">
        <v>225</v>
      </c>
      <c r="C186">
        <v>158.5</v>
      </c>
      <c r="D186">
        <v>5.4</v>
      </c>
      <c r="E186">
        <v>225</v>
      </c>
      <c r="F186">
        <v>159.85</v>
      </c>
      <c r="G186">
        <v>5.4</v>
      </c>
      <c r="H186">
        <v>1.2</v>
      </c>
      <c r="I186">
        <v>0.9</v>
      </c>
      <c r="J186">
        <v>0.60616596121595478</v>
      </c>
      <c r="K186">
        <v>1500</v>
      </c>
      <c r="L186">
        <v>0</v>
      </c>
      <c r="N186">
        <v>13</v>
      </c>
      <c r="O186" s="60" t="s">
        <v>911</v>
      </c>
      <c r="P186" t="s">
        <v>781</v>
      </c>
      <c r="Q186" t="s">
        <v>1029</v>
      </c>
    </row>
    <row r="187" spans="1:17" x14ac:dyDescent="0.25">
      <c r="A187" t="s">
        <v>19</v>
      </c>
      <c r="B187">
        <v>225</v>
      </c>
      <c r="C187">
        <v>159.85</v>
      </c>
      <c r="D187">
        <v>5.4</v>
      </c>
      <c r="E187">
        <v>100</v>
      </c>
      <c r="F187">
        <v>159.85</v>
      </c>
      <c r="G187">
        <v>5.4</v>
      </c>
      <c r="H187">
        <v>1.2</v>
      </c>
      <c r="I187">
        <v>0.9</v>
      </c>
      <c r="J187">
        <v>56.126477890366417</v>
      </c>
      <c r="K187">
        <v>1500</v>
      </c>
      <c r="L187">
        <v>0</v>
      </c>
      <c r="N187">
        <v>13</v>
      </c>
      <c r="O187" s="60" t="s">
        <v>912</v>
      </c>
      <c r="P187" t="s">
        <v>783</v>
      </c>
      <c r="Q187" t="s">
        <v>1003</v>
      </c>
    </row>
    <row r="188" spans="1:17" x14ac:dyDescent="0.25">
      <c r="A188" t="s">
        <v>19</v>
      </c>
      <c r="B188">
        <v>100</v>
      </c>
      <c r="C188">
        <v>159.85</v>
      </c>
      <c r="D188">
        <v>5.4</v>
      </c>
      <c r="E188">
        <v>100</v>
      </c>
      <c r="F188">
        <v>165.2</v>
      </c>
      <c r="G188">
        <v>5.4</v>
      </c>
      <c r="H188">
        <v>1.2</v>
      </c>
      <c r="I188">
        <v>0.9</v>
      </c>
      <c r="J188">
        <v>2.4022132537076799</v>
      </c>
      <c r="K188">
        <v>1500</v>
      </c>
      <c r="L188">
        <v>0</v>
      </c>
      <c r="N188">
        <v>13</v>
      </c>
      <c r="O188" s="60" t="s">
        <v>913</v>
      </c>
      <c r="P188" t="s">
        <v>785</v>
      </c>
      <c r="Q188" t="s">
        <v>1030</v>
      </c>
    </row>
    <row r="189" spans="1:17" x14ac:dyDescent="0.25">
      <c r="A189" t="s">
        <v>39</v>
      </c>
      <c r="B189">
        <v>-1.25</v>
      </c>
      <c r="C189">
        <v>2100</v>
      </c>
      <c r="N189">
        <v>13</v>
      </c>
      <c r="O189" s="60" t="s">
        <v>914</v>
      </c>
      <c r="P189" t="s">
        <v>803</v>
      </c>
      <c r="Q189" t="s">
        <v>697</v>
      </c>
    </row>
    <row r="190" spans="1:17" x14ac:dyDescent="0.25">
      <c r="A190" t="s">
        <v>659</v>
      </c>
      <c r="B190">
        <v>0.9</v>
      </c>
      <c r="C190">
        <v>10000</v>
      </c>
      <c r="N190">
        <v>13</v>
      </c>
      <c r="O190" s="60" t="s">
        <v>914</v>
      </c>
      <c r="P190" t="s">
        <v>803</v>
      </c>
      <c r="Q190" t="s">
        <v>728</v>
      </c>
    </row>
    <row r="191" spans="1:17" x14ac:dyDescent="0.25">
      <c r="A191" t="s">
        <v>23</v>
      </c>
      <c r="B191">
        <v>100</v>
      </c>
      <c r="C191">
        <v>165.2</v>
      </c>
      <c r="D191">
        <v>5.4</v>
      </c>
      <c r="E191">
        <v>100</v>
      </c>
      <c r="F191">
        <v>165.2</v>
      </c>
      <c r="G191">
        <v>6.3</v>
      </c>
      <c r="H191">
        <v>0</v>
      </c>
      <c r="I191">
        <v>0</v>
      </c>
      <c r="K191">
        <v>48000</v>
      </c>
      <c r="N191">
        <v>0</v>
      </c>
      <c r="O191" s="60">
        <v>0</v>
      </c>
      <c r="P191" t="s">
        <v>660</v>
      </c>
      <c r="Q191" t="s">
        <v>915</v>
      </c>
    </row>
    <row r="192" spans="1:17" x14ac:dyDescent="0.25">
      <c r="A192" t="s">
        <v>19</v>
      </c>
      <c r="B192">
        <v>100</v>
      </c>
      <c r="C192">
        <v>165.2</v>
      </c>
      <c r="D192">
        <v>6.3</v>
      </c>
      <c r="E192">
        <v>100</v>
      </c>
      <c r="F192">
        <v>159.85</v>
      </c>
      <c r="G192">
        <v>6.3</v>
      </c>
      <c r="H192">
        <v>1.2</v>
      </c>
      <c r="I192">
        <v>0.9</v>
      </c>
      <c r="J192">
        <v>2.4022132537076799</v>
      </c>
      <c r="K192">
        <v>1500</v>
      </c>
      <c r="L192">
        <v>0</v>
      </c>
      <c r="N192">
        <v>13</v>
      </c>
      <c r="O192" s="60" t="s">
        <v>916</v>
      </c>
      <c r="P192" t="s">
        <v>806</v>
      </c>
      <c r="Q192" t="s">
        <v>1039</v>
      </c>
    </row>
    <row r="193" spans="1:17" x14ac:dyDescent="0.25">
      <c r="A193" t="s">
        <v>19</v>
      </c>
      <c r="B193">
        <v>100</v>
      </c>
      <c r="C193">
        <v>159.85</v>
      </c>
      <c r="D193">
        <v>6.3</v>
      </c>
      <c r="E193">
        <v>225</v>
      </c>
      <c r="F193">
        <v>159.85</v>
      </c>
      <c r="G193">
        <v>6.3</v>
      </c>
      <c r="H193">
        <v>1.2</v>
      </c>
      <c r="I193">
        <v>0.9</v>
      </c>
      <c r="J193">
        <v>56.126477890366417</v>
      </c>
      <c r="K193">
        <v>1500</v>
      </c>
      <c r="L193">
        <v>0</v>
      </c>
      <c r="N193">
        <v>13</v>
      </c>
      <c r="O193" s="60" t="s">
        <v>917</v>
      </c>
      <c r="P193" t="s">
        <v>808</v>
      </c>
      <c r="Q193" t="s">
        <v>1005</v>
      </c>
    </row>
    <row r="194" spans="1:17" x14ac:dyDescent="0.25">
      <c r="A194" t="s">
        <v>19</v>
      </c>
      <c r="B194">
        <v>225</v>
      </c>
      <c r="C194">
        <v>159.85</v>
      </c>
      <c r="D194">
        <v>6.3</v>
      </c>
      <c r="E194">
        <v>225</v>
      </c>
      <c r="F194">
        <v>158.5</v>
      </c>
      <c r="G194">
        <v>6.3</v>
      </c>
      <c r="H194">
        <v>1.2</v>
      </c>
      <c r="I194">
        <v>0.9</v>
      </c>
      <c r="J194">
        <v>0.60616596121595478</v>
      </c>
      <c r="K194">
        <v>1500</v>
      </c>
      <c r="L194">
        <v>0</v>
      </c>
      <c r="N194">
        <v>13</v>
      </c>
      <c r="O194" s="60" t="s">
        <v>918</v>
      </c>
      <c r="P194" t="s">
        <v>810</v>
      </c>
      <c r="Q194" t="s">
        <v>1017</v>
      </c>
    </row>
    <row r="195" spans="1:17" x14ac:dyDescent="0.25">
      <c r="A195" t="s">
        <v>19</v>
      </c>
      <c r="B195">
        <v>225</v>
      </c>
      <c r="C195">
        <v>158.5</v>
      </c>
      <c r="D195">
        <v>6.3</v>
      </c>
      <c r="E195">
        <v>100</v>
      </c>
      <c r="F195">
        <v>158.5</v>
      </c>
      <c r="G195">
        <v>6.3</v>
      </c>
      <c r="H195">
        <v>1.2</v>
      </c>
      <c r="I195">
        <v>0.9</v>
      </c>
      <c r="J195">
        <v>56.126477890366417</v>
      </c>
      <c r="K195">
        <v>1500</v>
      </c>
      <c r="L195">
        <v>0</v>
      </c>
      <c r="N195">
        <v>13</v>
      </c>
      <c r="O195" s="60" t="s">
        <v>919</v>
      </c>
      <c r="P195" t="s">
        <v>812</v>
      </c>
      <c r="Q195" t="s">
        <v>1003</v>
      </c>
    </row>
    <row r="196" spans="1:17" x14ac:dyDescent="0.25">
      <c r="A196" t="s">
        <v>19</v>
      </c>
      <c r="B196">
        <v>100</v>
      </c>
      <c r="C196">
        <v>158.5</v>
      </c>
      <c r="D196">
        <v>6.3</v>
      </c>
      <c r="E196">
        <v>100</v>
      </c>
      <c r="F196">
        <v>153.15</v>
      </c>
      <c r="G196">
        <v>6.3</v>
      </c>
      <c r="H196">
        <v>1.2</v>
      </c>
      <c r="I196">
        <v>0.9</v>
      </c>
      <c r="J196">
        <v>2.4022132537076799</v>
      </c>
      <c r="K196">
        <v>1500</v>
      </c>
      <c r="L196">
        <v>0</v>
      </c>
      <c r="N196">
        <v>13</v>
      </c>
      <c r="O196" s="60" t="s">
        <v>920</v>
      </c>
      <c r="P196" t="s">
        <v>814</v>
      </c>
      <c r="Q196" t="s">
        <v>1033</v>
      </c>
    </row>
    <row r="197" spans="1:17" x14ac:dyDescent="0.25">
      <c r="A197" t="s">
        <v>19</v>
      </c>
      <c r="B197">
        <v>100</v>
      </c>
      <c r="C197">
        <v>153.15</v>
      </c>
      <c r="D197">
        <v>6.3</v>
      </c>
      <c r="E197">
        <v>225</v>
      </c>
      <c r="F197">
        <v>153.15</v>
      </c>
      <c r="G197">
        <v>6.3</v>
      </c>
      <c r="H197">
        <v>1.2</v>
      </c>
      <c r="I197">
        <v>0.9</v>
      </c>
      <c r="J197">
        <v>56.126477890366417</v>
      </c>
      <c r="K197">
        <v>1500</v>
      </c>
      <c r="L197">
        <v>0</v>
      </c>
      <c r="N197">
        <v>13</v>
      </c>
      <c r="O197" s="60" t="s">
        <v>921</v>
      </c>
      <c r="P197" t="s">
        <v>816</v>
      </c>
      <c r="Q197" t="s">
        <v>1005</v>
      </c>
    </row>
    <row r="198" spans="1:17" x14ac:dyDescent="0.25">
      <c r="A198" t="s">
        <v>19</v>
      </c>
      <c r="B198">
        <v>225</v>
      </c>
      <c r="C198">
        <v>153.15</v>
      </c>
      <c r="D198">
        <v>6.3</v>
      </c>
      <c r="E198">
        <v>225</v>
      </c>
      <c r="F198">
        <v>151.80000000000001</v>
      </c>
      <c r="G198">
        <v>6.3</v>
      </c>
      <c r="H198">
        <v>1.2</v>
      </c>
      <c r="I198">
        <v>0.9</v>
      </c>
      <c r="J198">
        <v>0.60616596121595478</v>
      </c>
      <c r="K198">
        <v>1500</v>
      </c>
      <c r="L198">
        <v>0</v>
      </c>
      <c r="N198">
        <v>13</v>
      </c>
      <c r="O198" s="60" t="s">
        <v>922</v>
      </c>
      <c r="P198" t="s">
        <v>818</v>
      </c>
      <c r="Q198" t="s">
        <v>1018</v>
      </c>
    </row>
    <row r="199" spans="1:17" x14ac:dyDescent="0.25">
      <c r="A199" t="s">
        <v>19</v>
      </c>
      <c r="B199">
        <v>225</v>
      </c>
      <c r="C199">
        <v>151.80000000000001</v>
      </c>
      <c r="D199">
        <v>6.3</v>
      </c>
      <c r="E199">
        <v>100</v>
      </c>
      <c r="F199">
        <v>151.80000000000001</v>
      </c>
      <c r="G199">
        <v>6.3</v>
      </c>
      <c r="H199">
        <v>1.2</v>
      </c>
      <c r="I199">
        <v>0.9</v>
      </c>
      <c r="J199">
        <v>56.126477890366417</v>
      </c>
      <c r="K199">
        <v>1500</v>
      </c>
      <c r="L199">
        <v>0</v>
      </c>
      <c r="N199">
        <v>13</v>
      </c>
      <c r="O199" s="60" t="s">
        <v>923</v>
      </c>
      <c r="P199" t="s">
        <v>820</v>
      </c>
      <c r="Q199" t="s">
        <v>1003</v>
      </c>
    </row>
    <row r="200" spans="1:17" x14ac:dyDescent="0.25">
      <c r="A200" t="s">
        <v>19</v>
      </c>
      <c r="B200">
        <v>100</v>
      </c>
      <c r="C200">
        <v>151.79999999999998</v>
      </c>
      <c r="D200">
        <v>6.3</v>
      </c>
      <c r="E200">
        <v>100</v>
      </c>
      <c r="F200">
        <v>146.44999999999999</v>
      </c>
      <c r="G200">
        <v>6.3</v>
      </c>
      <c r="H200">
        <v>1.2</v>
      </c>
      <c r="I200">
        <v>0.9</v>
      </c>
      <c r="J200">
        <v>2.4022132537076799</v>
      </c>
      <c r="K200">
        <v>1500</v>
      </c>
      <c r="L200">
        <v>0</v>
      </c>
      <c r="N200">
        <v>13</v>
      </c>
      <c r="O200" s="60" t="s">
        <v>924</v>
      </c>
      <c r="P200" t="s">
        <v>814</v>
      </c>
      <c r="Q200" t="s">
        <v>1034</v>
      </c>
    </row>
    <row r="201" spans="1:17" x14ac:dyDescent="0.25">
      <c r="A201" t="s">
        <v>19</v>
      </c>
      <c r="B201">
        <v>100</v>
      </c>
      <c r="C201">
        <v>146.44999999999999</v>
      </c>
      <c r="D201">
        <v>6.3</v>
      </c>
      <c r="E201">
        <v>225</v>
      </c>
      <c r="F201">
        <v>146.44999999999999</v>
      </c>
      <c r="G201">
        <v>6.3</v>
      </c>
      <c r="H201">
        <v>1.2</v>
      </c>
      <c r="I201">
        <v>0.9</v>
      </c>
      <c r="J201">
        <v>56.126477890366417</v>
      </c>
      <c r="K201">
        <v>1500</v>
      </c>
      <c r="L201">
        <v>0</v>
      </c>
      <c r="N201">
        <v>13</v>
      </c>
      <c r="O201" s="60" t="s">
        <v>925</v>
      </c>
      <c r="P201" t="s">
        <v>816</v>
      </c>
      <c r="Q201" t="s">
        <v>1005</v>
      </c>
    </row>
    <row r="202" spans="1:17" x14ac:dyDescent="0.25">
      <c r="A202" t="s">
        <v>19</v>
      </c>
      <c r="B202">
        <v>225</v>
      </c>
      <c r="C202">
        <v>146.44999999999999</v>
      </c>
      <c r="D202">
        <v>6.3</v>
      </c>
      <c r="E202">
        <v>225</v>
      </c>
      <c r="F202">
        <v>145.1</v>
      </c>
      <c r="G202">
        <v>6.3</v>
      </c>
      <c r="H202">
        <v>1.2</v>
      </c>
      <c r="I202">
        <v>0.9</v>
      </c>
      <c r="J202">
        <v>0.60616596121595478</v>
      </c>
      <c r="K202">
        <v>1500</v>
      </c>
      <c r="L202">
        <v>0</v>
      </c>
      <c r="N202">
        <v>13</v>
      </c>
      <c r="O202" s="60" t="s">
        <v>926</v>
      </c>
      <c r="P202" t="s">
        <v>818</v>
      </c>
      <c r="Q202" t="s">
        <v>1019</v>
      </c>
    </row>
    <row r="203" spans="1:17" x14ac:dyDescent="0.25">
      <c r="A203" t="s">
        <v>19</v>
      </c>
      <c r="B203">
        <v>225</v>
      </c>
      <c r="C203">
        <v>145.1</v>
      </c>
      <c r="D203">
        <v>6.3</v>
      </c>
      <c r="E203">
        <v>100</v>
      </c>
      <c r="F203">
        <v>145.1</v>
      </c>
      <c r="G203">
        <v>6.3</v>
      </c>
      <c r="H203">
        <v>1.2</v>
      </c>
      <c r="I203">
        <v>0.9</v>
      </c>
      <c r="J203">
        <v>56.126477890366417</v>
      </c>
      <c r="K203">
        <v>1500</v>
      </c>
      <c r="L203">
        <v>0</v>
      </c>
      <c r="N203">
        <v>13</v>
      </c>
      <c r="O203" s="60" t="s">
        <v>927</v>
      </c>
      <c r="P203" t="s">
        <v>820</v>
      </c>
      <c r="Q203" t="s">
        <v>1003</v>
      </c>
    </row>
    <row r="204" spans="1:17" x14ac:dyDescent="0.25">
      <c r="A204" t="s">
        <v>19</v>
      </c>
      <c r="B204">
        <v>100</v>
      </c>
      <c r="C204">
        <v>145.1</v>
      </c>
      <c r="D204">
        <v>6.3</v>
      </c>
      <c r="E204">
        <v>100</v>
      </c>
      <c r="F204">
        <v>139.75</v>
      </c>
      <c r="G204">
        <v>6.3</v>
      </c>
      <c r="H204">
        <v>1.2</v>
      </c>
      <c r="I204">
        <v>0.9</v>
      </c>
      <c r="J204">
        <v>2.4022132537076799</v>
      </c>
      <c r="K204">
        <v>1500</v>
      </c>
      <c r="L204">
        <v>0</v>
      </c>
      <c r="N204">
        <v>13</v>
      </c>
      <c r="O204" s="60" t="s">
        <v>928</v>
      </c>
      <c r="P204" t="s">
        <v>814</v>
      </c>
      <c r="Q204" t="s">
        <v>1035</v>
      </c>
    </row>
    <row r="205" spans="1:17" x14ac:dyDescent="0.25">
      <c r="A205" t="s">
        <v>19</v>
      </c>
      <c r="B205">
        <v>100</v>
      </c>
      <c r="C205">
        <v>139.75</v>
      </c>
      <c r="D205">
        <v>6.3</v>
      </c>
      <c r="E205">
        <v>225</v>
      </c>
      <c r="F205">
        <v>139.75</v>
      </c>
      <c r="G205">
        <v>6.3</v>
      </c>
      <c r="H205">
        <v>1.2</v>
      </c>
      <c r="I205">
        <v>0.9</v>
      </c>
      <c r="J205">
        <v>56.126477890366417</v>
      </c>
      <c r="K205">
        <v>1500</v>
      </c>
      <c r="L205">
        <v>0</v>
      </c>
      <c r="N205">
        <v>13</v>
      </c>
      <c r="O205" s="60" t="s">
        <v>929</v>
      </c>
      <c r="P205" t="s">
        <v>816</v>
      </c>
      <c r="Q205" t="s">
        <v>1005</v>
      </c>
    </row>
    <row r="206" spans="1:17" x14ac:dyDescent="0.25">
      <c r="A206" t="s">
        <v>19</v>
      </c>
      <c r="B206">
        <v>225</v>
      </c>
      <c r="C206">
        <v>139.75</v>
      </c>
      <c r="D206">
        <v>6.3</v>
      </c>
      <c r="E206">
        <v>225</v>
      </c>
      <c r="F206">
        <v>138.4</v>
      </c>
      <c r="G206">
        <v>6.3</v>
      </c>
      <c r="H206">
        <v>1.2</v>
      </c>
      <c r="I206">
        <v>0.9</v>
      </c>
      <c r="J206">
        <v>0.60616596121595478</v>
      </c>
      <c r="K206">
        <v>1500</v>
      </c>
      <c r="L206">
        <v>0</v>
      </c>
      <c r="N206">
        <v>13</v>
      </c>
      <c r="O206" s="60" t="s">
        <v>930</v>
      </c>
      <c r="P206" t="s">
        <v>818</v>
      </c>
      <c r="Q206" t="s">
        <v>1020</v>
      </c>
    </row>
    <row r="207" spans="1:17" x14ac:dyDescent="0.25">
      <c r="A207" t="s">
        <v>19</v>
      </c>
      <c r="B207">
        <v>225</v>
      </c>
      <c r="C207">
        <v>138.4</v>
      </c>
      <c r="D207">
        <v>6.3</v>
      </c>
      <c r="E207">
        <v>100</v>
      </c>
      <c r="F207">
        <v>138.4</v>
      </c>
      <c r="G207">
        <v>6.3</v>
      </c>
      <c r="H207">
        <v>1.2</v>
      </c>
      <c r="I207">
        <v>0.9</v>
      </c>
      <c r="J207">
        <v>56.126477890366417</v>
      </c>
      <c r="K207">
        <v>1500</v>
      </c>
      <c r="L207">
        <v>0</v>
      </c>
      <c r="N207">
        <v>13</v>
      </c>
      <c r="O207" s="60" t="s">
        <v>931</v>
      </c>
      <c r="P207" t="s">
        <v>820</v>
      </c>
      <c r="Q207" t="s">
        <v>1003</v>
      </c>
    </row>
    <row r="208" spans="1:17" x14ac:dyDescent="0.25">
      <c r="A208" t="s">
        <v>19</v>
      </c>
      <c r="B208">
        <v>100</v>
      </c>
      <c r="C208">
        <v>138.39999999999998</v>
      </c>
      <c r="D208">
        <v>6.3</v>
      </c>
      <c r="E208">
        <v>100</v>
      </c>
      <c r="F208">
        <v>133.04999999999998</v>
      </c>
      <c r="G208">
        <v>6.3</v>
      </c>
      <c r="H208">
        <v>1.2</v>
      </c>
      <c r="I208">
        <v>0.9</v>
      </c>
      <c r="J208">
        <v>2.4022132537076799</v>
      </c>
      <c r="K208">
        <v>1500</v>
      </c>
      <c r="L208">
        <v>0</v>
      </c>
      <c r="N208">
        <v>13</v>
      </c>
      <c r="O208" s="60" t="s">
        <v>932</v>
      </c>
      <c r="P208" t="s">
        <v>814</v>
      </c>
      <c r="Q208" t="s">
        <v>1036</v>
      </c>
    </row>
    <row r="209" spans="1:17" x14ac:dyDescent="0.25">
      <c r="A209" t="s">
        <v>19</v>
      </c>
      <c r="B209">
        <v>100</v>
      </c>
      <c r="C209">
        <v>133.04999999999998</v>
      </c>
      <c r="D209">
        <v>6.3</v>
      </c>
      <c r="E209">
        <v>225</v>
      </c>
      <c r="F209">
        <v>133.04999999999998</v>
      </c>
      <c r="G209">
        <v>6.3</v>
      </c>
      <c r="H209">
        <v>1.2</v>
      </c>
      <c r="I209">
        <v>0.9</v>
      </c>
      <c r="J209">
        <v>56.126477890366417</v>
      </c>
      <c r="K209">
        <v>1500</v>
      </c>
      <c r="L209">
        <v>0</v>
      </c>
      <c r="N209">
        <v>13</v>
      </c>
      <c r="O209" s="60" t="s">
        <v>933</v>
      </c>
      <c r="P209" t="s">
        <v>816</v>
      </c>
      <c r="Q209" t="s">
        <v>1005</v>
      </c>
    </row>
    <row r="210" spans="1:17" x14ac:dyDescent="0.25">
      <c r="A210" t="s">
        <v>19</v>
      </c>
      <c r="B210">
        <v>225</v>
      </c>
      <c r="C210">
        <v>133.04999999999998</v>
      </c>
      <c r="D210">
        <v>6.3</v>
      </c>
      <c r="E210">
        <v>225</v>
      </c>
      <c r="F210">
        <v>131.69999999999999</v>
      </c>
      <c r="G210">
        <v>6.3</v>
      </c>
      <c r="H210">
        <v>1.2</v>
      </c>
      <c r="I210">
        <v>0.9</v>
      </c>
      <c r="J210">
        <v>0.60616596121595478</v>
      </c>
      <c r="K210">
        <v>1500</v>
      </c>
      <c r="L210">
        <v>0</v>
      </c>
      <c r="N210">
        <v>13</v>
      </c>
      <c r="O210" s="60" t="s">
        <v>934</v>
      </c>
      <c r="P210" t="s">
        <v>818</v>
      </c>
      <c r="Q210" t="s">
        <v>731</v>
      </c>
    </row>
    <row r="211" spans="1:17" x14ac:dyDescent="0.25">
      <c r="A211" t="s">
        <v>19</v>
      </c>
      <c r="B211">
        <v>225</v>
      </c>
      <c r="C211">
        <v>131.69999999999999</v>
      </c>
      <c r="D211">
        <v>6.3</v>
      </c>
      <c r="E211">
        <v>100</v>
      </c>
      <c r="F211">
        <v>131.69999999999999</v>
      </c>
      <c r="G211">
        <v>6.3</v>
      </c>
      <c r="H211">
        <v>1.2</v>
      </c>
      <c r="I211">
        <v>0.9</v>
      </c>
      <c r="J211">
        <v>56.126477890366417</v>
      </c>
      <c r="K211">
        <v>1500</v>
      </c>
      <c r="L211">
        <v>0</v>
      </c>
      <c r="N211">
        <v>13</v>
      </c>
      <c r="O211" s="60" t="s">
        <v>935</v>
      </c>
      <c r="P211" t="s">
        <v>820</v>
      </c>
      <c r="Q211" t="s">
        <v>1003</v>
      </c>
    </row>
    <row r="212" spans="1:17" x14ac:dyDescent="0.25">
      <c r="A212" t="s">
        <v>19</v>
      </c>
      <c r="B212">
        <v>100</v>
      </c>
      <c r="C212">
        <v>131.69999999999999</v>
      </c>
      <c r="D212">
        <v>6.3</v>
      </c>
      <c r="E212">
        <v>100</v>
      </c>
      <c r="F212">
        <v>126.35</v>
      </c>
      <c r="G212">
        <v>6.3</v>
      </c>
      <c r="H212">
        <v>1.2</v>
      </c>
      <c r="I212">
        <v>0.9</v>
      </c>
      <c r="J212">
        <v>2.4022132537076799</v>
      </c>
      <c r="K212">
        <v>1500</v>
      </c>
      <c r="L212">
        <v>0</v>
      </c>
      <c r="N212">
        <v>13</v>
      </c>
      <c r="O212" s="60" t="s">
        <v>936</v>
      </c>
      <c r="P212" t="s">
        <v>814</v>
      </c>
      <c r="Q212" t="s">
        <v>1037</v>
      </c>
    </row>
    <row r="213" spans="1:17" x14ac:dyDescent="0.25">
      <c r="A213" t="s">
        <v>19</v>
      </c>
      <c r="B213">
        <v>100</v>
      </c>
      <c r="C213">
        <v>126.35</v>
      </c>
      <c r="D213">
        <v>6.3</v>
      </c>
      <c r="E213">
        <v>225</v>
      </c>
      <c r="F213">
        <v>126.35</v>
      </c>
      <c r="G213">
        <v>6.3</v>
      </c>
      <c r="H213">
        <v>1.2</v>
      </c>
      <c r="I213">
        <v>0.9</v>
      </c>
      <c r="J213">
        <v>56.126477890366417</v>
      </c>
      <c r="K213">
        <v>1500</v>
      </c>
      <c r="L213">
        <v>0</v>
      </c>
      <c r="N213">
        <v>13</v>
      </c>
      <c r="O213" s="60" t="s">
        <v>937</v>
      </c>
      <c r="P213" t="s">
        <v>816</v>
      </c>
      <c r="Q213" t="s">
        <v>1005</v>
      </c>
    </row>
    <row r="214" spans="1:17" x14ac:dyDescent="0.25">
      <c r="A214" t="s">
        <v>19</v>
      </c>
      <c r="B214">
        <v>225</v>
      </c>
      <c r="C214">
        <v>126.35</v>
      </c>
      <c r="D214">
        <v>6.3</v>
      </c>
      <c r="E214">
        <v>225</v>
      </c>
      <c r="F214">
        <v>125</v>
      </c>
      <c r="G214">
        <v>6.3</v>
      </c>
      <c r="H214">
        <v>1.2</v>
      </c>
      <c r="I214">
        <v>0.9</v>
      </c>
      <c r="J214">
        <v>0.60616596121595478</v>
      </c>
      <c r="K214">
        <v>1500</v>
      </c>
      <c r="L214">
        <v>0</v>
      </c>
      <c r="N214">
        <v>13</v>
      </c>
      <c r="O214" s="60" t="s">
        <v>938</v>
      </c>
      <c r="P214" t="s">
        <v>818</v>
      </c>
      <c r="Q214" t="s">
        <v>997</v>
      </c>
    </row>
    <row r="215" spans="1:17" x14ac:dyDescent="0.25">
      <c r="A215" t="s">
        <v>19</v>
      </c>
      <c r="B215">
        <v>225</v>
      </c>
      <c r="C215">
        <v>125</v>
      </c>
      <c r="D215">
        <v>6.3</v>
      </c>
      <c r="E215">
        <v>100</v>
      </c>
      <c r="F215">
        <v>125</v>
      </c>
      <c r="G215">
        <v>6.3</v>
      </c>
      <c r="H215">
        <v>1.2</v>
      </c>
      <c r="I215">
        <v>0.9</v>
      </c>
      <c r="J215">
        <v>56.126477890366417</v>
      </c>
      <c r="K215">
        <v>1500</v>
      </c>
      <c r="L215">
        <v>0</v>
      </c>
      <c r="N215">
        <v>13</v>
      </c>
      <c r="O215" s="60" t="s">
        <v>939</v>
      </c>
      <c r="P215" t="s">
        <v>820</v>
      </c>
      <c r="Q215" t="s">
        <v>1003</v>
      </c>
    </row>
    <row r="216" spans="1:17" x14ac:dyDescent="0.25">
      <c r="A216" t="s">
        <v>39</v>
      </c>
      <c r="B216">
        <v>-1.25</v>
      </c>
      <c r="C216">
        <v>2100</v>
      </c>
      <c r="N216">
        <v>13</v>
      </c>
      <c r="O216" s="60" t="s">
        <v>940</v>
      </c>
      <c r="P216" t="s">
        <v>838</v>
      </c>
      <c r="Q216" t="s">
        <v>697</v>
      </c>
    </row>
    <row r="217" spans="1:17" x14ac:dyDescent="0.25">
      <c r="A217" t="s">
        <v>659</v>
      </c>
      <c r="B217">
        <v>0.9</v>
      </c>
      <c r="C217">
        <v>10000</v>
      </c>
      <c r="N217">
        <v>13</v>
      </c>
      <c r="O217" s="60" t="s">
        <v>940</v>
      </c>
      <c r="P217" t="s">
        <v>838</v>
      </c>
      <c r="Q217" t="s">
        <v>678</v>
      </c>
    </row>
    <row r="218" spans="1:17" x14ac:dyDescent="0.25">
      <c r="A218" t="s">
        <v>23</v>
      </c>
      <c r="B218">
        <v>100</v>
      </c>
      <c r="C218">
        <v>125</v>
      </c>
      <c r="D218">
        <v>6.3</v>
      </c>
      <c r="E218">
        <v>100</v>
      </c>
      <c r="F218">
        <v>125</v>
      </c>
      <c r="G218">
        <v>7.2</v>
      </c>
      <c r="H218">
        <v>0</v>
      </c>
      <c r="I218">
        <v>0</v>
      </c>
      <c r="K218">
        <v>48000</v>
      </c>
      <c r="N218">
        <v>0</v>
      </c>
      <c r="O218" s="60">
        <v>0</v>
      </c>
      <c r="P218" t="s">
        <v>660</v>
      </c>
      <c r="Q218" t="s">
        <v>995</v>
      </c>
    </row>
    <row r="219" spans="1:17" x14ac:dyDescent="0.25">
      <c r="A219" t="s">
        <v>19</v>
      </c>
      <c r="B219">
        <v>100</v>
      </c>
      <c r="C219">
        <v>125</v>
      </c>
      <c r="D219">
        <v>7.2</v>
      </c>
      <c r="E219">
        <v>225</v>
      </c>
      <c r="F219">
        <v>125</v>
      </c>
      <c r="G219">
        <v>7.2</v>
      </c>
      <c r="H219">
        <v>1.2</v>
      </c>
      <c r="I219">
        <v>0.9</v>
      </c>
      <c r="J219">
        <v>56.126477890366417</v>
      </c>
      <c r="K219">
        <v>1500</v>
      </c>
      <c r="L219">
        <v>0</v>
      </c>
      <c r="N219">
        <v>13</v>
      </c>
      <c r="O219" s="60" t="s">
        <v>941</v>
      </c>
      <c r="P219" t="s">
        <v>771</v>
      </c>
      <c r="Q219" t="s">
        <v>1004</v>
      </c>
    </row>
    <row r="220" spans="1:17" x14ac:dyDescent="0.25">
      <c r="A220" t="s">
        <v>19</v>
      </c>
      <c r="B220">
        <v>225</v>
      </c>
      <c r="C220">
        <v>125</v>
      </c>
      <c r="D220">
        <v>7.2</v>
      </c>
      <c r="E220">
        <v>225</v>
      </c>
      <c r="F220">
        <v>126.35</v>
      </c>
      <c r="G220">
        <v>7.2</v>
      </c>
      <c r="H220">
        <v>1.2</v>
      </c>
      <c r="I220">
        <v>0.9</v>
      </c>
      <c r="J220">
        <v>0.60616596121595478</v>
      </c>
      <c r="K220">
        <v>1500</v>
      </c>
      <c r="L220">
        <v>0</v>
      </c>
      <c r="N220">
        <v>13</v>
      </c>
      <c r="O220" s="60" t="s">
        <v>942</v>
      </c>
      <c r="P220" t="s">
        <v>773</v>
      </c>
      <c r="Q220" t="s">
        <v>998</v>
      </c>
    </row>
    <row r="221" spans="1:17" x14ac:dyDescent="0.25">
      <c r="A221" t="s">
        <v>19</v>
      </c>
      <c r="B221">
        <v>225</v>
      </c>
      <c r="C221">
        <v>126.35</v>
      </c>
      <c r="D221">
        <v>7.2</v>
      </c>
      <c r="E221">
        <v>100</v>
      </c>
      <c r="F221">
        <v>126.35</v>
      </c>
      <c r="G221">
        <v>7.2</v>
      </c>
      <c r="H221">
        <v>1.2</v>
      </c>
      <c r="I221">
        <v>0.9</v>
      </c>
      <c r="J221">
        <v>56.126477890366417</v>
      </c>
      <c r="K221">
        <v>1500</v>
      </c>
      <c r="L221">
        <v>0</v>
      </c>
      <c r="N221">
        <v>13</v>
      </c>
      <c r="O221" s="60" t="s">
        <v>943</v>
      </c>
      <c r="P221" t="s">
        <v>775</v>
      </c>
      <c r="Q221" t="s">
        <v>1003</v>
      </c>
    </row>
    <row r="222" spans="1:17" x14ac:dyDescent="0.25">
      <c r="A222" t="s">
        <v>19</v>
      </c>
      <c r="B222">
        <v>100</v>
      </c>
      <c r="C222">
        <v>126.35</v>
      </c>
      <c r="D222">
        <v>7.2</v>
      </c>
      <c r="E222">
        <v>100</v>
      </c>
      <c r="F222">
        <v>131.69999999999999</v>
      </c>
      <c r="G222">
        <v>7.2</v>
      </c>
      <c r="H222">
        <v>1.2</v>
      </c>
      <c r="I222">
        <v>0.9</v>
      </c>
      <c r="J222">
        <v>2.4022132537076799</v>
      </c>
      <c r="K222">
        <v>1500</v>
      </c>
      <c r="L222">
        <v>0</v>
      </c>
      <c r="N222">
        <v>13</v>
      </c>
      <c r="O222" s="60" t="s">
        <v>944</v>
      </c>
      <c r="P222" t="s">
        <v>777</v>
      </c>
      <c r="Q222" t="s">
        <v>1021</v>
      </c>
    </row>
    <row r="223" spans="1:17" x14ac:dyDescent="0.25">
      <c r="A223" t="s">
        <v>19</v>
      </c>
      <c r="B223">
        <v>100</v>
      </c>
      <c r="C223">
        <v>131.69999999999999</v>
      </c>
      <c r="D223">
        <v>7.2</v>
      </c>
      <c r="E223">
        <v>225</v>
      </c>
      <c r="F223">
        <v>131.69999999999999</v>
      </c>
      <c r="G223">
        <v>7.2</v>
      </c>
      <c r="H223">
        <v>1.2</v>
      </c>
      <c r="I223">
        <v>0.9</v>
      </c>
      <c r="J223">
        <v>56.126477890366417</v>
      </c>
      <c r="K223">
        <v>1500</v>
      </c>
      <c r="L223">
        <v>0</v>
      </c>
      <c r="N223">
        <v>13</v>
      </c>
      <c r="O223" s="60" t="s">
        <v>945</v>
      </c>
      <c r="P223" t="s">
        <v>779</v>
      </c>
      <c r="Q223" t="s">
        <v>1005</v>
      </c>
    </row>
    <row r="224" spans="1:17" x14ac:dyDescent="0.25">
      <c r="A224" t="s">
        <v>19</v>
      </c>
      <c r="B224">
        <v>225</v>
      </c>
      <c r="C224">
        <v>131.69999999999999</v>
      </c>
      <c r="D224">
        <v>7.2</v>
      </c>
      <c r="E224">
        <v>225</v>
      </c>
      <c r="F224">
        <v>133.04999999999998</v>
      </c>
      <c r="G224">
        <v>7.2</v>
      </c>
      <c r="H224">
        <v>1.2</v>
      </c>
      <c r="I224">
        <v>0.9</v>
      </c>
      <c r="J224">
        <v>0.60616596121595478</v>
      </c>
      <c r="K224">
        <v>1500</v>
      </c>
      <c r="L224">
        <v>0</v>
      </c>
      <c r="N224">
        <v>13</v>
      </c>
      <c r="O224" s="60" t="s">
        <v>946</v>
      </c>
      <c r="P224" t="s">
        <v>781</v>
      </c>
      <c r="Q224" t="s">
        <v>732</v>
      </c>
    </row>
    <row r="225" spans="1:17" x14ac:dyDescent="0.25">
      <c r="A225" t="s">
        <v>19</v>
      </c>
      <c r="B225">
        <v>225</v>
      </c>
      <c r="C225">
        <v>133.04999999999998</v>
      </c>
      <c r="D225">
        <v>7.2</v>
      </c>
      <c r="E225">
        <v>100</v>
      </c>
      <c r="F225">
        <v>133.04999999999998</v>
      </c>
      <c r="G225">
        <v>7.2</v>
      </c>
      <c r="H225">
        <v>1.2</v>
      </c>
      <c r="I225">
        <v>0.9</v>
      </c>
      <c r="J225">
        <v>56.126477890366417</v>
      </c>
      <c r="K225">
        <v>1500</v>
      </c>
      <c r="L225">
        <v>0</v>
      </c>
      <c r="N225">
        <v>13</v>
      </c>
      <c r="O225" s="60" t="s">
        <v>947</v>
      </c>
      <c r="P225" t="s">
        <v>783</v>
      </c>
      <c r="Q225" t="s">
        <v>1003</v>
      </c>
    </row>
    <row r="226" spans="1:17" x14ac:dyDescent="0.25">
      <c r="A226" t="s">
        <v>19</v>
      </c>
      <c r="B226">
        <v>100</v>
      </c>
      <c r="C226">
        <v>133.04999999999998</v>
      </c>
      <c r="D226">
        <v>7.2</v>
      </c>
      <c r="E226">
        <v>100</v>
      </c>
      <c r="F226">
        <v>138.39999999999998</v>
      </c>
      <c r="G226">
        <v>7.2</v>
      </c>
      <c r="H226">
        <v>1.2</v>
      </c>
      <c r="I226">
        <v>0.9</v>
      </c>
      <c r="J226">
        <v>2.4022132537076799</v>
      </c>
      <c r="K226">
        <v>1500</v>
      </c>
      <c r="L226">
        <v>0</v>
      </c>
      <c r="N226">
        <v>13</v>
      </c>
      <c r="O226" s="60" t="s">
        <v>948</v>
      </c>
      <c r="P226" t="s">
        <v>785</v>
      </c>
      <c r="Q226" t="s">
        <v>1022</v>
      </c>
    </row>
    <row r="227" spans="1:17" x14ac:dyDescent="0.25">
      <c r="A227" t="s">
        <v>19</v>
      </c>
      <c r="B227">
        <v>100</v>
      </c>
      <c r="C227">
        <v>138.4</v>
      </c>
      <c r="D227">
        <v>7.2</v>
      </c>
      <c r="E227">
        <v>225</v>
      </c>
      <c r="F227">
        <v>138.4</v>
      </c>
      <c r="G227">
        <v>7.2</v>
      </c>
      <c r="H227">
        <v>1.2</v>
      </c>
      <c r="I227">
        <v>0.9</v>
      </c>
      <c r="J227">
        <v>56.126477890366417</v>
      </c>
      <c r="K227">
        <v>1500</v>
      </c>
      <c r="L227">
        <v>0</v>
      </c>
      <c r="N227">
        <v>13</v>
      </c>
      <c r="O227" s="60" t="s">
        <v>949</v>
      </c>
      <c r="P227" t="s">
        <v>779</v>
      </c>
      <c r="Q227" t="s">
        <v>1005</v>
      </c>
    </row>
    <row r="228" spans="1:17" x14ac:dyDescent="0.25">
      <c r="A228" t="s">
        <v>19</v>
      </c>
      <c r="B228">
        <v>225</v>
      </c>
      <c r="C228">
        <v>138.4</v>
      </c>
      <c r="D228">
        <v>7.2</v>
      </c>
      <c r="E228">
        <v>225</v>
      </c>
      <c r="F228">
        <v>139.75</v>
      </c>
      <c r="G228">
        <v>7.2</v>
      </c>
      <c r="H228">
        <v>1.2</v>
      </c>
      <c r="I228">
        <v>0.9</v>
      </c>
      <c r="J228">
        <v>0.60616596121595478</v>
      </c>
      <c r="K228">
        <v>1500</v>
      </c>
      <c r="L228">
        <v>0</v>
      </c>
      <c r="N228">
        <v>13</v>
      </c>
      <c r="O228" s="60" t="s">
        <v>950</v>
      </c>
      <c r="P228" t="s">
        <v>781</v>
      </c>
      <c r="Q228" t="s">
        <v>1023</v>
      </c>
    </row>
    <row r="229" spans="1:17" x14ac:dyDescent="0.25">
      <c r="A229" t="s">
        <v>19</v>
      </c>
      <c r="B229">
        <v>225</v>
      </c>
      <c r="C229">
        <v>139.75</v>
      </c>
      <c r="D229">
        <v>7.2</v>
      </c>
      <c r="E229">
        <v>100</v>
      </c>
      <c r="F229">
        <v>139.75</v>
      </c>
      <c r="G229">
        <v>7.2</v>
      </c>
      <c r="H229">
        <v>1.2</v>
      </c>
      <c r="I229">
        <v>0.9</v>
      </c>
      <c r="J229">
        <v>56.126477890366417</v>
      </c>
      <c r="K229">
        <v>1500</v>
      </c>
      <c r="L229">
        <v>0</v>
      </c>
      <c r="N229">
        <v>13</v>
      </c>
      <c r="O229" s="60" t="s">
        <v>951</v>
      </c>
      <c r="P229" t="s">
        <v>783</v>
      </c>
      <c r="Q229" t="s">
        <v>1003</v>
      </c>
    </row>
    <row r="230" spans="1:17" x14ac:dyDescent="0.25">
      <c r="A230" t="s">
        <v>19</v>
      </c>
      <c r="B230">
        <v>100</v>
      </c>
      <c r="C230">
        <v>139.75</v>
      </c>
      <c r="D230">
        <v>7.2</v>
      </c>
      <c r="E230">
        <v>100</v>
      </c>
      <c r="F230">
        <v>145.1</v>
      </c>
      <c r="G230">
        <v>7.2</v>
      </c>
      <c r="H230">
        <v>1.2</v>
      </c>
      <c r="I230">
        <v>0.9</v>
      </c>
      <c r="J230">
        <v>2.4022132537076799</v>
      </c>
      <c r="K230">
        <v>1500</v>
      </c>
      <c r="L230">
        <v>0</v>
      </c>
      <c r="N230">
        <v>13</v>
      </c>
      <c r="O230" s="60" t="s">
        <v>952</v>
      </c>
      <c r="P230" t="s">
        <v>785</v>
      </c>
      <c r="Q230" t="s">
        <v>1024</v>
      </c>
    </row>
    <row r="231" spans="1:17" x14ac:dyDescent="0.25">
      <c r="A231" t="s">
        <v>19</v>
      </c>
      <c r="B231">
        <v>100</v>
      </c>
      <c r="C231">
        <v>145.1</v>
      </c>
      <c r="D231">
        <v>7.2</v>
      </c>
      <c r="E231">
        <v>225</v>
      </c>
      <c r="F231">
        <v>145.1</v>
      </c>
      <c r="G231">
        <v>7.2</v>
      </c>
      <c r="H231">
        <v>1.2</v>
      </c>
      <c r="I231">
        <v>0.9</v>
      </c>
      <c r="J231">
        <v>56.126477890366417</v>
      </c>
      <c r="K231">
        <v>1500</v>
      </c>
      <c r="L231">
        <v>0</v>
      </c>
      <c r="N231">
        <v>13</v>
      </c>
      <c r="O231" s="60" t="s">
        <v>953</v>
      </c>
      <c r="P231" t="s">
        <v>779</v>
      </c>
      <c r="Q231" t="s">
        <v>1005</v>
      </c>
    </row>
    <row r="232" spans="1:17" x14ac:dyDescent="0.25">
      <c r="A232" t="s">
        <v>19</v>
      </c>
      <c r="B232">
        <v>225</v>
      </c>
      <c r="C232">
        <v>145.1</v>
      </c>
      <c r="D232">
        <v>7.2</v>
      </c>
      <c r="E232">
        <v>225</v>
      </c>
      <c r="F232">
        <v>146.44999999999999</v>
      </c>
      <c r="G232">
        <v>7.2</v>
      </c>
      <c r="H232">
        <v>1.2</v>
      </c>
      <c r="I232">
        <v>0.9</v>
      </c>
      <c r="J232">
        <v>0.60616596121595478</v>
      </c>
      <c r="K232">
        <v>1500</v>
      </c>
      <c r="L232">
        <v>0</v>
      </c>
      <c r="N232">
        <v>13</v>
      </c>
      <c r="O232" s="60" t="s">
        <v>954</v>
      </c>
      <c r="P232" t="s">
        <v>781</v>
      </c>
      <c r="Q232" t="s">
        <v>1025</v>
      </c>
    </row>
    <row r="233" spans="1:17" x14ac:dyDescent="0.25">
      <c r="A233" t="s">
        <v>19</v>
      </c>
      <c r="B233">
        <v>225</v>
      </c>
      <c r="C233">
        <v>146.44999999999999</v>
      </c>
      <c r="D233">
        <v>7.2</v>
      </c>
      <c r="E233">
        <v>100</v>
      </c>
      <c r="F233">
        <v>146.44999999999999</v>
      </c>
      <c r="G233">
        <v>7.2</v>
      </c>
      <c r="H233">
        <v>1.2</v>
      </c>
      <c r="I233">
        <v>0.9</v>
      </c>
      <c r="J233">
        <v>56.126477890366417</v>
      </c>
      <c r="K233">
        <v>1500</v>
      </c>
      <c r="L233">
        <v>0</v>
      </c>
      <c r="N233">
        <v>13</v>
      </c>
      <c r="O233" s="60" t="s">
        <v>955</v>
      </c>
      <c r="P233" t="s">
        <v>783</v>
      </c>
      <c r="Q233" t="s">
        <v>1003</v>
      </c>
    </row>
    <row r="234" spans="1:17" x14ac:dyDescent="0.25">
      <c r="A234" t="s">
        <v>19</v>
      </c>
      <c r="B234">
        <v>100</v>
      </c>
      <c r="C234">
        <v>146.44999999999999</v>
      </c>
      <c r="D234">
        <v>7.2</v>
      </c>
      <c r="E234">
        <v>100</v>
      </c>
      <c r="F234">
        <v>151.79999999999998</v>
      </c>
      <c r="G234">
        <v>7.2</v>
      </c>
      <c r="H234">
        <v>1.2</v>
      </c>
      <c r="I234">
        <v>0.9</v>
      </c>
      <c r="J234">
        <v>2.4022132537076799</v>
      </c>
      <c r="K234">
        <v>1500</v>
      </c>
      <c r="L234">
        <v>0</v>
      </c>
      <c r="N234">
        <v>13</v>
      </c>
      <c r="O234" s="60" t="s">
        <v>956</v>
      </c>
      <c r="P234" t="s">
        <v>785</v>
      </c>
      <c r="Q234" t="s">
        <v>1026</v>
      </c>
    </row>
    <row r="235" spans="1:17" x14ac:dyDescent="0.25">
      <c r="A235" t="s">
        <v>19</v>
      </c>
      <c r="B235">
        <v>100</v>
      </c>
      <c r="C235">
        <v>151.80000000000001</v>
      </c>
      <c r="D235">
        <v>7.2</v>
      </c>
      <c r="E235">
        <v>225</v>
      </c>
      <c r="F235">
        <v>151.80000000000001</v>
      </c>
      <c r="G235">
        <v>7.2</v>
      </c>
      <c r="H235">
        <v>1.2</v>
      </c>
      <c r="I235">
        <v>0.9</v>
      </c>
      <c r="J235">
        <v>56.126477890366417</v>
      </c>
      <c r="K235">
        <v>1500</v>
      </c>
      <c r="L235">
        <v>0</v>
      </c>
      <c r="N235">
        <v>13</v>
      </c>
      <c r="O235" s="60" t="s">
        <v>957</v>
      </c>
      <c r="P235" t="s">
        <v>779</v>
      </c>
      <c r="Q235" t="s">
        <v>1005</v>
      </c>
    </row>
    <row r="236" spans="1:17" x14ac:dyDescent="0.25">
      <c r="A236" t="s">
        <v>19</v>
      </c>
      <c r="B236">
        <v>225</v>
      </c>
      <c r="C236">
        <v>151.80000000000001</v>
      </c>
      <c r="D236">
        <v>7.2</v>
      </c>
      <c r="E236">
        <v>225</v>
      </c>
      <c r="F236">
        <v>153.15</v>
      </c>
      <c r="G236">
        <v>7.2</v>
      </c>
      <c r="H236">
        <v>1.2</v>
      </c>
      <c r="I236">
        <v>0.9</v>
      </c>
      <c r="J236">
        <v>0.60616596121595478</v>
      </c>
      <c r="K236">
        <v>1500</v>
      </c>
      <c r="L236">
        <v>0</v>
      </c>
      <c r="N236">
        <v>13</v>
      </c>
      <c r="O236" s="60" t="s">
        <v>958</v>
      </c>
      <c r="P236" t="s">
        <v>781</v>
      </c>
      <c r="Q236" t="s">
        <v>1027</v>
      </c>
    </row>
    <row r="237" spans="1:17" x14ac:dyDescent="0.25">
      <c r="A237" t="s">
        <v>19</v>
      </c>
      <c r="B237">
        <v>225</v>
      </c>
      <c r="C237">
        <v>153.15</v>
      </c>
      <c r="D237">
        <v>7.2</v>
      </c>
      <c r="E237">
        <v>100</v>
      </c>
      <c r="F237">
        <v>153.15</v>
      </c>
      <c r="G237">
        <v>7.2</v>
      </c>
      <c r="H237">
        <v>1.2</v>
      </c>
      <c r="I237">
        <v>0.9</v>
      </c>
      <c r="J237">
        <v>56.126477890366417</v>
      </c>
      <c r="K237">
        <v>1500</v>
      </c>
      <c r="L237">
        <v>0</v>
      </c>
      <c r="N237">
        <v>13</v>
      </c>
      <c r="O237" s="60" t="s">
        <v>959</v>
      </c>
      <c r="P237" t="s">
        <v>783</v>
      </c>
      <c r="Q237" t="s">
        <v>1003</v>
      </c>
    </row>
    <row r="238" spans="1:17" x14ac:dyDescent="0.25">
      <c r="A238" t="s">
        <v>19</v>
      </c>
      <c r="B238">
        <v>100</v>
      </c>
      <c r="C238">
        <v>153.15</v>
      </c>
      <c r="D238">
        <v>7.2</v>
      </c>
      <c r="E238">
        <v>100</v>
      </c>
      <c r="F238">
        <v>158.5</v>
      </c>
      <c r="G238">
        <v>7.2</v>
      </c>
      <c r="H238">
        <v>1.2</v>
      </c>
      <c r="I238">
        <v>0.9</v>
      </c>
      <c r="J238">
        <v>2.4022132537076799</v>
      </c>
      <c r="K238">
        <v>1500</v>
      </c>
      <c r="L238">
        <v>0</v>
      </c>
      <c r="N238">
        <v>13</v>
      </c>
      <c r="O238" s="60" t="s">
        <v>960</v>
      </c>
      <c r="P238" t="s">
        <v>785</v>
      </c>
      <c r="Q238" t="s">
        <v>1028</v>
      </c>
    </row>
    <row r="239" spans="1:17" x14ac:dyDescent="0.25">
      <c r="A239" t="s">
        <v>19</v>
      </c>
      <c r="B239">
        <v>100</v>
      </c>
      <c r="C239">
        <v>158.5</v>
      </c>
      <c r="D239">
        <v>7.2</v>
      </c>
      <c r="E239">
        <v>225</v>
      </c>
      <c r="F239">
        <v>158.5</v>
      </c>
      <c r="G239">
        <v>7.2</v>
      </c>
      <c r="H239">
        <v>1.2</v>
      </c>
      <c r="I239">
        <v>0.9</v>
      </c>
      <c r="J239">
        <v>56.126477890366417</v>
      </c>
      <c r="K239">
        <v>1500</v>
      </c>
      <c r="L239">
        <v>0</v>
      </c>
      <c r="N239">
        <v>13</v>
      </c>
      <c r="O239" s="60" t="s">
        <v>961</v>
      </c>
      <c r="P239" t="s">
        <v>779</v>
      </c>
      <c r="Q239" t="s">
        <v>1005</v>
      </c>
    </row>
    <row r="240" spans="1:17" x14ac:dyDescent="0.25">
      <c r="A240" t="s">
        <v>19</v>
      </c>
      <c r="B240">
        <v>225</v>
      </c>
      <c r="C240">
        <v>158.5</v>
      </c>
      <c r="D240">
        <v>7.2</v>
      </c>
      <c r="E240">
        <v>225</v>
      </c>
      <c r="F240">
        <v>159.85</v>
      </c>
      <c r="G240">
        <v>7.2</v>
      </c>
      <c r="H240">
        <v>1.2</v>
      </c>
      <c r="I240">
        <v>0.9</v>
      </c>
      <c r="J240">
        <v>0.60616596121595478</v>
      </c>
      <c r="K240">
        <v>1500</v>
      </c>
      <c r="L240">
        <v>0</v>
      </c>
      <c r="N240">
        <v>13</v>
      </c>
      <c r="O240" s="60" t="s">
        <v>962</v>
      </c>
      <c r="P240" t="s">
        <v>781</v>
      </c>
      <c r="Q240" t="s">
        <v>1029</v>
      </c>
    </row>
    <row r="241" spans="1:17" x14ac:dyDescent="0.25">
      <c r="A241" t="s">
        <v>19</v>
      </c>
      <c r="B241">
        <v>225</v>
      </c>
      <c r="C241">
        <v>159.85</v>
      </c>
      <c r="D241">
        <v>7.2</v>
      </c>
      <c r="E241">
        <v>100</v>
      </c>
      <c r="F241">
        <v>159.85</v>
      </c>
      <c r="G241">
        <v>7.2</v>
      </c>
      <c r="H241">
        <v>1.2</v>
      </c>
      <c r="I241">
        <v>0.9</v>
      </c>
      <c r="J241">
        <v>56.126477890366417</v>
      </c>
      <c r="K241">
        <v>1500</v>
      </c>
      <c r="L241">
        <v>0</v>
      </c>
      <c r="N241">
        <v>13</v>
      </c>
      <c r="O241" s="60" t="s">
        <v>963</v>
      </c>
      <c r="P241" t="s">
        <v>783</v>
      </c>
      <c r="Q241" t="s">
        <v>1003</v>
      </c>
    </row>
    <row r="242" spans="1:17" x14ac:dyDescent="0.25">
      <c r="A242" t="s">
        <v>19</v>
      </c>
      <c r="B242">
        <v>100</v>
      </c>
      <c r="C242">
        <v>159.85</v>
      </c>
      <c r="D242">
        <v>7.2</v>
      </c>
      <c r="E242">
        <v>100</v>
      </c>
      <c r="F242">
        <v>165.2</v>
      </c>
      <c r="G242">
        <v>7.2</v>
      </c>
      <c r="H242">
        <v>1.2</v>
      </c>
      <c r="I242">
        <v>0.9</v>
      </c>
      <c r="J242">
        <v>2.4022132537076799</v>
      </c>
      <c r="K242">
        <v>1500</v>
      </c>
      <c r="L242">
        <v>0</v>
      </c>
      <c r="N242">
        <v>13</v>
      </c>
      <c r="O242" s="60" t="s">
        <v>964</v>
      </c>
      <c r="P242" t="s">
        <v>785</v>
      </c>
      <c r="Q242" t="s">
        <v>1030</v>
      </c>
    </row>
    <row r="243" spans="1:17" x14ac:dyDescent="0.25">
      <c r="A243" t="s">
        <v>39</v>
      </c>
      <c r="B243">
        <v>-1.25</v>
      </c>
      <c r="C243">
        <v>2100</v>
      </c>
      <c r="N243">
        <v>13</v>
      </c>
      <c r="O243" s="60" t="s">
        <v>965</v>
      </c>
      <c r="P243" t="s">
        <v>803</v>
      </c>
      <c r="Q243" t="s">
        <v>697</v>
      </c>
    </row>
    <row r="244" spans="1:17" x14ac:dyDescent="0.25">
      <c r="A244" t="s">
        <v>659</v>
      </c>
      <c r="B244">
        <v>0.9</v>
      </c>
      <c r="C244">
        <v>10000</v>
      </c>
      <c r="N244">
        <v>13</v>
      </c>
      <c r="O244" s="60" t="s">
        <v>965</v>
      </c>
      <c r="P244" t="s">
        <v>803</v>
      </c>
      <c r="Q244" t="s">
        <v>729</v>
      </c>
    </row>
    <row r="245" spans="1:17" x14ac:dyDescent="0.25">
      <c r="A245" t="s">
        <v>23</v>
      </c>
      <c r="B245">
        <v>100</v>
      </c>
      <c r="C245">
        <v>165.2</v>
      </c>
      <c r="D245">
        <v>7.2</v>
      </c>
      <c r="E245">
        <v>100</v>
      </c>
      <c r="F245">
        <v>165.2</v>
      </c>
      <c r="G245">
        <v>8.1</v>
      </c>
      <c r="H245">
        <v>0</v>
      </c>
      <c r="I245">
        <v>0</v>
      </c>
      <c r="K245">
        <v>48000</v>
      </c>
      <c r="N245">
        <v>0</v>
      </c>
      <c r="O245" s="60">
        <v>0</v>
      </c>
      <c r="P245" t="s">
        <v>660</v>
      </c>
      <c r="Q245" t="s">
        <v>966</v>
      </c>
    </row>
    <row r="246" spans="1:17" x14ac:dyDescent="0.25">
      <c r="A246" t="s">
        <v>19</v>
      </c>
      <c r="B246">
        <v>100</v>
      </c>
      <c r="C246">
        <v>165.2</v>
      </c>
      <c r="D246">
        <v>8.1</v>
      </c>
      <c r="E246">
        <v>100</v>
      </c>
      <c r="F246">
        <v>159.85</v>
      </c>
      <c r="G246">
        <v>8.1</v>
      </c>
      <c r="H246">
        <v>1.2</v>
      </c>
      <c r="I246">
        <v>0.9</v>
      </c>
      <c r="J246">
        <v>2.4022132537076799</v>
      </c>
      <c r="K246">
        <v>1500</v>
      </c>
      <c r="L246">
        <v>0</v>
      </c>
      <c r="N246">
        <v>13</v>
      </c>
      <c r="O246" s="60" t="s">
        <v>967</v>
      </c>
      <c r="P246" t="s">
        <v>806</v>
      </c>
      <c r="Q246" t="s">
        <v>1039</v>
      </c>
    </row>
    <row r="247" spans="1:17" x14ac:dyDescent="0.25">
      <c r="A247" t="s">
        <v>19</v>
      </c>
      <c r="B247">
        <v>100</v>
      </c>
      <c r="C247">
        <v>159.85</v>
      </c>
      <c r="D247">
        <v>8.1</v>
      </c>
      <c r="E247">
        <v>225</v>
      </c>
      <c r="F247">
        <v>159.85</v>
      </c>
      <c r="G247">
        <v>8.1</v>
      </c>
      <c r="H247">
        <v>1.2</v>
      </c>
      <c r="I247">
        <v>0.9</v>
      </c>
      <c r="J247">
        <v>56.126477890366417</v>
      </c>
      <c r="K247">
        <v>1500</v>
      </c>
      <c r="L247">
        <v>0</v>
      </c>
      <c r="N247">
        <v>13</v>
      </c>
      <c r="O247" s="60" t="s">
        <v>968</v>
      </c>
      <c r="P247" t="s">
        <v>808</v>
      </c>
      <c r="Q247" t="s">
        <v>1005</v>
      </c>
    </row>
    <row r="248" spans="1:17" x14ac:dyDescent="0.25">
      <c r="A248" t="s">
        <v>19</v>
      </c>
      <c r="B248">
        <v>225</v>
      </c>
      <c r="C248">
        <v>159.85</v>
      </c>
      <c r="D248">
        <v>8.1</v>
      </c>
      <c r="E248">
        <v>225</v>
      </c>
      <c r="F248">
        <v>158.5</v>
      </c>
      <c r="G248">
        <v>8.1</v>
      </c>
      <c r="H248">
        <v>1.2</v>
      </c>
      <c r="I248">
        <v>0.9</v>
      </c>
      <c r="J248">
        <v>0.60616596121595478</v>
      </c>
      <c r="K248">
        <v>1500</v>
      </c>
      <c r="L248">
        <v>0</v>
      </c>
      <c r="N248">
        <v>13</v>
      </c>
      <c r="O248" s="60" t="s">
        <v>969</v>
      </c>
      <c r="P248" t="s">
        <v>810</v>
      </c>
      <c r="Q248" t="s">
        <v>1017</v>
      </c>
    </row>
    <row r="249" spans="1:17" x14ac:dyDescent="0.25">
      <c r="A249" t="s">
        <v>19</v>
      </c>
      <c r="B249">
        <v>225</v>
      </c>
      <c r="C249">
        <v>158.5</v>
      </c>
      <c r="D249">
        <v>8.1</v>
      </c>
      <c r="E249">
        <v>100</v>
      </c>
      <c r="F249">
        <v>158.5</v>
      </c>
      <c r="G249">
        <v>8.1</v>
      </c>
      <c r="H249">
        <v>1.2</v>
      </c>
      <c r="I249">
        <v>0.9</v>
      </c>
      <c r="J249">
        <v>56.126477890366417</v>
      </c>
      <c r="K249">
        <v>1500</v>
      </c>
      <c r="L249">
        <v>0</v>
      </c>
      <c r="N249">
        <v>13</v>
      </c>
      <c r="O249" s="60" t="s">
        <v>970</v>
      </c>
      <c r="P249" t="s">
        <v>812</v>
      </c>
      <c r="Q249" t="s">
        <v>1003</v>
      </c>
    </row>
    <row r="250" spans="1:17" x14ac:dyDescent="0.25">
      <c r="A250" t="s">
        <v>19</v>
      </c>
      <c r="B250">
        <v>100</v>
      </c>
      <c r="C250">
        <v>158.5</v>
      </c>
      <c r="D250">
        <v>8.1</v>
      </c>
      <c r="E250">
        <v>100</v>
      </c>
      <c r="F250">
        <v>153.15</v>
      </c>
      <c r="G250">
        <v>8.1</v>
      </c>
      <c r="H250">
        <v>1.2</v>
      </c>
      <c r="I250">
        <v>0.9</v>
      </c>
      <c r="J250">
        <v>2.4022132537076799</v>
      </c>
      <c r="K250">
        <v>1500</v>
      </c>
      <c r="L250">
        <v>0</v>
      </c>
      <c r="N250">
        <v>13</v>
      </c>
      <c r="O250" s="60" t="s">
        <v>971</v>
      </c>
      <c r="P250" t="s">
        <v>814</v>
      </c>
      <c r="Q250" t="s">
        <v>1033</v>
      </c>
    </row>
    <row r="251" spans="1:17" x14ac:dyDescent="0.25">
      <c r="A251" t="s">
        <v>19</v>
      </c>
      <c r="B251">
        <v>100</v>
      </c>
      <c r="C251">
        <v>153.15</v>
      </c>
      <c r="D251">
        <v>8.1</v>
      </c>
      <c r="E251">
        <v>225</v>
      </c>
      <c r="F251">
        <v>153.15</v>
      </c>
      <c r="G251">
        <v>8.1</v>
      </c>
      <c r="H251">
        <v>1.2</v>
      </c>
      <c r="I251">
        <v>0.9</v>
      </c>
      <c r="J251">
        <v>56.126477890366417</v>
      </c>
      <c r="K251">
        <v>1500</v>
      </c>
      <c r="L251">
        <v>0</v>
      </c>
      <c r="N251">
        <v>13</v>
      </c>
      <c r="O251" s="60" t="s">
        <v>972</v>
      </c>
      <c r="P251" t="s">
        <v>816</v>
      </c>
      <c r="Q251" t="s">
        <v>1005</v>
      </c>
    </row>
    <row r="252" spans="1:17" x14ac:dyDescent="0.25">
      <c r="A252" t="s">
        <v>19</v>
      </c>
      <c r="B252">
        <v>225</v>
      </c>
      <c r="C252">
        <v>153.15</v>
      </c>
      <c r="D252">
        <v>8.1</v>
      </c>
      <c r="E252">
        <v>225</v>
      </c>
      <c r="F252">
        <v>151.80000000000001</v>
      </c>
      <c r="G252">
        <v>8.1</v>
      </c>
      <c r="H252">
        <v>1.2</v>
      </c>
      <c r="I252">
        <v>0.9</v>
      </c>
      <c r="J252">
        <v>0.60616596121595478</v>
      </c>
      <c r="K252">
        <v>1500</v>
      </c>
      <c r="L252">
        <v>0</v>
      </c>
      <c r="N252">
        <v>13</v>
      </c>
      <c r="O252" s="60" t="s">
        <v>973</v>
      </c>
      <c r="P252" t="s">
        <v>818</v>
      </c>
      <c r="Q252" t="s">
        <v>1018</v>
      </c>
    </row>
    <row r="253" spans="1:17" x14ac:dyDescent="0.25">
      <c r="A253" t="s">
        <v>19</v>
      </c>
      <c r="B253">
        <v>225</v>
      </c>
      <c r="C253">
        <v>151.80000000000001</v>
      </c>
      <c r="D253">
        <v>8.1</v>
      </c>
      <c r="E253">
        <v>100</v>
      </c>
      <c r="F253">
        <v>151.80000000000001</v>
      </c>
      <c r="G253">
        <v>8.1</v>
      </c>
      <c r="H253">
        <v>1.2</v>
      </c>
      <c r="I253">
        <v>0.9</v>
      </c>
      <c r="J253">
        <v>56.126477890366417</v>
      </c>
      <c r="K253">
        <v>1500</v>
      </c>
      <c r="L253">
        <v>0</v>
      </c>
      <c r="N253">
        <v>13</v>
      </c>
      <c r="O253" s="60" t="s">
        <v>974</v>
      </c>
      <c r="P253" t="s">
        <v>820</v>
      </c>
      <c r="Q253" t="s">
        <v>1003</v>
      </c>
    </row>
    <row r="254" spans="1:17" x14ac:dyDescent="0.25">
      <c r="A254" t="s">
        <v>19</v>
      </c>
      <c r="B254">
        <v>100</v>
      </c>
      <c r="C254">
        <v>151.79999999999998</v>
      </c>
      <c r="D254">
        <v>8.1</v>
      </c>
      <c r="E254">
        <v>100</v>
      </c>
      <c r="F254">
        <v>146.44999999999999</v>
      </c>
      <c r="G254">
        <v>8.1</v>
      </c>
      <c r="H254">
        <v>1.2</v>
      </c>
      <c r="I254">
        <v>0.9</v>
      </c>
      <c r="J254">
        <v>2.4022132537076799</v>
      </c>
      <c r="K254">
        <v>1500</v>
      </c>
      <c r="L254">
        <v>0</v>
      </c>
      <c r="N254">
        <v>13</v>
      </c>
      <c r="O254" s="60" t="s">
        <v>975</v>
      </c>
      <c r="P254" t="s">
        <v>814</v>
      </c>
      <c r="Q254" t="s">
        <v>1034</v>
      </c>
    </row>
    <row r="255" spans="1:17" x14ac:dyDescent="0.25">
      <c r="A255" t="s">
        <v>19</v>
      </c>
      <c r="B255">
        <v>100</v>
      </c>
      <c r="C255">
        <v>146.44999999999999</v>
      </c>
      <c r="D255">
        <v>8.1</v>
      </c>
      <c r="E255">
        <v>225</v>
      </c>
      <c r="F255">
        <v>146.44999999999999</v>
      </c>
      <c r="G255">
        <v>8.1</v>
      </c>
      <c r="H255">
        <v>1.2</v>
      </c>
      <c r="I255">
        <v>0.9</v>
      </c>
      <c r="J255">
        <v>56.126477890366417</v>
      </c>
      <c r="K255">
        <v>1500</v>
      </c>
      <c r="L255">
        <v>0</v>
      </c>
      <c r="N255">
        <v>13</v>
      </c>
      <c r="O255" s="60" t="s">
        <v>976</v>
      </c>
      <c r="P255" t="s">
        <v>816</v>
      </c>
      <c r="Q255" t="s">
        <v>1005</v>
      </c>
    </row>
    <row r="256" spans="1:17" x14ac:dyDescent="0.25">
      <c r="A256" t="s">
        <v>19</v>
      </c>
      <c r="B256">
        <v>225</v>
      </c>
      <c r="C256">
        <v>146.44999999999999</v>
      </c>
      <c r="D256">
        <v>8.1</v>
      </c>
      <c r="E256">
        <v>225</v>
      </c>
      <c r="F256">
        <v>145.1</v>
      </c>
      <c r="G256">
        <v>8.1</v>
      </c>
      <c r="H256">
        <v>1.2</v>
      </c>
      <c r="I256">
        <v>0.9</v>
      </c>
      <c r="J256">
        <v>0.60616596121595478</v>
      </c>
      <c r="K256">
        <v>1500</v>
      </c>
      <c r="L256">
        <v>0</v>
      </c>
      <c r="N256">
        <v>13</v>
      </c>
      <c r="O256" s="60" t="s">
        <v>977</v>
      </c>
      <c r="P256" t="s">
        <v>818</v>
      </c>
      <c r="Q256" t="s">
        <v>1019</v>
      </c>
    </row>
    <row r="257" spans="1:17" x14ac:dyDescent="0.25">
      <c r="A257" t="s">
        <v>19</v>
      </c>
      <c r="B257">
        <v>225</v>
      </c>
      <c r="C257">
        <v>145.1</v>
      </c>
      <c r="D257">
        <v>8.1</v>
      </c>
      <c r="E257">
        <v>100</v>
      </c>
      <c r="F257">
        <v>145.1</v>
      </c>
      <c r="G257">
        <v>8.1</v>
      </c>
      <c r="H257">
        <v>1.2</v>
      </c>
      <c r="I257">
        <v>0.9</v>
      </c>
      <c r="J257">
        <v>56.126477890366417</v>
      </c>
      <c r="K257">
        <v>1500</v>
      </c>
      <c r="L257">
        <v>0</v>
      </c>
      <c r="N257">
        <v>13</v>
      </c>
      <c r="O257" s="60" t="s">
        <v>978</v>
      </c>
      <c r="P257" t="s">
        <v>820</v>
      </c>
      <c r="Q257" t="s">
        <v>1003</v>
      </c>
    </row>
    <row r="258" spans="1:17" x14ac:dyDescent="0.25">
      <c r="A258" t="s">
        <v>19</v>
      </c>
      <c r="B258">
        <v>100</v>
      </c>
      <c r="C258">
        <v>145.1</v>
      </c>
      <c r="D258">
        <v>8.1</v>
      </c>
      <c r="E258">
        <v>100</v>
      </c>
      <c r="F258">
        <v>139.75</v>
      </c>
      <c r="G258">
        <v>8.1</v>
      </c>
      <c r="H258">
        <v>1.2</v>
      </c>
      <c r="I258">
        <v>0.9</v>
      </c>
      <c r="J258">
        <v>2.4022132537076799</v>
      </c>
      <c r="K258">
        <v>1500</v>
      </c>
      <c r="L258">
        <v>0</v>
      </c>
      <c r="N258">
        <v>13</v>
      </c>
      <c r="O258" s="60" t="s">
        <v>979</v>
      </c>
      <c r="P258" t="s">
        <v>814</v>
      </c>
      <c r="Q258" t="s">
        <v>1035</v>
      </c>
    </row>
    <row r="259" spans="1:17" x14ac:dyDescent="0.25">
      <c r="A259" t="s">
        <v>19</v>
      </c>
      <c r="B259">
        <v>100</v>
      </c>
      <c r="C259">
        <v>139.75</v>
      </c>
      <c r="D259">
        <v>8.1</v>
      </c>
      <c r="E259">
        <v>225</v>
      </c>
      <c r="F259">
        <v>139.75</v>
      </c>
      <c r="G259">
        <v>8.1</v>
      </c>
      <c r="H259">
        <v>1.2</v>
      </c>
      <c r="I259">
        <v>0.9</v>
      </c>
      <c r="J259">
        <v>56.126477890366417</v>
      </c>
      <c r="K259">
        <v>1500</v>
      </c>
      <c r="L259">
        <v>0</v>
      </c>
      <c r="N259">
        <v>13</v>
      </c>
      <c r="O259" s="60" t="s">
        <v>980</v>
      </c>
      <c r="P259" t="s">
        <v>816</v>
      </c>
      <c r="Q259" t="s">
        <v>1005</v>
      </c>
    </row>
    <row r="260" spans="1:17" x14ac:dyDescent="0.25">
      <c r="A260" t="s">
        <v>19</v>
      </c>
      <c r="B260">
        <v>225</v>
      </c>
      <c r="C260">
        <v>139.75</v>
      </c>
      <c r="D260">
        <v>8.1</v>
      </c>
      <c r="E260">
        <v>225</v>
      </c>
      <c r="F260">
        <v>138.4</v>
      </c>
      <c r="G260">
        <v>8.1</v>
      </c>
      <c r="H260">
        <v>1.2</v>
      </c>
      <c r="I260">
        <v>0.9</v>
      </c>
      <c r="J260">
        <v>0.60616596121595478</v>
      </c>
      <c r="K260">
        <v>1500</v>
      </c>
      <c r="L260">
        <v>0</v>
      </c>
      <c r="N260">
        <v>13</v>
      </c>
      <c r="O260" s="60" t="s">
        <v>981</v>
      </c>
      <c r="P260" t="s">
        <v>818</v>
      </c>
      <c r="Q260" t="s">
        <v>1020</v>
      </c>
    </row>
    <row r="261" spans="1:17" x14ac:dyDescent="0.25">
      <c r="A261" t="s">
        <v>19</v>
      </c>
      <c r="B261">
        <v>225</v>
      </c>
      <c r="C261">
        <v>138.4</v>
      </c>
      <c r="D261">
        <v>8.1</v>
      </c>
      <c r="E261">
        <v>100</v>
      </c>
      <c r="F261">
        <v>138.4</v>
      </c>
      <c r="G261">
        <v>8.1</v>
      </c>
      <c r="H261">
        <v>1.2</v>
      </c>
      <c r="I261">
        <v>0.9</v>
      </c>
      <c r="J261">
        <v>56.126477890366417</v>
      </c>
      <c r="K261">
        <v>1500</v>
      </c>
      <c r="L261">
        <v>0</v>
      </c>
      <c r="N261">
        <v>13</v>
      </c>
      <c r="O261" s="60" t="s">
        <v>982</v>
      </c>
      <c r="P261" t="s">
        <v>820</v>
      </c>
      <c r="Q261" t="s">
        <v>1003</v>
      </c>
    </row>
    <row r="262" spans="1:17" x14ac:dyDescent="0.25">
      <c r="A262" t="s">
        <v>19</v>
      </c>
      <c r="B262">
        <v>100</v>
      </c>
      <c r="C262">
        <v>138.39999999999998</v>
      </c>
      <c r="D262">
        <v>8.1</v>
      </c>
      <c r="E262">
        <v>100</v>
      </c>
      <c r="F262">
        <v>133.04999999999998</v>
      </c>
      <c r="G262">
        <v>8.1</v>
      </c>
      <c r="H262">
        <v>1.2</v>
      </c>
      <c r="I262">
        <v>0.9</v>
      </c>
      <c r="J262">
        <v>2.4022132537076799</v>
      </c>
      <c r="K262">
        <v>1500</v>
      </c>
      <c r="L262">
        <v>0</v>
      </c>
      <c r="N262">
        <v>13</v>
      </c>
      <c r="O262" s="60" t="s">
        <v>983</v>
      </c>
      <c r="P262" t="s">
        <v>814</v>
      </c>
      <c r="Q262" t="s">
        <v>1036</v>
      </c>
    </row>
    <row r="263" spans="1:17" x14ac:dyDescent="0.25">
      <c r="A263" t="s">
        <v>19</v>
      </c>
      <c r="B263">
        <v>100</v>
      </c>
      <c r="C263">
        <v>133.04999999999998</v>
      </c>
      <c r="D263">
        <v>8.1</v>
      </c>
      <c r="E263">
        <v>225</v>
      </c>
      <c r="F263">
        <v>133.04999999999998</v>
      </c>
      <c r="G263">
        <v>8.1</v>
      </c>
      <c r="H263">
        <v>1.2</v>
      </c>
      <c r="I263">
        <v>0.9</v>
      </c>
      <c r="J263">
        <v>56.126477890366417</v>
      </c>
      <c r="K263">
        <v>1500</v>
      </c>
      <c r="L263">
        <v>0</v>
      </c>
      <c r="N263">
        <v>13</v>
      </c>
      <c r="O263" s="60" t="s">
        <v>984</v>
      </c>
      <c r="P263" t="s">
        <v>816</v>
      </c>
      <c r="Q263" t="s">
        <v>1005</v>
      </c>
    </row>
    <row r="264" spans="1:17" x14ac:dyDescent="0.25">
      <c r="A264" t="s">
        <v>19</v>
      </c>
      <c r="B264">
        <v>225</v>
      </c>
      <c r="C264">
        <v>133.04999999999998</v>
      </c>
      <c r="D264">
        <v>8.1</v>
      </c>
      <c r="E264">
        <v>225</v>
      </c>
      <c r="F264">
        <v>131.69999999999999</v>
      </c>
      <c r="G264">
        <v>8.1</v>
      </c>
      <c r="H264">
        <v>1.2</v>
      </c>
      <c r="I264">
        <v>0.9</v>
      </c>
      <c r="J264">
        <v>0.60616596121595478</v>
      </c>
      <c r="K264">
        <v>1500</v>
      </c>
      <c r="L264">
        <v>0</v>
      </c>
      <c r="N264">
        <v>13</v>
      </c>
      <c r="O264" s="60" t="s">
        <v>985</v>
      </c>
      <c r="P264" t="s">
        <v>818</v>
      </c>
      <c r="Q264" t="s">
        <v>731</v>
      </c>
    </row>
    <row r="265" spans="1:17" x14ac:dyDescent="0.25">
      <c r="A265" t="s">
        <v>19</v>
      </c>
      <c r="B265">
        <v>225</v>
      </c>
      <c r="C265">
        <v>131.69999999999999</v>
      </c>
      <c r="D265">
        <v>8.1</v>
      </c>
      <c r="E265">
        <v>100</v>
      </c>
      <c r="F265">
        <v>131.69999999999999</v>
      </c>
      <c r="G265">
        <v>8.1</v>
      </c>
      <c r="H265">
        <v>1.2</v>
      </c>
      <c r="I265">
        <v>0.9</v>
      </c>
      <c r="J265">
        <v>56.126477890366417</v>
      </c>
      <c r="K265">
        <v>1500</v>
      </c>
      <c r="L265">
        <v>0</v>
      </c>
      <c r="N265">
        <v>13</v>
      </c>
      <c r="O265" s="60" t="s">
        <v>986</v>
      </c>
      <c r="P265" t="s">
        <v>820</v>
      </c>
      <c r="Q265" t="s">
        <v>1003</v>
      </c>
    </row>
    <row r="266" spans="1:17" x14ac:dyDescent="0.25">
      <c r="A266" t="s">
        <v>19</v>
      </c>
      <c r="B266">
        <v>100</v>
      </c>
      <c r="C266">
        <v>131.69999999999999</v>
      </c>
      <c r="D266">
        <v>8.1</v>
      </c>
      <c r="E266">
        <v>100</v>
      </c>
      <c r="F266">
        <v>126.35</v>
      </c>
      <c r="G266">
        <v>8.1</v>
      </c>
      <c r="H266">
        <v>1.2</v>
      </c>
      <c r="I266">
        <v>0.9</v>
      </c>
      <c r="J266">
        <v>2.4022132537076799</v>
      </c>
      <c r="K266">
        <v>1500</v>
      </c>
      <c r="L266">
        <v>0</v>
      </c>
      <c r="N266">
        <v>13</v>
      </c>
      <c r="O266" s="60" t="s">
        <v>987</v>
      </c>
      <c r="P266" t="s">
        <v>814</v>
      </c>
      <c r="Q266" t="s">
        <v>1037</v>
      </c>
    </row>
    <row r="267" spans="1:17" x14ac:dyDescent="0.25">
      <c r="A267" t="s">
        <v>19</v>
      </c>
      <c r="B267">
        <v>100</v>
      </c>
      <c r="C267">
        <v>126.35</v>
      </c>
      <c r="D267">
        <v>8.1</v>
      </c>
      <c r="E267">
        <v>225</v>
      </c>
      <c r="F267">
        <v>126.35</v>
      </c>
      <c r="G267">
        <v>8.1</v>
      </c>
      <c r="H267">
        <v>1.2</v>
      </c>
      <c r="I267">
        <v>0.9</v>
      </c>
      <c r="J267">
        <v>56.126477890366417</v>
      </c>
      <c r="K267">
        <v>1500</v>
      </c>
      <c r="L267">
        <v>0</v>
      </c>
      <c r="N267">
        <v>13</v>
      </c>
      <c r="O267" s="60" t="s">
        <v>988</v>
      </c>
      <c r="P267" t="s">
        <v>816</v>
      </c>
      <c r="Q267" t="s">
        <v>1005</v>
      </c>
    </row>
    <row r="268" spans="1:17" x14ac:dyDescent="0.25">
      <c r="A268" t="s">
        <v>19</v>
      </c>
      <c r="B268">
        <v>225</v>
      </c>
      <c r="C268">
        <v>126.35</v>
      </c>
      <c r="D268">
        <v>8.1</v>
      </c>
      <c r="E268">
        <v>225</v>
      </c>
      <c r="F268">
        <v>125</v>
      </c>
      <c r="G268">
        <v>8.1</v>
      </c>
      <c r="H268">
        <v>1.2</v>
      </c>
      <c r="I268">
        <v>0.9</v>
      </c>
      <c r="J268">
        <v>0.60616596121595478</v>
      </c>
      <c r="K268">
        <v>1500</v>
      </c>
      <c r="L268">
        <v>0</v>
      </c>
      <c r="N268">
        <v>13</v>
      </c>
      <c r="O268" s="60" t="s">
        <v>989</v>
      </c>
      <c r="P268" t="s">
        <v>818</v>
      </c>
      <c r="Q268" t="s">
        <v>997</v>
      </c>
    </row>
    <row r="269" spans="1:17" x14ac:dyDescent="0.25">
      <c r="A269" t="s">
        <v>19</v>
      </c>
      <c r="B269">
        <v>225</v>
      </c>
      <c r="C269">
        <v>125</v>
      </c>
      <c r="D269">
        <v>8.1</v>
      </c>
      <c r="E269">
        <v>100</v>
      </c>
      <c r="F269">
        <v>125</v>
      </c>
      <c r="G269">
        <v>8.1</v>
      </c>
      <c r="H269">
        <v>1.2</v>
      </c>
      <c r="I269">
        <v>0.9</v>
      </c>
      <c r="J269">
        <v>56.126477890366417</v>
      </c>
      <c r="K269">
        <v>1500</v>
      </c>
      <c r="L269">
        <v>0</v>
      </c>
      <c r="N269">
        <v>13</v>
      </c>
      <c r="O269" s="60" t="s">
        <v>990</v>
      </c>
      <c r="P269" t="s">
        <v>820</v>
      </c>
      <c r="Q269" t="s">
        <v>1003</v>
      </c>
    </row>
    <row r="270" spans="1:17" x14ac:dyDescent="0.25">
      <c r="A270" t="s">
        <v>39</v>
      </c>
      <c r="B270">
        <v>-1.25</v>
      </c>
      <c r="C270">
        <v>2100</v>
      </c>
      <c r="N270">
        <v>13</v>
      </c>
      <c r="O270" s="60" t="s">
        <v>991</v>
      </c>
      <c r="P270" t="s">
        <v>838</v>
      </c>
      <c r="Q270" t="s">
        <v>697</v>
      </c>
    </row>
    <row r="271" spans="1:17" x14ac:dyDescent="0.25">
      <c r="A271" t="s">
        <v>659</v>
      </c>
      <c r="B271">
        <v>0.9</v>
      </c>
      <c r="C271">
        <v>10000</v>
      </c>
      <c r="N271">
        <v>13</v>
      </c>
      <c r="O271" s="60" t="s">
        <v>991</v>
      </c>
      <c r="P271" t="s">
        <v>838</v>
      </c>
      <c r="Q271" t="s">
        <v>696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644</v>
      </c>
      <c r="I3" t="s">
        <v>484</v>
      </c>
    </row>
    <row r="4" spans="1:9" x14ac:dyDescent="0.25">
      <c r="B4" t="s">
        <v>495</v>
      </c>
    </row>
    <row r="6" spans="1:9" x14ac:dyDescent="0.25">
      <c r="B6" t="str">
        <f>CONCATENATE("M104 S",NozzleTemp)</f>
        <v>M104 S220</v>
      </c>
      <c r="I6" t="s">
        <v>485</v>
      </c>
    </row>
    <row r="7" spans="1:9" x14ac:dyDescent="0.25">
      <c r="B7" t="str">
        <f>CONCATENATE("M140 S",BedTemp)</f>
        <v>M140 S60</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S60</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S60</v>
      </c>
    </row>
    <row r="21" spans="2:9" x14ac:dyDescent="0.25">
      <c r="B21" t="s">
        <v>649</v>
      </c>
      <c r="I21" t="str">
        <f>CONCATENATE("M104 S",NozzleTemp, " T0")</f>
        <v>M104 S220 T0</v>
      </c>
    </row>
    <row r="22" spans="2:9" x14ac:dyDescent="0.25">
      <c r="B22" t="s">
        <v>650</v>
      </c>
      <c r="I22" t="str">
        <f>CONCATENATE("M104 S",NozzleTemp, " T2")</f>
        <v>M104 S220 T2</v>
      </c>
    </row>
    <row r="23" spans="2:9" x14ac:dyDescent="0.25">
      <c r="B23" t="s">
        <v>651</v>
      </c>
      <c r="I23" t="str">
        <f>CONCATENATE("M190 S",BedTemp)</f>
        <v>M190 S60</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D16" t="s">
        <v>416</v>
      </c>
      <c r="E16" t="s">
        <v>454</v>
      </c>
      <c r="F16" t="s">
        <v>460</v>
      </c>
      <c r="G16" t="s">
        <v>407</v>
      </c>
      <c r="H16" t="s">
        <v>475</v>
      </c>
      <c r="I16" t="s">
        <v>497</v>
      </c>
      <c r="J16" t="s">
        <v>507</v>
      </c>
      <c r="L16" t="s">
        <v>492</v>
      </c>
      <c r="M16" t="s">
        <v>569</v>
      </c>
      <c r="N16" t="s">
        <v>599</v>
      </c>
    </row>
    <row r="17" spans="2:14" x14ac:dyDescent="0.25">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1038</v>
      </c>
      <c r="C19" t="s">
        <v>641</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642</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315"/>
  <sheetViews>
    <sheetView zoomScale="71" zoomScaleNormal="71" workbookViewId="0">
      <selection sqref="A1:A315"/>
    </sheetView>
  </sheetViews>
  <sheetFormatPr defaultRowHeight="15" x14ac:dyDescent="0.25"/>
  <sheetData>
    <row r="1" spans="1:1" x14ac:dyDescent="0.25">
      <c r="A1" t="s">
        <v>637</v>
      </c>
    </row>
    <row r="2" spans="1:1" x14ac:dyDescent="0.25">
      <c r="A2" t="s">
        <v>644</v>
      </c>
    </row>
    <row r="3" spans="1:1" x14ac:dyDescent="0.25">
      <c r="A3" t="s">
        <v>495</v>
      </c>
    </row>
    <row r="5" spans="1:1" x14ac:dyDescent="0.25">
      <c r="A5" t="s">
        <v>663</v>
      </c>
    </row>
    <row r="6" spans="1:1" x14ac:dyDescent="0.25">
      <c r="A6" t="s">
        <v>1031</v>
      </c>
    </row>
    <row r="8" spans="1:1" x14ac:dyDescent="0.25">
      <c r="A8" t="s">
        <v>485</v>
      </c>
    </row>
    <row r="9" spans="1:1" x14ac:dyDescent="0.25">
      <c r="A9" t="s">
        <v>633</v>
      </c>
    </row>
    <row r="11" spans="1:1" x14ac:dyDescent="0.25">
      <c r="A11" t="s">
        <v>467</v>
      </c>
    </row>
    <row r="13" spans="1:1" x14ac:dyDescent="0.25">
      <c r="A13" t="s">
        <v>664</v>
      </c>
    </row>
    <row r="14" spans="1:1" x14ac:dyDescent="0.25">
      <c r="A14" t="s">
        <v>1032</v>
      </c>
    </row>
    <row r="16" spans="1:1" x14ac:dyDescent="0.25">
      <c r="A16" t="s">
        <v>634</v>
      </c>
    </row>
    <row r="18" spans="1:1" x14ac:dyDescent="0.25">
      <c r="A18" t="s">
        <v>469</v>
      </c>
    </row>
    <row r="20" spans="1:1" x14ac:dyDescent="0.25">
      <c r="A20" t="s">
        <v>649</v>
      </c>
    </row>
    <row r="21" spans="1:1" x14ac:dyDescent="0.25">
      <c r="A21" t="s">
        <v>650</v>
      </c>
    </row>
    <row r="22" spans="1:1" x14ac:dyDescent="0.25">
      <c r="A22" t="s">
        <v>651</v>
      </c>
    </row>
    <row r="24" spans="1:1" x14ac:dyDescent="0.25">
      <c r="A24" t="s">
        <v>636</v>
      </c>
    </row>
    <row r="25" spans="1:1" x14ac:dyDescent="0.25">
      <c r="A25" t="s">
        <v>109</v>
      </c>
    </row>
    <row r="26" spans="1:1" x14ac:dyDescent="0.25">
      <c r="A26" t="s">
        <v>999</v>
      </c>
    </row>
    <row r="27" spans="1:1" x14ac:dyDescent="0.25">
      <c r="A27" t="s">
        <v>1000</v>
      </c>
    </row>
    <row r="28" spans="1:1" x14ac:dyDescent="0.25">
      <c r="A28" t="s">
        <v>996</v>
      </c>
    </row>
    <row r="29" spans="1:1" x14ac:dyDescent="0.25">
      <c r="A29" t="s">
        <v>1001</v>
      </c>
    </row>
    <row r="30" spans="1:1" x14ac:dyDescent="0.25">
      <c r="A30" t="s">
        <v>1007</v>
      </c>
    </row>
    <row r="31" spans="1:1" x14ac:dyDescent="0.25">
      <c r="A31" t="s">
        <v>1002</v>
      </c>
    </row>
    <row r="32" spans="1:1" x14ac:dyDescent="0.25">
      <c r="A32" t="s">
        <v>730</v>
      </c>
    </row>
    <row r="33" spans="1:1" x14ac:dyDescent="0.25">
      <c r="A33" t="s">
        <v>1001</v>
      </c>
    </row>
    <row r="34" spans="1:1" x14ac:dyDescent="0.25">
      <c r="A34" t="s">
        <v>1008</v>
      </c>
    </row>
    <row r="35" spans="1:1" x14ac:dyDescent="0.25">
      <c r="A35" t="s">
        <v>1002</v>
      </c>
    </row>
    <row r="36" spans="1:1" x14ac:dyDescent="0.25">
      <c r="A36" t="s">
        <v>1009</v>
      </c>
    </row>
    <row r="37" spans="1:1" x14ac:dyDescent="0.25">
      <c r="A37" t="s">
        <v>1001</v>
      </c>
    </row>
    <row r="38" spans="1:1" x14ac:dyDescent="0.25">
      <c r="A38" t="s">
        <v>1010</v>
      </c>
    </row>
    <row r="39" spans="1:1" x14ac:dyDescent="0.25">
      <c r="A39" t="s">
        <v>1002</v>
      </c>
    </row>
    <row r="40" spans="1:1" x14ac:dyDescent="0.25">
      <c r="A40" t="s">
        <v>1011</v>
      </c>
    </row>
    <row r="41" spans="1:1" x14ac:dyDescent="0.25">
      <c r="A41" t="s">
        <v>1001</v>
      </c>
    </row>
    <row r="42" spans="1:1" x14ac:dyDescent="0.25">
      <c r="A42" t="s">
        <v>1012</v>
      </c>
    </row>
    <row r="43" spans="1:1" x14ac:dyDescent="0.25">
      <c r="A43" t="s">
        <v>1002</v>
      </c>
    </row>
    <row r="44" spans="1:1" x14ac:dyDescent="0.25">
      <c r="A44" t="s">
        <v>1013</v>
      </c>
    </row>
    <row r="45" spans="1:1" x14ac:dyDescent="0.25">
      <c r="A45" t="s">
        <v>1001</v>
      </c>
    </row>
    <row r="46" spans="1:1" x14ac:dyDescent="0.25">
      <c r="A46" t="s">
        <v>1014</v>
      </c>
    </row>
    <row r="47" spans="1:1" x14ac:dyDescent="0.25">
      <c r="A47" t="s">
        <v>1002</v>
      </c>
    </row>
    <row r="48" spans="1:1" x14ac:dyDescent="0.25">
      <c r="A48" t="s">
        <v>1015</v>
      </c>
    </row>
    <row r="49" spans="1:1" x14ac:dyDescent="0.25">
      <c r="A49" t="s">
        <v>1001</v>
      </c>
    </row>
    <row r="50" spans="1:1" x14ac:dyDescent="0.25">
      <c r="A50" t="s">
        <v>1016</v>
      </c>
    </row>
    <row r="51" spans="1:1" x14ac:dyDescent="0.25">
      <c r="A51" t="s">
        <v>697</v>
      </c>
    </row>
    <row r="52" spans="1:1" x14ac:dyDescent="0.25">
      <c r="A52" t="s">
        <v>725</v>
      </c>
    </row>
    <row r="53" spans="1:1" x14ac:dyDescent="0.25">
      <c r="A53" t="s">
        <v>735</v>
      </c>
    </row>
    <row r="54" spans="1:1" x14ac:dyDescent="0.25">
      <c r="A54" t="s">
        <v>1039</v>
      </c>
    </row>
    <row r="55" spans="1:1" x14ac:dyDescent="0.25">
      <c r="A55" t="s">
        <v>1005</v>
      </c>
    </row>
    <row r="56" spans="1:1" x14ac:dyDescent="0.25">
      <c r="A56" t="s">
        <v>1017</v>
      </c>
    </row>
    <row r="57" spans="1:1" x14ac:dyDescent="0.25">
      <c r="A57" t="s">
        <v>1003</v>
      </c>
    </row>
    <row r="58" spans="1:1" x14ac:dyDescent="0.25">
      <c r="A58" t="s">
        <v>1033</v>
      </c>
    </row>
    <row r="59" spans="1:1" x14ac:dyDescent="0.25">
      <c r="A59" t="s">
        <v>1005</v>
      </c>
    </row>
    <row r="60" spans="1:1" x14ac:dyDescent="0.25">
      <c r="A60" t="s">
        <v>1018</v>
      </c>
    </row>
    <row r="61" spans="1:1" x14ac:dyDescent="0.25">
      <c r="A61" t="s">
        <v>1003</v>
      </c>
    </row>
    <row r="62" spans="1:1" x14ac:dyDescent="0.25">
      <c r="A62" t="s">
        <v>1034</v>
      </c>
    </row>
    <row r="63" spans="1:1" x14ac:dyDescent="0.25">
      <c r="A63" t="s">
        <v>1005</v>
      </c>
    </row>
    <row r="64" spans="1:1" x14ac:dyDescent="0.25">
      <c r="A64" t="s">
        <v>1019</v>
      </c>
    </row>
    <row r="65" spans="1:1" x14ac:dyDescent="0.25">
      <c r="A65" t="s">
        <v>1003</v>
      </c>
    </row>
    <row r="66" spans="1:1" x14ac:dyDescent="0.25">
      <c r="A66" t="s">
        <v>1035</v>
      </c>
    </row>
    <row r="67" spans="1:1" x14ac:dyDescent="0.25">
      <c r="A67" t="s">
        <v>1005</v>
      </c>
    </row>
    <row r="68" spans="1:1" x14ac:dyDescent="0.25">
      <c r="A68" t="s">
        <v>1020</v>
      </c>
    </row>
    <row r="69" spans="1:1" x14ac:dyDescent="0.25">
      <c r="A69" t="s">
        <v>1003</v>
      </c>
    </row>
    <row r="70" spans="1:1" x14ac:dyDescent="0.25">
      <c r="A70" t="s">
        <v>1036</v>
      </c>
    </row>
    <row r="71" spans="1:1" x14ac:dyDescent="0.25">
      <c r="A71" t="s">
        <v>1005</v>
      </c>
    </row>
    <row r="72" spans="1:1" x14ac:dyDescent="0.25">
      <c r="A72" t="s">
        <v>731</v>
      </c>
    </row>
    <row r="73" spans="1:1" x14ac:dyDescent="0.25">
      <c r="A73" t="s">
        <v>1003</v>
      </c>
    </row>
    <row r="74" spans="1:1" x14ac:dyDescent="0.25">
      <c r="A74" t="s">
        <v>1037</v>
      </c>
    </row>
    <row r="75" spans="1:1" x14ac:dyDescent="0.25">
      <c r="A75" t="s">
        <v>1005</v>
      </c>
    </row>
    <row r="76" spans="1:1" x14ac:dyDescent="0.25">
      <c r="A76" t="s">
        <v>997</v>
      </c>
    </row>
    <row r="77" spans="1:1" x14ac:dyDescent="0.25">
      <c r="A77" t="s">
        <v>1003</v>
      </c>
    </row>
    <row r="78" spans="1:1" x14ac:dyDescent="0.25">
      <c r="A78" t="s">
        <v>697</v>
      </c>
    </row>
    <row r="79" spans="1:1" x14ac:dyDescent="0.25">
      <c r="A79" t="s">
        <v>692</v>
      </c>
    </row>
    <row r="80" spans="1:1" x14ac:dyDescent="0.25">
      <c r="A80" t="s">
        <v>992</v>
      </c>
    </row>
    <row r="81" spans="1:1" x14ac:dyDescent="0.25">
      <c r="A81" t="s">
        <v>1004</v>
      </c>
    </row>
    <row r="82" spans="1:1" x14ac:dyDescent="0.25">
      <c r="A82" t="s">
        <v>998</v>
      </c>
    </row>
    <row r="83" spans="1:1" x14ac:dyDescent="0.25">
      <c r="A83" t="s">
        <v>1003</v>
      </c>
    </row>
    <row r="84" spans="1:1" x14ac:dyDescent="0.25">
      <c r="A84" t="s">
        <v>1021</v>
      </c>
    </row>
    <row r="85" spans="1:1" x14ac:dyDescent="0.25">
      <c r="A85" t="s">
        <v>1005</v>
      </c>
    </row>
    <row r="86" spans="1:1" x14ac:dyDescent="0.25">
      <c r="A86" t="s">
        <v>732</v>
      </c>
    </row>
    <row r="87" spans="1:1" x14ac:dyDescent="0.25">
      <c r="A87" t="s">
        <v>1003</v>
      </c>
    </row>
    <row r="88" spans="1:1" x14ac:dyDescent="0.25">
      <c r="A88" t="s">
        <v>1022</v>
      </c>
    </row>
    <row r="89" spans="1:1" x14ac:dyDescent="0.25">
      <c r="A89" t="s">
        <v>1005</v>
      </c>
    </row>
    <row r="90" spans="1:1" x14ac:dyDescent="0.25">
      <c r="A90" t="s">
        <v>1023</v>
      </c>
    </row>
    <row r="91" spans="1:1" x14ac:dyDescent="0.25">
      <c r="A91" t="s">
        <v>1003</v>
      </c>
    </row>
    <row r="92" spans="1:1" x14ac:dyDescent="0.25">
      <c r="A92" t="s">
        <v>1024</v>
      </c>
    </row>
    <row r="93" spans="1:1" x14ac:dyDescent="0.25">
      <c r="A93" t="s">
        <v>1005</v>
      </c>
    </row>
    <row r="94" spans="1:1" x14ac:dyDescent="0.25">
      <c r="A94" t="s">
        <v>1025</v>
      </c>
    </row>
    <row r="95" spans="1:1" x14ac:dyDescent="0.25">
      <c r="A95" t="s">
        <v>1003</v>
      </c>
    </row>
    <row r="96" spans="1:1" x14ac:dyDescent="0.25">
      <c r="A96" t="s">
        <v>1026</v>
      </c>
    </row>
    <row r="97" spans="1:1" x14ac:dyDescent="0.25">
      <c r="A97" t="s">
        <v>1005</v>
      </c>
    </row>
    <row r="98" spans="1:1" x14ac:dyDescent="0.25">
      <c r="A98" t="s">
        <v>1027</v>
      </c>
    </row>
    <row r="99" spans="1:1" x14ac:dyDescent="0.25">
      <c r="A99" t="s">
        <v>1003</v>
      </c>
    </row>
    <row r="100" spans="1:1" x14ac:dyDescent="0.25">
      <c r="A100" t="s">
        <v>1028</v>
      </c>
    </row>
    <row r="101" spans="1:1" x14ac:dyDescent="0.25">
      <c r="A101" t="s">
        <v>1005</v>
      </c>
    </row>
    <row r="102" spans="1:1" x14ac:dyDescent="0.25">
      <c r="A102" t="s">
        <v>1029</v>
      </c>
    </row>
    <row r="103" spans="1:1" x14ac:dyDescent="0.25">
      <c r="A103" t="s">
        <v>1003</v>
      </c>
    </row>
    <row r="104" spans="1:1" x14ac:dyDescent="0.25">
      <c r="A104" t="s">
        <v>1030</v>
      </c>
    </row>
    <row r="105" spans="1:1" x14ac:dyDescent="0.25">
      <c r="A105" t="s">
        <v>697</v>
      </c>
    </row>
    <row r="106" spans="1:1" x14ac:dyDescent="0.25">
      <c r="A106" t="s">
        <v>726</v>
      </c>
    </row>
    <row r="107" spans="1:1" x14ac:dyDescent="0.25">
      <c r="A107" t="s">
        <v>804</v>
      </c>
    </row>
    <row r="108" spans="1:1" x14ac:dyDescent="0.25">
      <c r="A108" t="s">
        <v>1039</v>
      </c>
    </row>
    <row r="109" spans="1:1" x14ac:dyDescent="0.25">
      <c r="A109" t="s">
        <v>1005</v>
      </c>
    </row>
    <row r="110" spans="1:1" x14ac:dyDescent="0.25">
      <c r="A110" t="s">
        <v>1017</v>
      </c>
    </row>
    <row r="111" spans="1:1" x14ac:dyDescent="0.25">
      <c r="A111" t="s">
        <v>1003</v>
      </c>
    </row>
    <row r="112" spans="1:1" x14ac:dyDescent="0.25">
      <c r="A112" t="s">
        <v>1033</v>
      </c>
    </row>
    <row r="113" spans="1:1" x14ac:dyDescent="0.25">
      <c r="A113" t="s">
        <v>1005</v>
      </c>
    </row>
    <row r="114" spans="1:1" x14ac:dyDescent="0.25">
      <c r="A114" t="s">
        <v>1018</v>
      </c>
    </row>
    <row r="115" spans="1:1" x14ac:dyDescent="0.25">
      <c r="A115" t="s">
        <v>1003</v>
      </c>
    </row>
    <row r="116" spans="1:1" x14ac:dyDescent="0.25">
      <c r="A116" t="s">
        <v>1034</v>
      </c>
    </row>
    <row r="117" spans="1:1" x14ac:dyDescent="0.25">
      <c r="A117" t="s">
        <v>1005</v>
      </c>
    </row>
    <row r="118" spans="1:1" x14ac:dyDescent="0.25">
      <c r="A118" t="s">
        <v>1019</v>
      </c>
    </row>
    <row r="119" spans="1:1" x14ac:dyDescent="0.25">
      <c r="A119" t="s">
        <v>1003</v>
      </c>
    </row>
    <row r="120" spans="1:1" x14ac:dyDescent="0.25">
      <c r="A120" t="s">
        <v>1035</v>
      </c>
    </row>
    <row r="121" spans="1:1" x14ac:dyDescent="0.25">
      <c r="A121" t="s">
        <v>1005</v>
      </c>
    </row>
    <row r="122" spans="1:1" x14ac:dyDescent="0.25">
      <c r="A122" t="s">
        <v>1020</v>
      </c>
    </row>
    <row r="123" spans="1:1" x14ac:dyDescent="0.25">
      <c r="A123" t="s">
        <v>1003</v>
      </c>
    </row>
    <row r="124" spans="1:1" x14ac:dyDescent="0.25">
      <c r="A124" t="s">
        <v>1036</v>
      </c>
    </row>
    <row r="125" spans="1:1" x14ac:dyDescent="0.25">
      <c r="A125" t="s">
        <v>1005</v>
      </c>
    </row>
    <row r="126" spans="1:1" x14ac:dyDescent="0.25">
      <c r="A126" t="s">
        <v>731</v>
      </c>
    </row>
    <row r="127" spans="1:1" x14ac:dyDescent="0.25">
      <c r="A127" t="s">
        <v>1003</v>
      </c>
    </row>
    <row r="128" spans="1:1" x14ac:dyDescent="0.25">
      <c r="A128" t="s">
        <v>1037</v>
      </c>
    </row>
    <row r="129" spans="1:1" x14ac:dyDescent="0.25">
      <c r="A129" t="s">
        <v>1005</v>
      </c>
    </row>
    <row r="130" spans="1:1" x14ac:dyDescent="0.25">
      <c r="A130" t="s">
        <v>997</v>
      </c>
    </row>
    <row r="131" spans="1:1" x14ac:dyDescent="0.25">
      <c r="A131" t="s">
        <v>1003</v>
      </c>
    </row>
    <row r="132" spans="1:1" x14ac:dyDescent="0.25">
      <c r="A132" t="s">
        <v>697</v>
      </c>
    </row>
    <row r="133" spans="1:1" x14ac:dyDescent="0.25">
      <c r="A133" t="s">
        <v>680</v>
      </c>
    </row>
    <row r="134" spans="1:1" x14ac:dyDescent="0.25">
      <c r="A134" t="s">
        <v>993</v>
      </c>
    </row>
    <row r="135" spans="1:1" x14ac:dyDescent="0.25">
      <c r="A135" t="s">
        <v>1004</v>
      </c>
    </row>
    <row r="136" spans="1:1" x14ac:dyDescent="0.25">
      <c r="A136" t="s">
        <v>998</v>
      </c>
    </row>
    <row r="137" spans="1:1" x14ac:dyDescent="0.25">
      <c r="A137" t="s">
        <v>1003</v>
      </c>
    </row>
    <row r="138" spans="1:1" x14ac:dyDescent="0.25">
      <c r="A138" t="s">
        <v>1021</v>
      </c>
    </row>
    <row r="139" spans="1:1" x14ac:dyDescent="0.25">
      <c r="A139" t="s">
        <v>1005</v>
      </c>
    </row>
    <row r="140" spans="1:1" x14ac:dyDescent="0.25">
      <c r="A140" t="s">
        <v>732</v>
      </c>
    </row>
    <row r="141" spans="1:1" x14ac:dyDescent="0.25">
      <c r="A141" t="s">
        <v>1003</v>
      </c>
    </row>
    <row r="142" spans="1:1" x14ac:dyDescent="0.25">
      <c r="A142" t="s">
        <v>1022</v>
      </c>
    </row>
    <row r="143" spans="1:1" x14ac:dyDescent="0.25">
      <c r="A143" t="s">
        <v>1005</v>
      </c>
    </row>
    <row r="144" spans="1:1" x14ac:dyDescent="0.25">
      <c r="A144" t="s">
        <v>1023</v>
      </c>
    </row>
    <row r="145" spans="1:1" x14ac:dyDescent="0.25">
      <c r="A145" t="s">
        <v>1003</v>
      </c>
    </row>
    <row r="146" spans="1:1" x14ac:dyDescent="0.25">
      <c r="A146" t="s">
        <v>1024</v>
      </c>
    </row>
    <row r="147" spans="1:1" x14ac:dyDescent="0.25">
      <c r="A147" t="s">
        <v>1005</v>
      </c>
    </row>
    <row r="148" spans="1:1" x14ac:dyDescent="0.25">
      <c r="A148" t="s">
        <v>1025</v>
      </c>
    </row>
    <row r="149" spans="1:1" x14ac:dyDescent="0.25">
      <c r="A149" t="s">
        <v>1003</v>
      </c>
    </row>
    <row r="150" spans="1:1" x14ac:dyDescent="0.25">
      <c r="A150" t="s">
        <v>1026</v>
      </c>
    </row>
    <row r="151" spans="1:1" x14ac:dyDescent="0.25">
      <c r="A151" t="s">
        <v>1005</v>
      </c>
    </row>
    <row r="152" spans="1:1" x14ac:dyDescent="0.25">
      <c r="A152" t="s">
        <v>1027</v>
      </c>
    </row>
    <row r="153" spans="1:1" x14ac:dyDescent="0.25">
      <c r="A153" t="s">
        <v>1003</v>
      </c>
    </row>
    <row r="154" spans="1:1" x14ac:dyDescent="0.25">
      <c r="A154" t="s">
        <v>1028</v>
      </c>
    </row>
    <row r="155" spans="1:1" x14ac:dyDescent="0.25">
      <c r="A155" t="s">
        <v>1005</v>
      </c>
    </row>
    <row r="156" spans="1:1" x14ac:dyDescent="0.25">
      <c r="A156" t="s">
        <v>1029</v>
      </c>
    </row>
    <row r="157" spans="1:1" x14ac:dyDescent="0.25">
      <c r="A157" t="s">
        <v>1003</v>
      </c>
    </row>
    <row r="158" spans="1:1" x14ac:dyDescent="0.25">
      <c r="A158" t="s">
        <v>1030</v>
      </c>
    </row>
    <row r="159" spans="1:1" x14ac:dyDescent="0.25">
      <c r="A159" t="s">
        <v>697</v>
      </c>
    </row>
    <row r="160" spans="1:1" x14ac:dyDescent="0.25">
      <c r="A160" t="s">
        <v>727</v>
      </c>
    </row>
    <row r="161" spans="1:1" x14ac:dyDescent="0.25">
      <c r="A161" t="s">
        <v>864</v>
      </c>
    </row>
    <row r="162" spans="1:1" x14ac:dyDescent="0.25">
      <c r="A162" t="s">
        <v>1039</v>
      </c>
    </row>
    <row r="163" spans="1:1" x14ac:dyDescent="0.25">
      <c r="A163" t="s">
        <v>1005</v>
      </c>
    </row>
    <row r="164" spans="1:1" x14ac:dyDescent="0.25">
      <c r="A164" t="s">
        <v>1017</v>
      </c>
    </row>
    <row r="165" spans="1:1" x14ac:dyDescent="0.25">
      <c r="A165" t="s">
        <v>1003</v>
      </c>
    </row>
    <row r="166" spans="1:1" x14ac:dyDescent="0.25">
      <c r="A166" t="s">
        <v>1033</v>
      </c>
    </row>
    <row r="167" spans="1:1" x14ac:dyDescent="0.25">
      <c r="A167" t="s">
        <v>1005</v>
      </c>
    </row>
    <row r="168" spans="1:1" x14ac:dyDescent="0.25">
      <c r="A168" t="s">
        <v>1018</v>
      </c>
    </row>
    <row r="169" spans="1:1" x14ac:dyDescent="0.25">
      <c r="A169" t="s">
        <v>1003</v>
      </c>
    </row>
    <row r="170" spans="1:1" x14ac:dyDescent="0.25">
      <c r="A170" t="s">
        <v>1034</v>
      </c>
    </row>
    <row r="171" spans="1:1" x14ac:dyDescent="0.25">
      <c r="A171" t="s">
        <v>1005</v>
      </c>
    </row>
    <row r="172" spans="1:1" x14ac:dyDescent="0.25">
      <c r="A172" t="s">
        <v>1019</v>
      </c>
    </row>
    <row r="173" spans="1:1" x14ac:dyDescent="0.25">
      <c r="A173" t="s">
        <v>1003</v>
      </c>
    </row>
    <row r="174" spans="1:1" x14ac:dyDescent="0.25">
      <c r="A174" t="s">
        <v>1035</v>
      </c>
    </row>
    <row r="175" spans="1:1" x14ac:dyDescent="0.25">
      <c r="A175" t="s">
        <v>1005</v>
      </c>
    </row>
    <row r="176" spans="1:1" x14ac:dyDescent="0.25">
      <c r="A176" t="s">
        <v>1020</v>
      </c>
    </row>
    <row r="177" spans="1:1" x14ac:dyDescent="0.25">
      <c r="A177" t="s">
        <v>1003</v>
      </c>
    </row>
    <row r="178" spans="1:1" x14ac:dyDescent="0.25">
      <c r="A178" t="s">
        <v>1036</v>
      </c>
    </row>
    <row r="179" spans="1:1" x14ac:dyDescent="0.25">
      <c r="A179" t="s">
        <v>1005</v>
      </c>
    </row>
    <row r="180" spans="1:1" x14ac:dyDescent="0.25">
      <c r="A180" t="s">
        <v>731</v>
      </c>
    </row>
    <row r="181" spans="1:1" x14ac:dyDescent="0.25">
      <c r="A181" t="s">
        <v>1003</v>
      </c>
    </row>
    <row r="182" spans="1:1" x14ac:dyDescent="0.25">
      <c r="A182" t="s">
        <v>1037</v>
      </c>
    </row>
    <row r="183" spans="1:1" x14ac:dyDescent="0.25">
      <c r="A183" t="s">
        <v>1005</v>
      </c>
    </row>
    <row r="184" spans="1:1" x14ac:dyDescent="0.25">
      <c r="A184" t="s">
        <v>997</v>
      </c>
    </row>
    <row r="185" spans="1:1" x14ac:dyDescent="0.25">
      <c r="A185" t="s">
        <v>1003</v>
      </c>
    </row>
    <row r="186" spans="1:1" x14ac:dyDescent="0.25">
      <c r="A186" t="s">
        <v>697</v>
      </c>
    </row>
    <row r="187" spans="1:1" x14ac:dyDescent="0.25">
      <c r="A187" t="s">
        <v>693</v>
      </c>
    </row>
    <row r="188" spans="1:1" x14ac:dyDescent="0.25">
      <c r="A188" t="s">
        <v>994</v>
      </c>
    </row>
    <row r="189" spans="1:1" x14ac:dyDescent="0.25">
      <c r="A189" t="s">
        <v>1004</v>
      </c>
    </row>
    <row r="190" spans="1:1" x14ac:dyDescent="0.25">
      <c r="A190" t="s">
        <v>998</v>
      </c>
    </row>
    <row r="191" spans="1:1" x14ac:dyDescent="0.25">
      <c r="A191" t="s">
        <v>1003</v>
      </c>
    </row>
    <row r="192" spans="1:1" x14ac:dyDescent="0.25">
      <c r="A192" t="s">
        <v>1021</v>
      </c>
    </row>
    <row r="193" spans="1:1" x14ac:dyDescent="0.25">
      <c r="A193" t="s">
        <v>1005</v>
      </c>
    </row>
    <row r="194" spans="1:1" x14ac:dyDescent="0.25">
      <c r="A194" t="s">
        <v>732</v>
      </c>
    </row>
    <row r="195" spans="1:1" x14ac:dyDescent="0.25">
      <c r="A195" t="s">
        <v>1003</v>
      </c>
    </row>
    <row r="196" spans="1:1" x14ac:dyDescent="0.25">
      <c r="A196" t="s">
        <v>1022</v>
      </c>
    </row>
    <row r="197" spans="1:1" x14ac:dyDescent="0.25">
      <c r="A197" t="s">
        <v>1005</v>
      </c>
    </row>
    <row r="198" spans="1:1" x14ac:dyDescent="0.25">
      <c r="A198" t="s">
        <v>1023</v>
      </c>
    </row>
    <row r="199" spans="1:1" x14ac:dyDescent="0.25">
      <c r="A199" t="s">
        <v>1003</v>
      </c>
    </row>
    <row r="200" spans="1:1" x14ac:dyDescent="0.25">
      <c r="A200" t="s">
        <v>1024</v>
      </c>
    </row>
    <row r="201" spans="1:1" x14ac:dyDescent="0.25">
      <c r="A201" t="s">
        <v>1005</v>
      </c>
    </row>
    <row r="202" spans="1:1" x14ac:dyDescent="0.25">
      <c r="A202" t="s">
        <v>1025</v>
      </c>
    </row>
    <row r="203" spans="1:1" x14ac:dyDescent="0.25">
      <c r="A203" t="s">
        <v>1003</v>
      </c>
    </row>
    <row r="204" spans="1:1" x14ac:dyDescent="0.25">
      <c r="A204" t="s">
        <v>1026</v>
      </c>
    </row>
    <row r="205" spans="1:1" x14ac:dyDescent="0.25">
      <c r="A205" t="s">
        <v>1005</v>
      </c>
    </row>
    <row r="206" spans="1:1" x14ac:dyDescent="0.25">
      <c r="A206" t="s">
        <v>1027</v>
      </c>
    </row>
    <row r="207" spans="1:1" x14ac:dyDescent="0.25">
      <c r="A207" t="s">
        <v>1003</v>
      </c>
    </row>
    <row r="208" spans="1:1" x14ac:dyDescent="0.25">
      <c r="A208" t="s">
        <v>1028</v>
      </c>
    </row>
    <row r="209" spans="1:1" x14ac:dyDescent="0.25">
      <c r="A209" t="s">
        <v>1005</v>
      </c>
    </row>
    <row r="210" spans="1:1" x14ac:dyDescent="0.25">
      <c r="A210" t="s">
        <v>1029</v>
      </c>
    </row>
    <row r="211" spans="1:1" x14ac:dyDescent="0.25">
      <c r="A211" t="s">
        <v>1003</v>
      </c>
    </row>
    <row r="212" spans="1:1" x14ac:dyDescent="0.25">
      <c r="A212" t="s">
        <v>1030</v>
      </c>
    </row>
    <row r="213" spans="1:1" x14ac:dyDescent="0.25">
      <c r="A213" t="s">
        <v>697</v>
      </c>
    </row>
    <row r="214" spans="1:1" x14ac:dyDescent="0.25">
      <c r="A214" t="s">
        <v>728</v>
      </c>
    </row>
    <row r="215" spans="1:1" x14ac:dyDescent="0.25">
      <c r="A215" t="s">
        <v>915</v>
      </c>
    </row>
    <row r="216" spans="1:1" x14ac:dyDescent="0.25">
      <c r="A216" t="s">
        <v>1039</v>
      </c>
    </row>
    <row r="217" spans="1:1" x14ac:dyDescent="0.25">
      <c r="A217" t="s">
        <v>1005</v>
      </c>
    </row>
    <row r="218" spans="1:1" x14ac:dyDescent="0.25">
      <c r="A218" t="s">
        <v>1017</v>
      </c>
    </row>
    <row r="219" spans="1:1" x14ac:dyDescent="0.25">
      <c r="A219" t="s">
        <v>1003</v>
      </c>
    </row>
    <row r="220" spans="1:1" x14ac:dyDescent="0.25">
      <c r="A220" t="s">
        <v>1033</v>
      </c>
    </row>
    <row r="221" spans="1:1" x14ac:dyDescent="0.25">
      <c r="A221" t="s">
        <v>1005</v>
      </c>
    </row>
    <row r="222" spans="1:1" x14ac:dyDescent="0.25">
      <c r="A222" t="s">
        <v>1018</v>
      </c>
    </row>
    <row r="223" spans="1:1" x14ac:dyDescent="0.25">
      <c r="A223" t="s">
        <v>1003</v>
      </c>
    </row>
    <row r="224" spans="1:1" x14ac:dyDescent="0.25">
      <c r="A224" t="s">
        <v>1034</v>
      </c>
    </row>
    <row r="225" spans="1:1" x14ac:dyDescent="0.25">
      <c r="A225" t="s">
        <v>1005</v>
      </c>
    </row>
    <row r="226" spans="1:1" x14ac:dyDescent="0.25">
      <c r="A226" t="s">
        <v>1019</v>
      </c>
    </row>
    <row r="227" spans="1:1" x14ac:dyDescent="0.25">
      <c r="A227" t="s">
        <v>1003</v>
      </c>
    </row>
    <row r="228" spans="1:1" x14ac:dyDescent="0.25">
      <c r="A228" t="s">
        <v>1035</v>
      </c>
    </row>
    <row r="229" spans="1:1" x14ac:dyDescent="0.25">
      <c r="A229" t="s">
        <v>1005</v>
      </c>
    </row>
    <row r="230" spans="1:1" x14ac:dyDescent="0.25">
      <c r="A230" t="s">
        <v>1020</v>
      </c>
    </row>
    <row r="231" spans="1:1" x14ac:dyDescent="0.25">
      <c r="A231" t="s">
        <v>1003</v>
      </c>
    </row>
    <row r="232" spans="1:1" x14ac:dyDescent="0.25">
      <c r="A232" t="s">
        <v>1036</v>
      </c>
    </row>
    <row r="233" spans="1:1" x14ac:dyDescent="0.25">
      <c r="A233" t="s">
        <v>1005</v>
      </c>
    </row>
    <row r="234" spans="1:1" x14ac:dyDescent="0.25">
      <c r="A234" t="s">
        <v>731</v>
      </c>
    </row>
    <row r="235" spans="1:1" x14ac:dyDescent="0.25">
      <c r="A235" t="s">
        <v>1003</v>
      </c>
    </row>
    <row r="236" spans="1:1" x14ac:dyDescent="0.25">
      <c r="A236" t="s">
        <v>1037</v>
      </c>
    </row>
    <row r="237" spans="1:1" x14ac:dyDescent="0.25">
      <c r="A237" t="s">
        <v>1005</v>
      </c>
    </row>
    <row r="238" spans="1:1" x14ac:dyDescent="0.25">
      <c r="A238" t="s">
        <v>997</v>
      </c>
    </row>
    <row r="239" spans="1:1" x14ac:dyDescent="0.25">
      <c r="A239" t="s">
        <v>1003</v>
      </c>
    </row>
    <row r="240" spans="1:1" x14ac:dyDescent="0.25">
      <c r="A240" t="s">
        <v>697</v>
      </c>
    </row>
    <row r="241" spans="1:1" x14ac:dyDescent="0.25">
      <c r="A241" t="s">
        <v>678</v>
      </c>
    </row>
    <row r="242" spans="1:1" x14ac:dyDescent="0.25">
      <c r="A242" t="s">
        <v>995</v>
      </c>
    </row>
    <row r="243" spans="1:1" x14ac:dyDescent="0.25">
      <c r="A243" t="s">
        <v>1004</v>
      </c>
    </row>
    <row r="244" spans="1:1" x14ac:dyDescent="0.25">
      <c r="A244" t="s">
        <v>998</v>
      </c>
    </row>
    <row r="245" spans="1:1" x14ac:dyDescent="0.25">
      <c r="A245" t="s">
        <v>1003</v>
      </c>
    </row>
    <row r="246" spans="1:1" x14ac:dyDescent="0.25">
      <c r="A246" t="s">
        <v>1021</v>
      </c>
    </row>
    <row r="247" spans="1:1" x14ac:dyDescent="0.25">
      <c r="A247" t="s">
        <v>1005</v>
      </c>
    </row>
    <row r="248" spans="1:1" x14ac:dyDescent="0.25">
      <c r="A248" t="s">
        <v>732</v>
      </c>
    </row>
    <row r="249" spans="1:1" x14ac:dyDescent="0.25">
      <c r="A249" t="s">
        <v>1003</v>
      </c>
    </row>
    <row r="250" spans="1:1" x14ac:dyDescent="0.25">
      <c r="A250" t="s">
        <v>1022</v>
      </c>
    </row>
    <row r="251" spans="1:1" x14ac:dyDescent="0.25">
      <c r="A251" t="s">
        <v>1005</v>
      </c>
    </row>
    <row r="252" spans="1:1" x14ac:dyDescent="0.25">
      <c r="A252" t="s">
        <v>1023</v>
      </c>
    </row>
    <row r="253" spans="1:1" x14ac:dyDescent="0.25">
      <c r="A253" t="s">
        <v>1003</v>
      </c>
    </row>
    <row r="254" spans="1:1" x14ac:dyDescent="0.25">
      <c r="A254" t="s">
        <v>1024</v>
      </c>
    </row>
    <row r="255" spans="1:1" x14ac:dyDescent="0.25">
      <c r="A255" t="s">
        <v>1005</v>
      </c>
    </row>
    <row r="256" spans="1:1" x14ac:dyDescent="0.25">
      <c r="A256" t="s">
        <v>1025</v>
      </c>
    </row>
    <row r="257" spans="1:1" x14ac:dyDescent="0.25">
      <c r="A257" t="s">
        <v>1003</v>
      </c>
    </row>
    <row r="258" spans="1:1" x14ac:dyDescent="0.25">
      <c r="A258" t="s">
        <v>1026</v>
      </c>
    </row>
    <row r="259" spans="1:1" x14ac:dyDescent="0.25">
      <c r="A259" t="s">
        <v>1005</v>
      </c>
    </row>
    <row r="260" spans="1:1" x14ac:dyDescent="0.25">
      <c r="A260" t="s">
        <v>1027</v>
      </c>
    </row>
    <row r="261" spans="1:1" x14ac:dyDescent="0.25">
      <c r="A261" t="s">
        <v>1003</v>
      </c>
    </row>
    <row r="262" spans="1:1" x14ac:dyDescent="0.25">
      <c r="A262" t="s">
        <v>1028</v>
      </c>
    </row>
    <row r="263" spans="1:1" x14ac:dyDescent="0.25">
      <c r="A263" t="s">
        <v>1005</v>
      </c>
    </row>
    <row r="264" spans="1:1" x14ac:dyDescent="0.25">
      <c r="A264" t="s">
        <v>1029</v>
      </c>
    </row>
    <row r="265" spans="1:1" x14ac:dyDescent="0.25">
      <c r="A265" t="s">
        <v>1003</v>
      </c>
    </row>
    <row r="266" spans="1:1" x14ac:dyDescent="0.25">
      <c r="A266" t="s">
        <v>1030</v>
      </c>
    </row>
    <row r="267" spans="1:1" x14ac:dyDescent="0.25">
      <c r="A267" t="s">
        <v>697</v>
      </c>
    </row>
    <row r="268" spans="1:1" x14ac:dyDescent="0.25">
      <c r="A268" t="s">
        <v>729</v>
      </c>
    </row>
    <row r="269" spans="1:1" x14ac:dyDescent="0.25">
      <c r="A269" t="s">
        <v>966</v>
      </c>
    </row>
    <row r="270" spans="1:1" x14ac:dyDescent="0.25">
      <c r="A270" t="s">
        <v>1039</v>
      </c>
    </row>
    <row r="271" spans="1:1" x14ac:dyDescent="0.25">
      <c r="A271" t="s">
        <v>1005</v>
      </c>
    </row>
    <row r="272" spans="1:1" x14ac:dyDescent="0.25">
      <c r="A272" t="s">
        <v>1017</v>
      </c>
    </row>
    <row r="273" spans="1:1" x14ac:dyDescent="0.25">
      <c r="A273" t="s">
        <v>1003</v>
      </c>
    </row>
    <row r="274" spans="1:1" x14ac:dyDescent="0.25">
      <c r="A274" t="s">
        <v>1033</v>
      </c>
    </row>
    <row r="275" spans="1:1" x14ac:dyDescent="0.25">
      <c r="A275" t="s">
        <v>1005</v>
      </c>
    </row>
    <row r="276" spans="1:1" x14ac:dyDescent="0.25">
      <c r="A276" t="s">
        <v>1018</v>
      </c>
    </row>
    <row r="277" spans="1:1" x14ac:dyDescent="0.25">
      <c r="A277" t="s">
        <v>1003</v>
      </c>
    </row>
    <row r="278" spans="1:1" x14ac:dyDescent="0.25">
      <c r="A278" t="s">
        <v>1034</v>
      </c>
    </row>
    <row r="279" spans="1:1" x14ac:dyDescent="0.25">
      <c r="A279" t="s">
        <v>1005</v>
      </c>
    </row>
    <row r="280" spans="1:1" x14ac:dyDescent="0.25">
      <c r="A280" t="s">
        <v>1019</v>
      </c>
    </row>
    <row r="281" spans="1:1" x14ac:dyDescent="0.25">
      <c r="A281" t="s">
        <v>1003</v>
      </c>
    </row>
    <row r="282" spans="1:1" x14ac:dyDescent="0.25">
      <c r="A282" t="s">
        <v>1035</v>
      </c>
    </row>
    <row r="283" spans="1:1" x14ac:dyDescent="0.25">
      <c r="A283" t="s">
        <v>1005</v>
      </c>
    </row>
    <row r="284" spans="1:1" x14ac:dyDescent="0.25">
      <c r="A284" t="s">
        <v>1020</v>
      </c>
    </row>
    <row r="285" spans="1:1" x14ac:dyDescent="0.25">
      <c r="A285" t="s">
        <v>1003</v>
      </c>
    </row>
    <row r="286" spans="1:1" x14ac:dyDescent="0.25">
      <c r="A286" t="s">
        <v>1036</v>
      </c>
    </row>
    <row r="287" spans="1:1" x14ac:dyDescent="0.25">
      <c r="A287" t="s">
        <v>1005</v>
      </c>
    </row>
    <row r="288" spans="1:1" x14ac:dyDescent="0.25">
      <c r="A288" t="s">
        <v>731</v>
      </c>
    </row>
    <row r="289" spans="1:1" x14ac:dyDescent="0.25">
      <c r="A289" t="s">
        <v>1003</v>
      </c>
    </row>
    <row r="290" spans="1:1" x14ac:dyDescent="0.25">
      <c r="A290" t="s">
        <v>1037</v>
      </c>
    </row>
    <row r="291" spans="1:1" x14ac:dyDescent="0.25">
      <c r="A291" t="s">
        <v>1005</v>
      </c>
    </row>
    <row r="292" spans="1:1" x14ac:dyDescent="0.25">
      <c r="A292" t="s">
        <v>997</v>
      </c>
    </row>
    <row r="293" spans="1:1" x14ac:dyDescent="0.25">
      <c r="A293" t="s">
        <v>1003</v>
      </c>
    </row>
    <row r="294" spans="1:1" x14ac:dyDescent="0.25">
      <c r="A294" t="s">
        <v>697</v>
      </c>
    </row>
    <row r="295" spans="1:1" x14ac:dyDescent="0.25">
      <c r="A295" t="s">
        <v>696</v>
      </c>
    </row>
    <row r="297" spans="1:1" x14ac:dyDescent="0.25">
      <c r="A297" t="s">
        <v>638</v>
      </c>
    </row>
    <row r="299" spans="1:1" x14ac:dyDescent="0.25">
      <c r="A299" t="s">
        <v>491</v>
      </c>
    </row>
    <row r="300" spans="1:1" x14ac:dyDescent="0.25">
      <c r="A300" t="s">
        <v>492</v>
      </c>
    </row>
    <row r="301" spans="1:1" x14ac:dyDescent="0.25">
      <c r="A301" t="s">
        <v>493</v>
      </c>
    </row>
    <row r="302" spans="1:1" x14ac:dyDescent="0.25">
      <c r="A302" t="s">
        <v>439</v>
      </c>
    </row>
    <row r="304" spans="1:1" x14ac:dyDescent="0.25">
      <c r="A304" t="s">
        <v>494</v>
      </c>
    </row>
    <row r="305" spans="1:1" x14ac:dyDescent="0.25">
      <c r="A305" t="s">
        <v>495</v>
      </c>
    </row>
    <row r="307" spans="1:1" x14ac:dyDescent="0.25">
      <c r="A307" t="s">
        <v>639</v>
      </c>
    </row>
    <row r="308" spans="1:1" x14ac:dyDescent="0.25">
      <c r="A308" t="s">
        <v>640</v>
      </c>
    </row>
    <row r="313" spans="1:1" x14ac:dyDescent="0.25">
      <c r="A313" t="s">
        <v>1038</v>
      </c>
    </row>
    <row r="315" spans="1:1" x14ac:dyDescent="0.25">
      <c r="A315" t="s">
        <v>642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ConcreteSpacing</vt:lpstr>
      <vt:lpstr>ExtrusionHeight</vt:lpstr>
      <vt:lpstr>ExtrusionSpacing</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2022-02-07T18:17:03Z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