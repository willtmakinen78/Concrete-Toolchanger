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D:\willt\Documents\Schoolwork\2021-2022\Thesis\FullControl\Lamellar\"/>
    </mc:Choice>
  </mc:AlternateContent>
  <xr:revisionPtr revIDLastSave="0" documentId="13_ncr:1_{2120D603-42E1-4910-939C-CC53C9B88CE2}" xr6:coauthVersionLast="47" xr6:coauthVersionMax="47" xr10:uidLastSave="{00000000-0000-0000-0000-000000000000}"/>
  <bookViews>
    <workbookView xWindow="-120" yWindow="-120" windowWidth="29040" windowHeight="15840" tabRatio="861" xr2:uid="{8C30A96A-85E0-4C72-B123-4A0D915360FC}"/>
  </bookViews>
  <sheets>
    <sheet name="Main Sheet" sheetId="1" r:id="rId1"/>
    <sheet name="MyDesigns"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EndGCODE" sheetId="5" r:id="rId10"/>
    <sheet name="ToolGCODE" sheetId="51" r:id="rId11"/>
    <sheet name="GCODE" sheetId="6" r:id="rId12"/>
    <sheet name="Changelog" sheetId="70" r:id="rId13"/>
  </sheets>
  <functionGroups builtInGroupCount="19"/>
  <definedNames>
    <definedName name="BarbLength">'Main Sheet'!$T$56</definedName>
    <definedName name="BarbRepeats">'Main Sheet'!$T$57</definedName>
    <definedName name="BarbSpacing">'Main Sheet'!$T$55</definedName>
    <definedName name="BedTemp">'Main Sheet'!$T$15</definedName>
    <definedName name="BridgePrintSpeed">'Main Sheet'!$T$62</definedName>
    <definedName name="BridgeSupportWidth">'Main Sheet'!$T$61</definedName>
    <definedName name="ConcreteExtrusionHeight">'Main Sheet'!$T$41</definedName>
    <definedName name="ConcreteExtrusionSpacing">'Main Sheet'!$T$37</definedName>
    <definedName name="ConcreteExtrusionWidth">'Main Sheet'!$T$39</definedName>
    <definedName name="ConcreteLayerHeight">'Main Sheet'!$T$44</definedName>
    <definedName name="ConcretePrimeLength">'Main Sheet'!$T$53</definedName>
    <definedName name="ConcretePrimeX">'Main Sheet'!$T$51</definedName>
    <definedName name="ConcretePrimeY">'Main Sheet'!$T$52</definedName>
    <definedName name="FanSpeed">'Main Sheet'!$T$26</definedName>
    <definedName name="Height">'Main Sheet'!$T$48</definedName>
    <definedName name="Length">'Main Sheet'!$T$46</definedName>
    <definedName name="NozzleFeedratePrinting">'Main Sheet'!$T$16</definedName>
    <definedName name="NozzleFeedrateTravelling">'Main Sheet'!$T$17</definedName>
    <definedName name="NozzleTemp">'Main Sheet'!$T$18</definedName>
    <definedName name="PlasticExtrusionHeight">'Main Sheet'!$T$42</definedName>
    <definedName name="PlasticExtrusionSpacing">'Main Sheet'!$T$38</definedName>
    <definedName name="PlasticExtrusionWidth">'Main Sheet'!$T$40</definedName>
    <definedName name="PlasticLayerHeight">'Main Sheet'!$T$45</definedName>
    <definedName name="PlasticPrintSpeedCurves">'Main Sheet'!$U$54</definedName>
    <definedName name="PlasticPrintSpeedStraight">'Main Sheet'!$T$54</definedName>
    <definedName name="RebarHeight">'Main Sheet'!$T$59</definedName>
    <definedName name="RebarLength">'Main Sheet'!$T$63</definedName>
    <definedName name="RebarRepeats">'Main Sheet'!$T$64</definedName>
    <definedName name="RebarStartHeight">'Main Sheet'!$T$60</definedName>
    <definedName name="RebarWidth">'Main Sheet'!$T$58</definedName>
    <definedName name="StartTool">'Main Sheet'!$T$43</definedName>
    <definedName name="StartX">'Main Sheet'!$T$49</definedName>
    <definedName name="StartY">'Main Sheet'!$T$50</definedName>
    <definedName name="Width">'Main Sheet'!$T$47</definedName>
    <definedName name="Zoffset">'Main Sheet'!$T$9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43" i="1" l="1"/>
  <c r="F43" i="1"/>
  <c r="G42" i="1"/>
  <c r="E42" i="1"/>
  <c r="M41" i="1"/>
  <c r="L41" i="1"/>
  <c r="K41" i="1"/>
  <c r="H41" i="1"/>
  <c r="M40" i="1"/>
  <c r="L40" i="1"/>
  <c r="K40" i="1"/>
  <c r="G40" i="1"/>
  <c r="M39" i="1"/>
  <c r="L39" i="1"/>
  <c r="K39" i="1"/>
  <c r="H39" i="1"/>
  <c r="M38" i="1"/>
  <c r="L38" i="1"/>
  <c r="K38" i="1"/>
  <c r="G38" i="1"/>
  <c r="E38" i="1"/>
  <c r="D38" i="1"/>
  <c r="E37" i="1"/>
  <c r="G36" i="1"/>
  <c r="E36" i="1"/>
  <c r="M35" i="1"/>
  <c r="L35" i="1"/>
  <c r="K35" i="1"/>
  <c r="H35" i="1"/>
  <c r="M34" i="1"/>
  <c r="L34" i="1"/>
  <c r="K34" i="1"/>
  <c r="G34" i="1"/>
  <c r="M33" i="1"/>
  <c r="L33" i="1"/>
  <c r="K33" i="1"/>
  <c r="H33" i="1"/>
  <c r="M32" i="1"/>
  <c r="L32" i="1"/>
  <c r="K32" i="1"/>
  <c r="G32" i="1"/>
  <c r="F32" i="1"/>
  <c r="E32" i="1"/>
  <c r="D32" i="1"/>
  <c r="G30" i="1"/>
  <c r="D30" i="1"/>
  <c r="M29" i="1"/>
  <c r="L29" i="1"/>
  <c r="K29" i="1"/>
  <c r="G29" i="1"/>
  <c r="M28" i="1"/>
  <c r="L28" i="1"/>
  <c r="K28" i="1"/>
  <c r="H28" i="1"/>
  <c r="M27" i="1"/>
  <c r="L27" i="1"/>
  <c r="K27" i="1"/>
  <c r="G27" i="1"/>
  <c r="M26" i="1"/>
  <c r="L26" i="1"/>
  <c r="K26" i="1"/>
  <c r="H26" i="1"/>
  <c r="E25" i="1"/>
  <c r="G24" i="1"/>
  <c r="E24" i="1"/>
  <c r="M23" i="1"/>
  <c r="L23" i="1"/>
  <c r="K23" i="1"/>
  <c r="H23" i="1"/>
  <c r="M22" i="1"/>
  <c r="L22" i="1"/>
  <c r="K22" i="1"/>
  <c r="G22" i="1"/>
  <c r="M21" i="1"/>
  <c r="L21" i="1"/>
  <c r="K21" i="1"/>
  <c r="H21" i="1"/>
  <c r="M20" i="1"/>
  <c r="L20" i="1"/>
  <c r="K20" i="1"/>
  <c r="G20" i="1"/>
  <c r="F20" i="1"/>
  <c r="E20" i="1"/>
  <c r="D20" i="1"/>
  <c r="G18" i="1"/>
  <c r="F18" i="1"/>
  <c r="K17" i="1"/>
  <c r="J17" i="1"/>
  <c r="I17" i="1"/>
  <c r="G17" i="1"/>
  <c r="F17" i="1"/>
  <c r="E17" i="1"/>
  <c r="D17" i="1"/>
  <c r="C17" i="1"/>
  <c r="M15" i="1"/>
  <c r="I15" i="1"/>
  <c r="H15" i="1"/>
  <c r="G15" i="1"/>
  <c r="K14" i="1"/>
  <c r="J14" i="1"/>
  <c r="I14" i="1"/>
  <c r="G14" i="1"/>
  <c r="F14" i="1"/>
  <c r="E14" i="1"/>
  <c r="D14" i="1"/>
  <c r="C14" i="1"/>
  <c r="M12" i="1"/>
  <c r="I12" i="1"/>
  <c r="H12" i="1"/>
  <c r="G12" i="1"/>
  <c r="F11" i="1"/>
  <c r="K10" i="1"/>
  <c r="J10" i="1"/>
  <c r="I10" i="1"/>
  <c r="G10" i="1"/>
  <c r="F10" i="1"/>
  <c r="E10" i="1"/>
  <c r="D10" i="1"/>
  <c r="C10" i="1"/>
  <c r="F9" i="1"/>
  <c r="K8" i="1"/>
  <c r="J8" i="1"/>
  <c r="I8" i="1"/>
  <c r="G8" i="1"/>
  <c r="F8" i="1"/>
  <c r="E8" i="1"/>
  <c r="D8" i="1"/>
  <c r="C8" i="1"/>
  <c r="T64" i="1"/>
  <c r="T63" i="1"/>
  <c r="B22" i="4" l="1"/>
  <c r="B24" i="4" l="1"/>
  <c r="B23" i="4"/>
  <c r="B6" i="4"/>
  <c r="T57" i="1"/>
  <c r="T42" i="1" l="1"/>
  <c r="T51" i="1" l="1"/>
  <c r="T23" i="1" s="1"/>
  <c r="T49" i="1"/>
  <c r="T24" i="1"/>
  <c r="B20" i="4"/>
  <c r="B19" i="4"/>
  <c r="B18" i="4"/>
  <c r="B17" i="4"/>
  <c r="B16" i="4" l="1"/>
  <c r="B29" i="4"/>
  <c r="B7" i="4"/>
  <c r="T32" i="1" l="1"/>
  <c r="F175" i="23"/>
  <c r="E174" i="23"/>
  <c r="D173" i="23"/>
  <c r="L172" i="23"/>
  <c r="K172" i="23"/>
  <c r="G172" i="23"/>
  <c r="L171" i="23"/>
  <c r="K171" i="23"/>
  <c r="H171" i="23" a="1"/>
  <c r="H171" i="23" s="1"/>
  <c r="L170" i="23"/>
  <c r="K170" i="23"/>
  <c r="G170" i="23"/>
  <c r="L169" i="23"/>
  <c r="K169" i="23"/>
  <c r="H169" i="23"/>
  <c r="E169" i="23"/>
  <c r="D169" i="23"/>
  <c r="I168" i="23"/>
  <c r="T165" i="23"/>
  <c r="D164" i="23"/>
  <c r="L163" i="23"/>
  <c r="K163" i="23"/>
  <c r="H163" i="23"/>
  <c r="L162" i="23"/>
  <c r="K162" i="23"/>
  <c r="G162" i="23"/>
  <c r="L161" i="23"/>
  <c r="K161" i="23"/>
  <c r="H161" i="23" a="1"/>
  <c r="H161" i="23" s="1"/>
  <c r="L160" i="23"/>
  <c r="K160" i="23"/>
  <c r="G160" i="23"/>
  <c r="E160" i="23"/>
  <c r="D160" i="23" a="1"/>
  <c r="D160" i="23" s="1"/>
  <c r="H159" i="23"/>
  <c r="G159" i="23"/>
  <c r="E158" i="23"/>
  <c r="D157" i="23"/>
  <c r="L156" i="23"/>
  <c r="K156" i="23"/>
  <c r="G156" i="23"/>
  <c r="L155" i="23"/>
  <c r="K155" i="23"/>
  <c r="H155" i="23" a="1"/>
  <c r="H155" i="23" s="1"/>
  <c r="L154" i="23"/>
  <c r="K154" i="23"/>
  <c r="G154" i="23"/>
  <c r="L153" i="23"/>
  <c r="K153" i="23"/>
  <c r="H153" i="23"/>
  <c r="E153" i="23"/>
  <c r="D153" i="23"/>
  <c r="H152" i="23"/>
  <c r="G152" i="23"/>
  <c r="D148" i="23"/>
  <c r="L147" i="23"/>
  <c r="K147" i="23"/>
  <c r="H147" i="23"/>
  <c r="L146" i="23"/>
  <c r="K146" i="23"/>
  <c r="G146" i="23"/>
  <c r="L145" i="23"/>
  <c r="K145" i="23"/>
  <c r="H145" i="23" a="1"/>
  <c r="H145" i="23" s="1"/>
  <c r="L144" i="23"/>
  <c r="K144" i="23"/>
  <c r="G144" i="23"/>
  <c r="E144" i="23"/>
  <c r="D144" i="23" a="1"/>
  <c r="D144" i="23" s="1"/>
  <c r="F116" i="64"/>
  <c r="E115" i="64"/>
  <c r="D114" i="64"/>
  <c r="L113" i="64"/>
  <c r="K113" i="64"/>
  <c r="G113" i="64"/>
  <c r="L112" i="64"/>
  <c r="K112" i="64"/>
  <c r="H112" i="64" a="1"/>
  <c r="H112" i="64" s="1"/>
  <c r="L111" i="64"/>
  <c r="K111" i="64"/>
  <c r="G111" i="64"/>
  <c r="L110" i="64"/>
  <c r="K110" i="64"/>
  <c r="H110" i="64"/>
  <c r="E110" i="64"/>
  <c r="D110" i="64"/>
  <c r="I109" i="64"/>
  <c r="T106" i="64"/>
  <c r="D105" i="64"/>
  <c r="L104" i="64"/>
  <c r="K104" i="64"/>
  <c r="H104" i="64"/>
  <c r="L103" i="64"/>
  <c r="K103" i="64"/>
  <c r="G103" i="64"/>
  <c r="L102" i="64"/>
  <c r="K102" i="64"/>
  <c r="H102" i="64" a="1"/>
  <c r="H102" i="64" s="1"/>
  <c r="L101" i="64"/>
  <c r="K101" i="64"/>
  <c r="G101" i="64"/>
  <c r="E101" i="64"/>
  <c r="D101" i="64" a="1"/>
  <c r="D101" i="64" s="1"/>
  <c r="H100" i="64"/>
  <c r="G100" i="64"/>
  <c r="E99" i="64"/>
  <c r="D98" i="64"/>
  <c r="L97" i="64"/>
  <c r="K97" i="64"/>
  <c r="G97" i="64"/>
  <c r="L96" i="64"/>
  <c r="K96" i="64"/>
  <c r="H96" i="64" a="1"/>
  <c r="H96" i="64" s="1"/>
  <c r="L95" i="64"/>
  <c r="K95" i="64"/>
  <c r="G95" i="64"/>
  <c r="L94" i="64"/>
  <c r="K94" i="64"/>
  <c r="H94" i="64"/>
  <c r="E94" i="64"/>
  <c r="D94" i="64"/>
  <c r="H93" i="64"/>
  <c r="G93" i="64"/>
  <c r="D89" i="64"/>
  <c r="L88" i="64"/>
  <c r="K88" i="64"/>
  <c r="H88" i="64"/>
  <c r="L87" i="64"/>
  <c r="K87" i="64"/>
  <c r="G87" i="64"/>
  <c r="L86" i="64"/>
  <c r="K86" i="64"/>
  <c r="H86" i="64" a="1"/>
  <c r="H86" i="64" s="1"/>
  <c r="L85" i="64"/>
  <c r="K85" i="64"/>
  <c r="G85" i="64"/>
  <c r="E85" i="64"/>
  <c r="D85" i="64" a="1"/>
  <c r="D85" i="64" s="1"/>
  <c r="F73" i="64"/>
  <c r="E72" i="64"/>
  <c r="D71" i="64"/>
  <c r="L70" i="64"/>
  <c r="K70" i="64"/>
  <c r="H70" i="64"/>
  <c r="L69" i="64"/>
  <c r="K69" i="64"/>
  <c r="G69" i="64"/>
  <c r="L68" i="64"/>
  <c r="K68" i="64"/>
  <c r="H68" i="64" a="1"/>
  <c r="H68" i="64" s="1"/>
  <c r="L67" i="64"/>
  <c r="K67" i="64"/>
  <c r="G67" i="64"/>
  <c r="F67" i="64"/>
  <c r="E67" i="64"/>
  <c r="D67" i="64"/>
  <c r="I66" i="64"/>
  <c r="T63" i="64"/>
  <c r="D62" i="64"/>
  <c r="L61" i="64"/>
  <c r="K61" i="64"/>
  <c r="G61" i="64"/>
  <c r="L60" i="64"/>
  <c r="K60" i="64"/>
  <c r="H60" i="64" a="1"/>
  <c r="H60" i="64" s="1"/>
  <c r="L59" i="64"/>
  <c r="K59" i="64"/>
  <c r="G59" i="64"/>
  <c r="L58" i="64"/>
  <c r="K58" i="64"/>
  <c r="H58" i="64"/>
  <c r="E58" i="64"/>
  <c r="D58" i="64"/>
  <c r="H57" i="64"/>
  <c r="G57" i="64"/>
  <c r="E56" i="64"/>
  <c r="D55" i="64"/>
  <c r="L54" i="64"/>
  <c r="K54" i="64"/>
  <c r="G54" i="64"/>
  <c r="L53" i="64"/>
  <c r="K53" i="64"/>
  <c r="H53" i="64" a="1"/>
  <c r="H53" i="64" s="1"/>
  <c r="L52" i="64"/>
  <c r="K52" i="64"/>
  <c r="G52" i="64"/>
  <c r="L51" i="64"/>
  <c r="K51" i="64"/>
  <c r="H51" i="64"/>
  <c r="E51" i="64"/>
  <c r="D51" i="64"/>
  <c r="H50" i="64"/>
  <c r="G50" i="64"/>
  <c r="D46" i="64"/>
  <c r="L45" i="64"/>
  <c r="K45" i="64"/>
  <c r="H45" i="64"/>
  <c r="L44" i="64"/>
  <c r="K44" i="64"/>
  <c r="G44" i="64"/>
  <c r="L43" i="64"/>
  <c r="K43" i="64"/>
  <c r="H43" i="64" a="1"/>
  <c r="H43" i="64" s="1"/>
  <c r="L42" i="64"/>
  <c r="K42" i="64"/>
  <c r="G42" i="64"/>
  <c r="E42" i="64"/>
  <c r="D42" i="64" a="1"/>
  <c r="D42" i="64" s="1"/>
  <c r="T131" i="23"/>
  <c r="T97" i="23"/>
  <c r="T63" i="23"/>
  <c r="T62" i="23"/>
  <c r="T29" i="23"/>
  <c r="I22" i="4"/>
  <c r="T29" i="64"/>
  <c r="I11" i="62" l="1"/>
  <c r="H11" i="62"/>
  <c r="F11" i="62"/>
  <c r="G10" i="62"/>
  <c r="F10" i="62"/>
  <c r="G9" i="62"/>
  <c r="D9" i="62"/>
  <c r="G7" i="62"/>
  <c r="E7" i="62"/>
  <c r="L6" i="62"/>
  <c r="K6" i="62"/>
  <c r="H6" i="62"/>
  <c r="L5" i="62"/>
  <c r="K5" i="62"/>
  <c r="H5" i="62"/>
  <c r="I29" i="4"/>
  <c r="I23" i="4"/>
  <c r="I25" i="4"/>
  <c r="I24" i="4"/>
  <c r="I21" i="4"/>
  <c r="I20" i="4"/>
  <c r="E8" i="62" l="1"/>
  <c r="T131" i="63" l="1"/>
  <c r="T130" i="63"/>
  <c r="T256" i="62" l="1"/>
  <c r="T255" i="62"/>
  <c r="U5" i="1"/>
  <c r="E58" i="62" l="1"/>
  <c r="F57" i="62"/>
  <c r="G57" i="62"/>
  <c r="J10" i="63" l="1"/>
  <c r="J9" i="63"/>
  <c r="J8" i="63"/>
  <c r="T97" i="63"/>
  <c r="T96" i="63"/>
  <c r="T63" i="63" l="1"/>
  <c r="T62" i="63"/>
  <c r="F52" i="63"/>
  <c r="T29" i="63" l="1"/>
  <c r="T28" i="63"/>
  <c r="T115" i="62" l="1"/>
  <c r="T114" i="62"/>
  <c r="H91" i="62"/>
  <c r="F203" i="62"/>
  <c r="E203" i="62"/>
  <c r="F202" i="62"/>
  <c r="G201" i="62"/>
  <c r="I200" i="62"/>
  <c r="T51" i="62"/>
  <c r="T49" i="62"/>
  <c r="T48" i="62"/>
  <c r="T47" i="62"/>
  <c r="D6" i="62" s="1"/>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G5" i="62" l="1"/>
  <c r="G6" i="62"/>
  <c r="F5" i="62"/>
  <c r="C5" i="62" s="1"/>
  <c r="F6" i="62"/>
  <c r="C6" i="62" s="1"/>
  <c r="D5" i="62"/>
  <c r="T50" i="62"/>
  <c r="H61"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569A241E-6750-4AC3-A855-BA81B87EEE2E}">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CAFC835F-777A-46A7-93EB-2B4ED682724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2F54D395-D2FB-4CCB-96AC-4C690989D8A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6F3DDBFC-053B-41D2-862D-8695564D6241}">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2D12FDA8-EBEB-4365-AF04-1A4AFC632E4A}">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3CC48A28-F957-40E8-BB39-A945951C8F54}">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E0D30BCC-45B6-48FC-BE7F-2EE6564BAC99}">
      <text>
        <r>
          <rPr>
            <b/>
            <sz val="9"/>
            <color indexed="81"/>
            <rFont val="Tahoma"/>
            <family val="2"/>
          </rPr>
          <t>Andy Gleadall:</t>
        </r>
        <r>
          <rPr>
            <sz val="9"/>
            <color indexed="81"/>
            <rFont val="Tahoma"/>
            <family val="2"/>
          </rPr>
          <t xml:space="preserve">
Tool selected at the end of the startGCODE</t>
        </r>
      </text>
    </comment>
    <comment ref="S15" authorId="0" shapeId="0" xr:uid="{1D9581F5-B301-40BA-A90F-A4BB6F2EC762}">
      <text>
        <r>
          <rPr>
            <b/>
            <sz val="9"/>
            <color indexed="81"/>
            <rFont val="Tahoma"/>
            <family val="2"/>
          </rPr>
          <t>Andy Gleadall:</t>
        </r>
        <r>
          <rPr>
            <sz val="9"/>
            <color indexed="81"/>
            <rFont val="Tahoma"/>
            <family val="2"/>
          </rPr>
          <t xml:space="preserve">
ONLY USED IF MANUALLY LINKED TO START GCODE</t>
        </r>
      </text>
    </comment>
    <comment ref="S16" authorId="0" shapeId="0" xr:uid="{1E0E7654-56C6-4111-8C9D-319E6167739B}">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C51A2532-3E52-4D11-86BC-5D6EE856B459}">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B435F2A4-97D0-42A4-B027-DFD008AFA8F6}">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AEF7363D-D704-40F9-AD1B-423FDE8477F2}">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F6D8DAD9-7238-4E57-9B30-0108C6A3F7E1}">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B85E4077-3F15-4431-A8E9-180CF1905ED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9AA8D82E-43DD-40A9-89B4-E223C61A14F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FCAABAC9-5DE1-4655-9EEA-34E7891C73C7}">
      <text>
        <r>
          <rPr>
            <b/>
            <sz val="9"/>
            <color indexed="81"/>
            <rFont val="Tahoma"/>
            <family val="2"/>
          </rPr>
          <t>Andy Gleadall:</t>
        </r>
        <r>
          <rPr>
            <sz val="9"/>
            <color indexed="81"/>
            <rFont val="Tahoma"/>
            <family val="2"/>
          </rPr>
          <t xml:space="preserve">
Position af the nozzle at the end of the StartGCODE</t>
        </r>
      </text>
    </comment>
    <comment ref="S24" authorId="0" shapeId="0" xr:uid="{02BF6826-F7B5-4EEB-9EE1-4A3635C5CBAC}">
      <text>
        <r>
          <rPr>
            <b/>
            <sz val="9"/>
            <color indexed="81"/>
            <rFont val="Tahoma"/>
            <family val="2"/>
          </rPr>
          <t>Andy Gleadall:</t>
        </r>
        <r>
          <rPr>
            <sz val="9"/>
            <color indexed="81"/>
            <rFont val="Tahoma"/>
            <family val="2"/>
          </rPr>
          <t xml:space="preserve">
Position af the nozzle at the end of the StartGCODE</t>
        </r>
      </text>
    </comment>
    <comment ref="S25" authorId="0" shapeId="0" xr:uid="{A360C9E4-50EB-495C-98A3-2807F6430758}">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B0CF8367-B475-4584-B4FF-59A1A98CA045}">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9EDE5533-FE28-409D-B3EC-E5E4F8C2CEAF}">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072E9354-12D2-47D6-96A6-F39C2E822801}">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8D224381-755F-46F8-A23D-2F743841B160}">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2F622661-AC0D-418F-91D5-F60C9DED636A}">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4A142AD4-002E-49FF-9D56-6F4CFD31D85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6FC18BE5-D597-4170-BFFB-10D9467D9E7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D5FA47BA-FF1A-4B7A-93A3-8775CF45E0FE}">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F390A9CC-A5A6-42CD-BD18-439B494CC43E}">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5843EC3-E794-4D47-8F85-8BB6801ABAD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ADF8919C-CE6F-41D7-ABA8-7D1EF17AEF6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651A7F75-7894-4635-A50D-08990A055C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0C422BAE-BA40-469A-904E-E48A5F76CFDA}">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F71E2714-5BE4-4EFF-9D24-4941A680A6DA}">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BEF1C6A6-A386-412A-8F3A-000F661D9D6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D3707E23-26F2-4B47-8BFE-795676EF79B0}">
      <text>
        <r>
          <rPr>
            <b/>
            <sz val="9"/>
            <color indexed="81"/>
            <rFont val="Tahoma"/>
            <family val="2"/>
          </rPr>
          <t>Andy Gleadall:</t>
        </r>
        <r>
          <rPr>
            <sz val="9"/>
            <color indexed="81"/>
            <rFont val="Tahoma"/>
            <family val="2"/>
          </rPr>
          <t xml:space="preserve">
Tool selected at the end of the startGCODE</t>
        </r>
      </text>
    </comment>
    <comment ref="S12" authorId="0" shapeId="0" xr:uid="{AF780D2F-3805-411B-9794-7D593D36C832}">
      <text>
        <r>
          <rPr>
            <b/>
            <sz val="9"/>
            <color indexed="81"/>
            <rFont val="Tahoma"/>
            <family val="2"/>
          </rPr>
          <t>Andy Gleadall:</t>
        </r>
        <r>
          <rPr>
            <sz val="9"/>
            <color indexed="81"/>
            <rFont val="Tahoma"/>
            <family val="2"/>
          </rPr>
          <t xml:space="preserve">
ONLY USED IF MANUALLY LINKED TO START GCODE</t>
        </r>
      </text>
    </comment>
    <comment ref="S13" authorId="0" shapeId="0" xr:uid="{5D47010F-A9DE-4CB4-9AD2-6516F78973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CC23E6A-7E55-44FD-BAAE-DB5DFCD7A76D}">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003C619-3C6B-4FB1-B1B9-2579A788055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17F4C225-069D-4EC9-ABD0-4C50053506C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46982DE2-C34E-4E74-BB1D-21212CAB764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B73583E-3C82-4902-B70F-D3BE20EA0CF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1317CA-34F9-4B27-B5B2-13A9DB43F6D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1BA971E8-6AEA-40C6-B9FC-31AB63F90F20}">
      <text>
        <r>
          <rPr>
            <b/>
            <sz val="9"/>
            <color indexed="81"/>
            <rFont val="Tahoma"/>
            <family val="2"/>
          </rPr>
          <t>Andy Gleadall:</t>
        </r>
        <r>
          <rPr>
            <sz val="9"/>
            <color indexed="81"/>
            <rFont val="Tahoma"/>
            <family val="2"/>
          </rPr>
          <t xml:space="preserve">
Position af the nozzle at the end of the StartGCODE</t>
        </r>
      </text>
    </comment>
    <comment ref="S21" authorId="0" shapeId="0" xr:uid="{A17DF128-1A94-4E01-83AD-A3AD93AE9074}">
      <text>
        <r>
          <rPr>
            <b/>
            <sz val="9"/>
            <color indexed="81"/>
            <rFont val="Tahoma"/>
            <family val="2"/>
          </rPr>
          <t>Andy Gleadall:</t>
        </r>
        <r>
          <rPr>
            <sz val="9"/>
            <color indexed="81"/>
            <rFont val="Tahoma"/>
            <family val="2"/>
          </rPr>
          <t xml:space="preserve">
Position af the nozzle at the end of the StartGCODE</t>
        </r>
      </text>
    </comment>
    <comment ref="S22" authorId="0" shapeId="0" xr:uid="{6BBDF348-AF12-4503-AB4E-71259377E79D}">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D1173D6D-D0CA-46B1-AB4A-F1A7AF3DFB4A}">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848068C7-506D-4C73-B957-0C85D01DD21E}">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BA9D0514-B1CD-44C4-8708-16BE5783E75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C3CCAF28-2BB5-4BD4-8E7B-7DF368D2A65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995D8C0-7281-451B-9DAC-AAA485581146}">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F4A1A1D3-9789-4558-AE64-6293434225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D01DE20C-A770-4C15-9698-3E0CB0E790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3B543713-B856-4266-A1A9-F17BEAD821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F3856C38-473C-4229-BAE7-36224B1FAFEF}">
      <text>
        <r>
          <rPr>
            <b/>
            <sz val="9"/>
            <color indexed="81"/>
            <rFont val="Tahoma"/>
            <family val="2"/>
          </rPr>
          <t>Andy Gleadall:</t>
        </r>
        <r>
          <rPr>
            <sz val="9"/>
            <color indexed="81"/>
            <rFont val="Tahoma"/>
            <family val="2"/>
          </rPr>
          <t xml:space="preserve">
Not used, but good practice!</t>
        </r>
      </text>
    </comment>
    <comment ref="A37" authorId="0" shapeId="0" xr:uid="{5CFC50CC-6598-4710-8201-1E05FE38E69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804A6C76-4314-4FB5-A547-4712A02379A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DE611919-66CF-4CDD-92E4-8FF12F1061F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ED76624F-697A-4085-A806-640493C92F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C50FCEE7-C248-4783-9244-AC637F7F8E0C}">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E23E49C6-FDC1-40A4-A508-7549B9AE446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85E1D6CD-90FA-40A6-A12D-3C82FB6587F2}">
      <text>
        <r>
          <rPr>
            <b/>
            <sz val="9"/>
            <color indexed="81"/>
            <rFont val="Tahoma"/>
            <family val="2"/>
          </rPr>
          <t>Andy Gleadall:</t>
        </r>
        <r>
          <rPr>
            <sz val="9"/>
            <color indexed="81"/>
            <rFont val="Tahoma"/>
            <family val="2"/>
          </rPr>
          <t xml:space="preserve">
Tool selected at the end of the startGCODE</t>
        </r>
      </text>
    </comment>
    <comment ref="S46" authorId="0" shapeId="0" xr:uid="{01355A60-CBA4-431A-9B07-C462616F3BC4}">
      <text>
        <r>
          <rPr>
            <b/>
            <sz val="9"/>
            <color indexed="81"/>
            <rFont val="Tahoma"/>
            <family val="2"/>
          </rPr>
          <t>Andy Gleadall:</t>
        </r>
        <r>
          <rPr>
            <sz val="9"/>
            <color indexed="81"/>
            <rFont val="Tahoma"/>
            <family val="2"/>
          </rPr>
          <t xml:space="preserve">
ONLY USED IF MANUALLY LINKED TO START GCODE</t>
        </r>
      </text>
    </comment>
    <comment ref="S47" authorId="0" shapeId="0" xr:uid="{BFF337FD-C8B8-4E9D-B378-9761AF5A1293}">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46A30E9-8859-4B18-AF8F-553148E2EB85}">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8F01A20E-1113-4ACA-877E-4CA22FB18E4D}">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96A7822B-412A-428D-9D05-04CCF0E6E6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15084F7B-2979-4933-9B3C-EF3DB811F36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D60B34C8-C987-493B-96EA-2D4BC355BA7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9578B655-C5FB-4EE6-8248-3060E45998A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B111E465-1AB5-40AB-89F4-6BAC9CE04402}">
      <text>
        <r>
          <rPr>
            <b/>
            <sz val="9"/>
            <color indexed="81"/>
            <rFont val="Tahoma"/>
            <family val="2"/>
          </rPr>
          <t>Andy Gleadall:</t>
        </r>
        <r>
          <rPr>
            <sz val="9"/>
            <color indexed="81"/>
            <rFont val="Tahoma"/>
            <family val="2"/>
          </rPr>
          <t xml:space="preserve">
Position af the nozzle at the end of the StartGCODE</t>
        </r>
      </text>
    </comment>
    <comment ref="S55" authorId="0" shapeId="0" xr:uid="{B78FCE0C-3032-49F0-A716-8958F0DFC173}">
      <text>
        <r>
          <rPr>
            <b/>
            <sz val="9"/>
            <color indexed="81"/>
            <rFont val="Tahoma"/>
            <family val="2"/>
          </rPr>
          <t>Andy Gleadall:</t>
        </r>
        <r>
          <rPr>
            <sz val="9"/>
            <color indexed="81"/>
            <rFont val="Tahoma"/>
            <family val="2"/>
          </rPr>
          <t xml:space="preserve">
Position af the nozzle at the end of the StartGCODE</t>
        </r>
      </text>
    </comment>
    <comment ref="S56" authorId="0" shapeId="0" xr:uid="{08CDD6E2-6EC9-461B-8870-3276ADAB3086}">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2EFB5DD1-4CBB-4A89-B537-C8E3FD7D8E69}">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265FACA3-655A-4A81-BD5F-2241EFEC8C5C}">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F09ADF0F-8D56-408E-834E-890443FFA67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2F9E953E-4F89-471D-9489-1BBA4F2EEF3E}">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8FFB7D5D-BF2D-4F34-9834-623BC3E4C8B1}">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7F6F9532-6CC9-4C3F-85C3-DF4846AD922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109737DC-B119-403C-A9F2-1798E851EF6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B10C679E-DB6D-4BE2-A6AC-C5B474FEB69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BC0AF5EC-923B-42B4-9D0F-736FC93D81C0}">
      <text>
        <r>
          <rPr>
            <b/>
            <sz val="9"/>
            <color indexed="81"/>
            <rFont val="Tahoma"/>
            <family val="2"/>
          </rPr>
          <t>Andy Gleadall:</t>
        </r>
        <r>
          <rPr>
            <sz val="9"/>
            <color indexed="81"/>
            <rFont val="Tahoma"/>
            <family val="2"/>
          </rPr>
          <t xml:space="preserve">
Not used, but good practice!</t>
        </r>
      </text>
    </comment>
    <comment ref="A80" authorId="0" shapeId="0" xr:uid="{D57F400A-037A-4D53-9EF2-E13A80BAA43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0" authorId="0" shapeId="0" xr:uid="{DF771B7D-0A67-45BA-984B-7C3C5D80EB7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83" authorId="0" shapeId="0" xr:uid="{C9683E91-4D9F-4B1B-A118-14DCFCB6A0A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84" authorId="0" shapeId="0" xr:uid="{224F8DF3-1033-4B21-BE73-71DBFB64D987}">
      <text>
        <r>
          <rPr>
            <b/>
            <sz val="9"/>
            <color indexed="81"/>
            <rFont val="Tahoma"/>
            <family val="2"/>
          </rPr>
          <t>Andy Gleadall:</t>
        </r>
        <r>
          <rPr>
            <sz val="9"/>
            <color indexed="81"/>
            <rFont val="Tahoma"/>
            <family val="2"/>
          </rPr>
          <t xml:space="preserve">
Only applied to GCODE - not the data in the Printpath worksheet</t>
        </r>
      </text>
    </comment>
    <comment ref="S85" authorId="0" shapeId="0" xr:uid="{AF94B951-DB7B-43DC-86DB-AD86719B9F6F}">
      <text>
        <r>
          <rPr>
            <b/>
            <sz val="9"/>
            <color indexed="81"/>
            <rFont val="Tahoma"/>
            <family val="2"/>
          </rPr>
          <t>Andy Gleadall:</t>
        </r>
        <r>
          <rPr>
            <sz val="9"/>
            <color indexed="81"/>
            <rFont val="Tahoma"/>
            <family val="2"/>
          </rPr>
          <t xml:space="preserve">
Only applied to GCODE - not the data in the Printpath worksheet</t>
        </r>
      </text>
    </comment>
    <comment ref="S86" authorId="0" shapeId="0" xr:uid="{E9018CD7-7B66-41AD-B925-FF8C8D45AC3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87" authorId="0" shapeId="0" xr:uid="{8CFB7057-9B6B-44A2-8DEF-7907B9C22D9C}">
      <text>
        <r>
          <rPr>
            <b/>
            <sz val="9"/>
            <color indexed="81"/>
            <rFont val="Tahoma"/>
            <family val="2"/>
          </rPr>
          <t>Andy Gleadall:</t>
        </r>
        <r>
          <rPr>
            <sz val="9"/>
            <color indexed="81"/>
            <rFont val="Tahoma"/>
            <family val="2"/>
          </rPr>
          <t xml:space="preserve">
Tool selected at the end of the startGCODE</t>
        </r>
      </text>
    </comment>
    <comment ref="S89" authorId="0" shapeId="0" xr:uid="{C55651D5-E9A9-416D-A10B-52BD32E0354B}">
      <text>
        <r>
          <rPr>
            <b/>
            <sz val="9"/>
            <color indexed="81"/>
            <rFont val="Tahoma"/>
            <family val="2"/>
          </rPr>
          <t>Andy Gleadall:</t>
        </r>
        <r>
          <rPr>
            <sz val="9"/>
            <color indexed="81"/>
            <rFont val="Tahoma"/>
            <family val="2"/>
          </rPr>
          <t xml:space="preserve">
ONLY USED IF MANUALLY LINKED TO START GCODE</t>
        </r>
      </text>
    </comment>
    <comment ref="S90" authorId="0" shapeId="0" xr:uid="{5ACF3174-0735-47C9-8C42-6F86B0870414}">
      <text>
        <r>
          <rPr>
            <b/>
            <sz val="9"/>
            <color indexed="81"/>
            <rFont val="Tahoma"/>
            <family val="2"/>
          </rPr>
          <t>Andy Gleadall:</t>
        </r>
        <r>
          <rPr>
            <sz val="9"/>
            <color indexed="81"/>
            <rFont val="Tahoma"/>
            <family val="2"/>
          </rPr>
          <t xml:space="preserve">
Default speed when the nozzle is moving and extruding material</t>
        </r>
      </text>
    </comment>
    <comment ref="S91" authorId="0" shapeId="0" xr:uid="{351BFA9D-3170-4CB7-ABBA-FDE20A9BE38C}">
      <text>
        <r>
          <rPr>
            <b/>
            <sz val="9"/>
            <color indexed="81"/>
            <rFont val="Tahoma"/>
            <family val="2"/>
          </rPr>
          <t>Andy Gleadall:</t>
        </r>
        <r>
          <rPr>
            <sz val="9"/>
            <color indexed="81"/>
            <rFont val="Tahoma"/>
            <family val="2"/>
          </rPr>
          <t xml:space="preserve">
Default speed when the nozzle is moving whilst not extruding</t>
        </r>
      </text>
    </comment>
    <comment ref="S92" authorId="0" shapeId="0" xr:uid="{452743FA-7B01-4820-BD27-87AC81DD015C}">
      <text>
        <r>
          <rPr>
            <b/>
            <sz val="9"/>
            <color indexed="81"/>
            <rFont val="Tahoma"/>
            <family val="2"/>
          </rPr>
          <t>Andy Gleadall:</t>
        </r>
        <r>
          <rPr>
            <sz val="9"/>
            <color indexed="81"/>
            <rFont val="Tahoma"/>
            <family val="2"/>
          </rPr>
          <t xml:space="preserve">
This value is only used if it is manually linked to the start GCODE.</t>
        </r>
      </text>
    </comment>
    <comment ref="S93" authorId="0" shapeId="0" xr:uid="{9F88A3A8-2C07-4321-A30C-DC5DC61E3D8E}">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94" authorId="0" shapeId="0" xr:uid="{4CD34454-1815-4379-B7E0-34B7B3EF3E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95" authorId="0" shapeId="0" xr:uid="{DDDCF4FA-59B4-446D-9C9B-24B1D14D23D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6" authorId="0" shapeId="0" xr:uid="{D26D1A87-D790-4E49-B18A-FBD5D3178A3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7" authorId="0" shapeId="0" xr:uid="{566E27CD-1B07-4CF7-A242-B2C757EA9B25}">
      <text>
        <r>
          <rPr>
            <b/>
            <sz val="9"/>
            <color indexed="81"/>
            <rFont val="Tahoma"/>
            <family val="2"/>
          </rPr>
          <t>Andy Gleadall:</t>
        </r>
        <r>
          <rPr>
            <sz val="9"/>
            <color indexed="81"/>
            <rFont val="Tahoma"/>
            <family val="2"/>
          </rPr>
          <t xml:space="preserve">
Position af the nozzle at the end of the StartGCODE</t>
        </r>
      </text>
    </comment>
    <comment ref="S98" authorId="0" shapeId="0" xr:uid="{7E704CE5-8A56-4AB1-95C7-55288A5AC3BF}">
      <text>
        <r>
          <rPr>
            <b/>
            <sz val="9"/>
            <color indexed="81"/>
            <rFont val="Tahoma"/>
            <family val="2"/>
          </rPr>
          <t>Andy Gleadall:</t>
        </r>
        <r>
          <rPr>
            <sz val="9"/>
            <color indexed="81"/>
            <rFont val="Tahoma"/>
            <family val="2"/>
          </rPr>
          <t xml:space="preserve">
Position af the nozzle at the end of the StartGCODE</t>
        </r>
      </text>
    </comment>
    <comment ref="S99" authorId="0" shapeId="0" xr:uid="{7F621419-5B9D-4FF8-8F71-9DDE3F3DB09D}">
      <text>
        <r>
          <rPr>
            <b/>
            <sz val="9"/>
            <color indexed="81"/>
            <rFont val="Tahoma"/>
            <family val="2"/>
          </rPr>
          <t>Andy Gleadall:</t>
        </r>
        <r>
          <rPr>
            <sz val="9"/>
            <color indexed="81"/>
            <rFont val="Tahoma"/>
            <family val="2"/>
          </rPr>
          <t xml:space="preserve">
Position af the nozzle at the end of the StartGCODE - EXCLUDING THE Zoffset!</t>
        </r>
      </text>
    </comment>
    <comment ref="S100" authorId="0" shapeId="0" xr:uid="{9C6279BB-0DB3-4F96-973E-803BFBE04C44}">
      <text>
        <r>
          <rPr>
            <b/>
            <sz val="9"/>
            <color indexed="81"/>
            <rFont val="Tahoma"/>
            <family val="2"/>
          </rPr>
          <t>Andy Gleadall:</t>
        </r>
        <r>
          <rPr>
            <sz val="9"/>
            <color indexed="81"/>
            <rFont val="Tahoma"/>
            <family val="2"/>
          </rPr>
          <t xml:space="preserve">
This value is only used if it is manually linked to the start GCODE.</t>
        </r>
      </text>
    </comment>
    <comment ref="S101" authorId="0" shapeId="0" xr:uid="{F854C5B9-0637-4570-8C25-ABABFB59E61C}">
      <text>
        <r>
          <rPr>
            <b/>
            <sz val="9"/>
            <color indexed="81"/>
            <rFont val="Tahoma"/>
            <family val="2"/>
          </rPr>
          <t>Andy Gleadall:</t>
        </r>
        <r>
          <rPr>
            <sz val="9"/>
            <color indexed="81"/>
            <rFont val="Tahoma"/>
            <family val="2"/>
          </rPr>
          <t xml:space="preserve">
Leave as "no" unless you've watched the relevant tutorial video</t>
        </r>
      </text>
    </comment>
    <comment ref="S102" authorId="0" shapeId="0" xr:uid="{81D4E300-CD4D-4A20-A4FD-1134BE52103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05" authorId="0" shapeId="0" xr:uid="{14DDC458-B327-42AF-832C-414B3CA93C74}">
      <text>
        <r>
          <rPr>
            <b/>
            <sz val="9"/>
            <color indexed="81"/>
            <rFont val="Tahoma"/>
            <family val="2"/>
          </rPr>
          <t>Andy Gleadall:</t>
        </r>
        <r>
          <rPr>
            <sz val="9"/>
            <color indexed="81"/>
            <rFont val="Tahoma"/>
            <family val="2"/>
          </rPr>
          <t xml:space="preserve">
Unretraction occurs at the end of the non-extruding travel movement</t>
        </r>
      </text>
    </comment>
    <comment ref="S106" authorId="0" shapeId="0" xr:uid="{C2ED2FF2-FE99-4343-A67D-BE49CA5D9648}">
      <text>
        <r>
          <rPr>
            <b/>
            <sz val="9"/>
            <color indexed="81"/>
            <rFont val="Tahoma"/>
            <family val="2"/>
          </rPr>
          <t>Andy Gleadall:</t>
        </r>
        <r>
          <rPr>
            <sz val="9"/>
            <color indexed="81"/>
            <rFont val="Tahoma"/>
            <family val="2"/>
          </rPr>
          <t xml:space="preserve">
Unretraction occurs at the end of the non-extruding travel movement</t>
        </r>
      </text>
    </comment>
    <comment ref="S107" authorId="0" shapeId="0" xr:uid="{8026100D-7B20-4A6F-BD84-44F59EC52E0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0" authorId="0" shapeId="0" xr:uid="{EA94D490-03B4-4425-AE25-948B5B0AB88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0" authorId="0" shapeId="0" xr:uid="{F1C583C5-9A6A-42C5-A117-E10872D0350A}">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0" authorId="0" shapeId="0" xr:uid="{F3739CD6-D4E6-48D0-BA52-46B6A6B455BD}">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45AF172-4310-48EB-8EEA-49E2BC8B291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BBC0A651-9E06-452C-80A8-37CCCB9518D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 authorId="0" shapeId="0" xr:uid="{1F9CF025-8BA1-4323-9C9A-FB417E0DB24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 authorId="0" shapeId="0" xr:uid="{70C75161-B02F-4B07-9F67-F0E9A703F731}">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B0FB131A-4088-4357-A271-3AB311155B4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44B18D4D-86B2-4A94-BF07-2C715BF3B69C}">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08917FA5-D407-4AAD-93BD-32F5DD48C6E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1413232-3A4E-4EF8-97D4-FC1749EB700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834150E1-57B6-46BF-927C-F3522749244B}">
      <text>
        <r>
          <rPr>
            <b/>
            <sz val="9"/>
            <color indexed="81"/>
            <rFont val="Tahoma"/>
            <family val="2"/>
          </rPr>
          <t>Andy Gleadall:</t>
        </r>
        <r>
          <rPr>
            <sz val="9"/>
            <color indexed="81"/>
            <rFont val="Tahoma"/>
            <family val="2"/>
          </rPr>
          <t xml:space="preserve">
Tool selected at the end of the startGCODE</t>
        </r>
      </text>
    </comment>
    <comment ref="S12" authorId="0" shapeId="0" xr:uid="{7D1B1223-D4AC-412A-BD91-53F6B9D60A13}">
      <text>
        <r>
          <rPr>
            <b/>
            <sz val="9"/>
            <color indexed="81"/>
            <rFont val="Tahoma"/>
            <family val="2"/>
          </rPr>
          <t>Andy Gleadall:</t>
        </r>
        <r>
          <rPr>
            <sz val="9"/>
            <color indexed="81"/>
            <rFont val="Tahoma"/>
            <family val="2"/>
          </rPr>
          <t xml:space="preserve">
ONLY USED IF MANUALLY LINKED TO START GCODE</t>
        </r>
      </text>
    </comment>
    <comment ref="S13" authorId="0" shapeId="0" xr:uid="{C4C50987-A32A-4714-9C4A-425222954F15}">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1390F78A-DA7A-4E6A-BFCB-3D6B0332802C}">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56CF949-860A-4DAD-AA56-E8F595EE5D3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1CC9A9-E85B-4E1C-B07E-B54EAA41D283}">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566D3B52-9093-4805-811F-492F311AB10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03EAB4E-8DF5-42E3-86F3-6B11524B796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AC4D6D-AA24-4688-B711-461B1F72E01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9FC24E16-5DD7-45CF-987C-D89292BBAC03}">
      <text>
        <r>
          <rPr>
            <b/>
            <sz val="9"/>
            <color indexed="81"/>
            <rFont val="Tahoma"/>
            <family val="2"/>
          </rPr>
          <t>Andy Gleadall:</t>
        </r>
        <r>
          <rPr>
            <sz val="9"/>
            <color indexed="81"/>
            <rFont val="Tahoma"/>
            <family val="2"/>
          </rPr>
          <t xml:space="preserve">
Position af the nozzle at the end of the StartGCODE</t>
        </r>
      </text>
    </comment>
    <comment ref="S21" authorId="0" shapeId="0" xr:uid="{F329878A-2B19-4331-BB4E-EC93030A23AC}">
      <text>
        <r>
          <rPr>
            <b/>
            <sz val="9"/>
            <color indexed="81"/>
            <rFont val="Tahoma"/>
            <family val="2"/>
          </rPr>
          <t>Andy Gleadall:</t>
        </r>
        <r>
          <rPr>
            <sz val="9"/>
            <color indexed="81"/>
            <rFont val="Tahoma"/>
            <family val="2"/>
          </rPr>
          <t xml:space="preserve">
Position af the nozzle at the end of the StartGCODE</t>
        </r>
      </text>
    </comment>
    <comment ref="S22" authorId="0" shapeId="0" xr:uid="{D889F05C-B7D0-4F73-B7F3-A88517AFB982}">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FBDC43E9-C252-4EC4-B205-3D62BE9C9B14}">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FDB0BD6-1D7D-4B68-BC6E-A8055C42BC6C}">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AFDC667D-1C77-43BD-8F6F-507324DF08B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E9A0C0F6-4E9B-4BB5-B4CB-519C3B5E4AE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F3C94A89-23CA-40FE-B19E-8C5E845DB6B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07CF40CF-AAFA-4D21-8767-F122C7A6CA3E}">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30D0069F-8787-411D-AA0C-B9E7E5F058D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6A2796EE-5C34-42EF-9E25-4899E72997C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E36394D4-354C-46CB-AC29-D7580A1DE88B}">
      <text>
        <r>
          <rPr>
            <b/>
            <sz val="9"/>
            <color indexed="81"/>
            <rFont val="Tahoma"/>
            <family val="2"/>
          </rPr>
          <t>Andy Gleadall:</t>
        </r>
        <r>
          <rPr>
            <sz val="9"/>
            <color indexed="81"/>
            <rFont val="Tahoma"/>
            <family val="2"/>
          </rPr>
          <t xml:space="preserve">
Not used, but good practice!</t>
        </r>
      </text>
    </comment>
    <comment ref="A37" authorId="0" shapeId="0" xr:uid="{B498E10A-77ED-4692-9D54-2E5AFBF8C95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0394F09E-1DD4-4FA7-A411-830E45DB764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7" authorId="0" shapeId="0" xr:uid="{260A0C5B-BBC0-4501-8246-AE2A84E5DDD2}">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7" authorId="0" shapeId="0" xr:uid="{FDF10298-5938-4CAE-890C-5C19502D7C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C2C0EC37-4552-4A5A-875C-CC4BAFA710B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02C57C6E-668A-486F-839E-4BE09E553964}">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E4D93183-9B83-476A-8377-73473D2762A5}">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3F68F1EE-FA61-4747-B11E-8253C5FFDF2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BF261A11-EFF0-4542-9F3D-A09831606C83}">
      <text>
        <r>
          <rPr>
            <b/>
            <sz val="9"/>
            <color indexed="81"/>
            <rFont val="Tahoma"/>
            <family val="2"/>
          </rPr>
          <t>Andy Gleadall:</t>
        </r>
        <r>
          <rPr>
            <sz val="9"/>
            <color indexed="81"/>
            <rFont val="Tahoma"/>
            <family val="2"/>
          </rPr>
          <t xml:space="preserve">
Tool selected at the end of the startGCODE</t>
        </r>
      </text>
    </comment>
    <comment ref="S46" authorId="0" shapeId="0" xr:uid="{528EA6B6-A3D2-4FE7-9D76-48432368142A}">
      <text>
        <r>
          <rPr>
            <b/>
            <sz val="9"/>
            <color indexed="81"/>
            <rFont val="Tahoma"/>
            <family val="2"/>
          </rPr>
          <t>Andy Gleadall:</t>
        </r>
        <r>
          <rPr>
            <sz val="9"/>
            <color indexed="81"/>
            <rFont val="Tahoma"/>
            <family val="2"/>
          </rPr>
          <t xml:space="preserve">
ONLY USED IF MANUALLY LINKED TO START GCODE</t>
        </r>
      </text>
    </comment>
    <comment ref="S47" authorId="0" shapeId="0" xr:uid="{35067506-63F2-480B-8A7D-84963060E84E}">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DB34217-BB76-4354-AEC5-1DF11074E4B7}">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D1CC4BE6-366E-4985-9704-683DF98A57B1}">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1670A3D4-EC19-4C13-A2B2-CE84704C838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2E95884A-ACB0-4227-87FB-93122D972D5E}">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21A3CAC7-B60C-47C9-8ECD-074295D222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C84118E8-0651-499A-9F26-B4128833F353}">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0EDE35DF-280F-48FB-A82E-9169B0E4F8E3}">
      <text>
        <r>
          <rPr>
            <b/>
            <sz val="9"/>
            <color indexed="81"/>
            <rFont val="Tahoma"/>
            <family val="2"/>
          </rPr>
          <t>Andy Gleadall:</t>
        </r>
        <r>
          <rPr>
            <sz val="9"/>
            <color indexed="81"/>
            <rFont val="Tahoma"/>
            <family val="2"/>
          </rPr>
          <t xml:space="preserve">
Position af the nozzle at the end of the StartGCODE</t>
        </r>
      </text>
    </comment>
    <comment ref="S55" authorId="0" shapeId="0" xr:uid="{1B6A5EF5-CAA3-4630-AB22-BE5AB4026CA0}">
      <text>
        <r>
          <rPr>
            <b/>
            <sz val="9"/>
            <color indexed="81"/>
            <rFont val="Tahoma"/>
            <family val="2"/>
          </rPr>
          <t>Andy Gleadall:</t>
        </r>
        <r>
          <rPr>
            <sz val="9"/>
            <color indexed="81"/>
            <rFont val="Tahoma"/>
            <family val="2"/>
          </rPr>
          <t xml:space="preserve">
Position af the nozzle at the end of the StartGCODE</t>
        </r>
      </text>
    </comment>
    <comment ref="S56" authorId="0" shapeId="0" xr:uid="{A9D9971B-75F7-4E46-9BB2-19DD10EF57B7}">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4434BE2F-7337-4292-BF00-7785E84B528A}">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CC99405D-344C-423E-924C-67B387D13BF6}">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A418868A-74A6-4057-A171-97B0382C7D7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C66B6D5F-7B3A-441E-9B48-658ADEB61EB8}">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0B3C5EC1-8B76-46C5-9416-696187C20389}">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8379CE11-719E-41A6-9AA6-6EC37232B968}">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EA887749-5A2A-4BDC-9076-7346627E322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3F0F2851-67E6-4E1B-9FB6-7651CE674198}">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F435999A-8B0A-467C-B96C-3833D0CE2F6F}">
      <text>
        <r>
          <rPr>
            <b/>
            <sz val="9"/>
            <color indexed="81"/>
            <rFont val="Tahoma"/>
            <family val="2"/>
          </rPr>
          <t>Andy Gleadall:</t>
        </r>
        <r>
          <rPr>
            <sz val="9"/>
            <color indexed="81"/>
            <rFont val="Tahoma"/>
            <family val="2"/>
          </rPr>
          <t xml:space="preserve">
Not used, but good practice!</t>
        </r>
      </text>
    </comment>
    <comment ref="A71" authorId="0" shapeId="0" xr:uid="{3E3DE085-1D50-49AB-AC26-B932EDBF718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7A1072FA-21E4-4CFF-A3DE-768F2E6BF0A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71" authorId="0" shapeId="0" xr:uid="{0B3D5786-6B59-48A2-A2DC-EEB34FEC5CF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71" authorId="0" shapeId="0" xr:uid="{A7FB184A-2BF6-438E-9BFC-7807B3FD278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E84513DE-E78C-4FEC-A2AA-68ECF6F9FDFE}">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429D622E-BEC5-4E5E-8624-93CC7542F7CD}">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C097E457-47A1-45D6-BD5B-38FB9CBADFE8}">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D22B9096-FD86-4906-B5CD-9BEC8A3F08F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25C6F2A4-B201-4D66-8B16-F846FBEE55D4}">
      <text>
        <r>
          <rPr>
            <b/>
            <sz val="9"/>
            <color indexed="81"/>
            <rFont val="Tahoma"/>
            <family val="2"/>
          </rPr>
          <t>Andy Gleadall:</t>
        </r>
        <r>
          <rPr>
            <sz val="9"/>
            <color indexed="81"/>
            <rFont val="Tahoma"/>
            <family val="2"/>
          </rPr>
          <t xml:space="preserve">
Tool selected at the end of the startGCODE</t>
        </r>
      </text>
    </comment>
    <comment ref="S80" authorId="0" shapeId="0" xr:uid="{3303D33E-3B91-473E-9060-786D5081E0BE}">
      <text>
        <r>
          <rPr>
            <b/>
            <sz val="9"/>
            <color indexed="81"/>
            <rFont val="Tahoma"/>
            <family val="2"/>
          </rPr>
          <t>Andy Gleadall:</t>
        </r>
        <r>
          <rPr>
            <sz val="9"/>
            <color indexed="81"/>
            <rFont val="Tahoma"/>
            <family val="2"/>
          </rPr>
          <t xml:space="preserve">
ONLY USED IF MANUALLY LINKED TO START GCODE</t>
        </r>
      </text>
    </comment>
    <comment ref="S81" authorId="0" shapeId="0" xr:uid="{E6EC1DC8-1313-4A32-93FF-76A2E989153B}">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A5DDE36B-A04B-4031-B606-8DBC569EAAF4}">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8184987B-F630-4784-A926-0CD60B2770E3}">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42D860A5-E137-4DB0-9666-B47E6E5F291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AB832B9B-DD4B-41B9-B6F5-87B8DC6AEF8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8B5788C9-AA2F-4389-92F4-ECC4C7A61E9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48B0FBC8-B3E5-49FC-AB02-EE79DB42AD2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145FE520-597E-4836-9F44-2DB42B6FB1E4}">
      <text>
        <r>
          <rPr>
            <b/>
            <sz val="9"/>
            <color indexed="81"/>
            <rFont val="Tahoma"/>
            <family val="2"/>
          </rPr>
          <t>Andy Gleadall:</t>
        </r>
        <r>
          <rPr>
            <sz val="9"/>
            <color indexed="81"/>
            <rFont val="Tahoma"/>
            <family val="2"/>
          </rPr>
          <t xml:space="preserve">
Position af the nozzle at the end of the StartGCODE</t>
        </r>
      </text>
    </comment>
    <comment ref="S89" authorId="0" shapeId="0" xr:uid="{E9C2FB95-641A-4FFC-B7E0-3C75A63D747E}">
      <text>
        <r>
          <rPr>
            <b/>
            <sz val="9"/>
            <color indexed="81"/>
            <rFont val="Tahoma"/>
            <family val="2"/>
          </rPr>
          <t>Andy Gleadall:</t>
        </r>
        <r>
          <rPr>
            <sz val="9"/>
            <color indexed="81"/>
            <rFont val="Tahoma"/>
            <family val="2"/>
          </rPr>
          <t xml:space="preserve">
Position af the nozzle at the end of the StartGCODE</t>
        </r>
      </text>
    </comment>
    <comment ref="S90" authorId="0" shapeId="0" xr:uid="{14F40971-00B8-4023-8845-D86DFC1F1753}">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E0E51515-0254-4533-8651-8673F7236185}">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0A6E9B6-27E0-453C-9FB4-BC89B495FCED}">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F0F3C113-9988-4AFF-8C33-636C2B603E3A}">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EC3F1B98-6FBE-437F-9442-4FD6252C44A0}">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3145C90D-2D1B-4FE3-ADCB-63EA262466C8}">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F2ED0B26-8241-437D-85AD-8FBAFDD84DA7}">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6B639268-B8E0-4D0B-9D85-854F47933FE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8BA57F35-4471-4F98-83F5-68726764ED6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E0EC1B77-F56B-4557-8C9B-7103C987F062}">
      <text>
        <r>
          <rPr>
            <b/>
            <sz val="9"/>
            <color indexed="81"/>
            <rFont val="Tahoma"/>
            <family val="2"/>
          </rPr>
          <t>Andy Gleadall:</t>
        </r>
        <r>
          <rPr>
            <sz val="9"/>
            <color indexed="81"/>
            <rFont val="Tahoma"/>
            <family val="2"/>
          </rPr>
          <t xml:space="preserve">
Not used, but good practice!</t>
        </r>
      </text>
    </comment>
    <comment ref="A105" authorId="0" shapeId="0" xr:uid="{147C658C-57A4-4961-B51E-0CBEFA67911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58588BB-7B56-4A22-95FE-0ABF7E4D310E}">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05" authorId="0" shapeId="0" xr:uid="{64869C32-B67A-4962-B8F6-E0BBAE8168C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05" authorId="0" shapeId="0" xr:uid="{6EB70BB1-BC9F-4E26-A7DE-932AD7E83074}">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BDDBD1B2-92BF-454D-A9A0-E960D58E1B2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249F95C2-1AD8-4683-B07D-FC4B3EE9F309}">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4C4894E9-B772-4372-AE73-D2E8A0013629}">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BFDD6BE3-9988-42A5-9CD3-A3C3D671187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90F03A85-F26E-4D97-A584-035EB0CE3E6A}">
      <text>
        <r>
          <rPr>
            <b/>
            <sz val="9"/>
            <color indexed="81"/>
            <rFont val="Tahoma"/>
            <family val="2"/>
          </rPr>
          <t>Andy Gleadall:</t>
        </r>
        <r>
          <rPr>
            <sz val="9"/>
            <color indexed="81"/>
            <rFont val="Tahoma"/>
            <family val="2"/>
          </rPr>
          <t xml:space="preserve">
Tool selected at the end of the startGCODE</t>
        </r>
      </text>
    </comment>
    <comment ref="S114" authorId="0" shapeId="0" xr:uid="{19ADB0C4-AFFB-4B22-BB0B-6F3C5B713FE9}">
      <text>
        <r>
          <rPr>
            <b/>
            <sz val="9"/>
            <color indexed="81"/>
            <rFont val="Tahoma"/>
            <family val="2"/>
          </rPr>
          <t>Andy Gleadall:</t>
        </r>
        <r>
          <rPr>
            <sz val="9"/>
            <color indexed="81"/>
            <rFont val="Tahoma"/>
            <family val="2"/>
          </rPr>
          <t xml:space="preserve">
ONLY USED IF MANUALLY LINKED TO START GCODE</t>
        </r>
      </text>
    </comment>
    <comment ref="S115" authorId="0" shapeId="0" xr:uid="{8D278661-A2BB-40B4-8B63-210DCC088A12}">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CFDB8B85-F9A4-4903-B610-5F3B02BD4F9D}">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78CE0B8F-6364-4B66-A35A-3FACC561EE6D}">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DF3B32E1-1A96-4345-9A5B-95AC2C4B88B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3E19A7B1-9D08-4B51-9358-D9CEA8D87B8D}">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2A46B5FE-9184-4C56-ABD8-60551F9189B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F683EC8-B979-4A21-8761-7376BBCA772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B72537C8-D643-42F9-AEB5-0E5BDAB92E55}">
      <text>
        <r>
          <rPr>
            <b/>
            <sz val="9"/>
            <color indexed="81"/>
            <rFont val="Tahoma"/>
            <family val="2"/>
          </rPr>
          <t>Andy Gleadall:</t>
        </r>
        <r>
          <rPr>
            <sz val="9"/>
            <color indexed="81"/>
            <rFont val="Tahoma"/>
            <family val="2"/>
          </rPr>
          <t xml:space="preserve">
Position af the nozzle at the end of the StartGCODE</t>
        </r>
      </text>
    </comment>
    <comment ref="S123" authorId="0" shapeId="0" xr:uid="{288D3BCE-B518-4C48-BFE2-7BA447B3B13F}">
      <text>
        <r>
          <rPr>
            <b/>
            <sz val="9"/>
            <color indexed="81"/>
            <rFont val="Tahoma"/>
            <family val="2"/>
          </rPr>
          <t>Andy Gleadall:</t>
        </r>
        <r>
          <rPr>
            <sz val="9"/>
            <color indexed="81"/>
            <rFont val="Tahoma"/>
            <family val="2"/>
          </rPr>
          <t xml:space="preserve">
Position af the nozzle at the end of the StartGCODE</t>
        </r>
      </text>
    </comment>
    <comment ref="S124" authorId="0" shapeId="0" xr:uid="{F1EC187D-BFB2-4489-BD9E-F76A3B9232B8}">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8367582F-4422-4465-A96B-7D70085CD4F5}">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C5C044A4-5619-489E-A3AD-0D6B09DB28DF}">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583BA5DF-FE92-4E44-8C23-3124FF73631C}">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822B1CE7-A2CD-4702-BC41-C981EBBFE28A}">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C772BE39-5E2E-4679-BE27-30A80B78E9A5}">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E5FAEF20-DFBC-4E97-9902-0F6AB666C01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C4F30C70-9EC5-4EF6-89FB-BF51C1FEA2E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35A7797E-3520-4886-8A3B-B7788F587A4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735FF78-E19E-481C-9AA3-B977918734B9}">
      <text>
        <r>
          <rPr>
            <b/>
            <sz val="9"/>
            <color indexed="81"/>
            <rFont val="Tahoma"/>
            <family val="2"/>
          </rPr>
          <t>Andy Gleadall:</t>
        </r>
        <r>
          <rPr>
            <sz val="9"/>
            <color indexed="81"/>
            <rFont val="Tahoma"/>
            <family val="2"/>
          </rPr>
          <t xml:space="preserve">
Not used, but good practice!</t>
        </r>
      </text>
    </comment>
    <comment ref="A139" authorId="0" shapeId="0" xr:uid="{B0FF864A-007D-4BCA-8E42-AE72A432F4B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39" authorId="0" shapeId="0" xr:uid="{2C1F203F-5A79-4E0B-BA54-7107BAECF84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39" authorId="0" shapeId="0" xr:uid="{1123F2B5-CC96-4D78-A648-20EC28AB55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39" authorId="0" shapeId="0" xr:uid="{D468BC41-695D-405C-B04F-F38A862485E0}">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42" authorId="0" shapeId="0" xr:uid="{94B96D9E-2A35-4ACF-A278-DF4C182F07B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43" authorId="0" shapeId="0" xr:uid="{05D32BC0-D415-4B33-A969-C605852DD33F}">
      <text>
        <r>
          <rPr>
            <b/>
            <sz val="9"/>
            <color indexed="81"/>
            <rFont val="Tahoma"/>
            <family val="2"/>
          </rPr>
          <t>Andy Gleadall:</t>
        </r>
        <r>
          <rPr>
            <sz val="9"/>
            <color indexed="81"/>
            <rFont val="Tahoma"/>
            <family val="2"/>
          </rPr>
          <t xml:space="preserve">
Only applied to GCODE - not the data in the Printpath worksheet</t>
        </r>
      </text>
    </comment>
    <comment ref="S144" authorId="0" shapeId="0" xr:uid="{B492B76D-B86E-4319-8C5A-34121DF9ABC4}">
      <text>
        <r>
          <rPr>
            <b/>
            <sz val="9"/>
            <color indexed="81"/>
            <rFont val="Tahoma"/>
            <family val="2"/>
          </rPr>
          <t>Andy Gleadall:</t>
        </r>
        <r>
          <rPr>
            <sz val="9"/>
            <color indexed="81"/>
            <rFont val="Tahoma"/>
            <family val="2"/>
          </rPr>
          <t xml:space="preserve">
Only applied to GCODE - not the data in the Printpath worksheet</t>
        </r>
      </text>
    </comment>
    <comment ref="S145" authorId="0" shapeId="0" xr:uid="{84E545AC-ECEE-4CD7-B4EB-03CE13449BE2}">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46" authorId="0" shapeId="0" xr:uid="{9CD260BC-19ED-4C7E-A94F-4923E8FA4F64}">
      <text>
        <r>
          <rPr>
            <b/>
            <sz val="9"/>
            <color indexed="81"/>
            <rFont val="Tahoma"/>
            <family val="2"/>
          </rPr>
          <t>Andy Gleadall:</t>
        </r>
        <r>
          <rPr>
            <sz val="9"/>
            <color indexed="81"/>
            <rFont val="Tahoma"/>
            <family val="2"/>
          </rPr>
          <t xml:space="preserve">
Tool selected at the end of the startGCODE</t>
        </r>
      </text>
    </comment>
    <comment ref="S148" authorId="0" shapeId="0" xr:uid="{C428D3EA-57A2-4920-AF65-804B764486CD}">
      <text>
        <r>
          <rPr>
            <b/>
            <sz val="9"/>
            <color indexed="81"/>
            <rFont val="Tahoma"/>
            <family val="2"/>
          </rPr>
          <t>Andy Gleadall:</t>
        </r>
        <r>
          <rPr>
            <sz val="9"/>
            <color indexed="81"/>
            <rFont val="Tahoma"/>
            <family val="2"/>
          </rPr>
          <t xml:space="preserve">
ONLY USED IF MANUALLY LINKED TO START GCODE</t>
        </r>
      </text>
    </comment>
    <comment ref="S149" authorId="0" shapeId="0" xr:uid="{5F59B46D-F79E-4662-BADF-1F88D6CF2D90}">
      <text>
        <r>
          <rPr>
            <b/>
            <sz val="9"/>
            <color indexed="81"/>
            <rFont val="Tahoma"/>
            <family val="2"/>
          </rPr>
          <t>Andy Gleadall:</t>
        </r>
        <r>
          <rPr>
            <sz val="9"/>
            <color indexed="81"/>
            <rFont val="Tahoma"/>
            <family val="2"/>
          </rPr>
          <t xml:space="preserve">
Default speed when the nozzle is moving and extruding material</t>
        </r>
      </text>
    </comment>
    <comment ref="S150" authorId="0" shapeId="0" xr:uid="{FE9F9124-040D-40A5-84E4-B04692E1EAA9}">
      <text>
        <r>
          <rPr>
            <b/>
            <sz val="9"/>
            <color indexed="81"/>
            <rFont val="Tahoma"/>
            <family val="2"/>
          </rPr>
          <t>Andy Gleadall:</t>
        </r>
        <r>
          <rPr>
            <sz val="9"/>
            <color indexed="81"/>
            <rFont val="Tahoma"/>
            <family val="2"/>
          </rPr>
          <t xml:space="preserve">
Default speed when the nozzle is moving whilst not extruding</t>
        </r>
      </text>
    </comment>
    <comment ref="S151" authorId="0" shapeId="0" xr:uid="{6DACB004-1FA9-44E1-B674-EBDEEF706BE0}">
      <text>
        <r>
          <rPr>
            <b/>
            <sz val="9"/>
            <color indexed="81"/>
            <rFont val="Tahoma"/>
            <family val="2"/>
          </rPr>
          <t>Andy Gleadall:</t>
        </r>
        <r>
          <rPr>
            <sz val="9"/>
            <color indexed="81"/>
            <rFont val="Tahoma"/>
            <family val="2"/>
          </rPr>
          <t xml:space="preserve">
This value is only used if it is manually linked to the start GCODE.</t>
        </r>
      </text>
    </comment>
    <comment ref="S152" authorId="0" shapeId="0" xr:uid="{46E86804-DF44-4E08-8928-D16BC991A1F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53" authorId="0" shapeId="0" xr:uid="{0C9C81BB-3CE6-411C-BDF6-B0394EB04C13}">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54" authorId="0" shapeId="0" xr:uid="{3AF1583C-93E3-4D45-9CD2-C0F1C36E12F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5" authorId="0" shapeId="0" xr:uid="{A5AF207E-1718-4836-969E-B005A5AE1A1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6" authorId="0" shapeId="0" xr:uid="{584E160C-0919-4E34-8B1C-1E7ED86553A9}">
      <text>
        <r>
          <rPr>
            <b/>
            <sz val="9"/>
            <color indexed="81"/>
            <rFont val="Tahoma"/>
            <family val="2"/>
          </rPr>
          <t>Andy Gleadall:</t>
        </r>
        <r>
          <rPr>
            <sz val="9"/>
            <color indexed="81"/>
            <rFont val="Tahoma"/>
            <family val="2"/>
          </rPr>
          <t xml:space="preserve">
Position af the nozzle at the end of the StartGCODE</t>
        </r>
      </text>
    </comment>
    <comment ref="S157" authorId="0" shapeId="0" xr:uid="{82E861A3-2C35-4FE0-813E-CC2047DB9ABA}">
      <text>
        <r>
          <rPr>
            <b/>
            <sz val="9"/>
            <color indexed="81"/>
            <rFont val="Tahoma"/>
            <family val="2"/>
          </rPr>
          <t>Andy Gleadall:</t>
        </r>
        <r>
          <rPr>
            <sz val="9"/>
            <color indexed="81"/>
            <rFont val="Tahoma"/>
            <family val="2"/>
          </rPr>
          <t xml:space="preserve">
Position af the nozzle at the end of the StartGCODE</t>
        </r>
      </text>
    </comment>
    <comment ref="S158" authorId="0" shapeId="0" xr:uid="{D693F67B-43DA-4FB2-919E-FD9B9E719392}">
      <text>
        <r>
          <rPr>
            <b/>
            <sz val="9"/>
            <color indexed="81"/>
            <rFont val="Tahoma"/>
            <family val="2"/>
          </rPr>
          <t>Andy Gleadall:</t>
        </r>
        <r>
          <rPr>
            <sz val="9"/>
            <color indexed="81"/>
            <rFont val="Tahoma"/>
            <family val="2"/>
          </rPr>
          <t xml:space="preserve">
Position af the nozzle at the end of the StartGCODE - EXCLUDING THE Zoffset!</t>
        </r>
      </text>
    </comment>
    <comment ref="S159" authorId="0" shapeId="0" xr:uid="{00FD4669-3CDF-46B5-966E-594DDB0FA530}">
      <text>
        <r>
          <rPr>
            <b/>
            <sz val="9"/>
            <color indexed="81"/>
            <rFont val="Tahoma"/>
            <family val="2"/>
          </rPr>
          <t>Andy Gleadall:</t>
        </r>
        <r>
          <rPr>
            <sz val="9"/>
            <color indexed="81"/>
            <rFont val="Tahoma"/>
            <family val="2"/>
          </rPr>
          <t xml:space="preserve">
This value is only used if it is manually linked to the start GCODE.</t>
        </r>
      </text>
    </comment>
    <comment ref="S160" authorId="0" shapeId="0" xr:uid="{DC4613F6-4FDC-4FA0-819B-A53777F5E5F6}">
      <text>
        <r>
          <rPr>
            <b/>
            <sz val="9"/>
            <color indexed="81"/>
            <rFont val="Tahoma"/>
            <family val="2"/>
          </rPr>
          <t>Andy Gleadall:</t>
        </r>
        <r>
          <rPr>
            <sz val="9"/>
            <color indexed="81"/>
            <rFont val="Tahoma"/>
            <family val="2"/>
          </rPr>
          <t xml:space="preserve">
Leave as "no" unless you've watched the relevant tutorial video</t>
        </r>
      </text>
    </comment>
    <comment ref="S161" authorId="0" shapeId="0" xr:uid="{A870BEC0-48BA-49C8-A5DD-367C3444B80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64" authorId="0" shapeId="0" xr:uid="{C0132411-B55E-4701-8F93-D53042B828D8}">
      <text>
        <r>
          <rPr>
            <b/>
            <sz val="9"/>
            <color indexed="81"/>
            <rFont val="Tahoma"/>
            <family val="2"/>
          </rPr>
          <t>Andy Gleadall:</t>
        </r>
        <r>
          <rPr>
            <sz val="9"/>
            <color indexed="81"/>
            <rFont val="Tahoma"/>
            <family val="2"/>
          </rPr>
          <t xml:space="preserve">
Unretraction occurs at the end of the non-extruding travel movement</t>
        </r>
      </text>
    </comment>
    <comment ref="S165" authorId="0" shapeId="0" xr:uid="{6C5DA5A3-B626-4604-8B07-BF92A9ADBC01}">
      <text>
        <r>
          <rPr>
            <b/>
            <sz val="9"/>
            <color indexed="81"/>
            <rFont val="Tahoma"/>
            <family val="2"/>
          </rPr>
          <t>Andy Gleadall:</t>
        </r>
        <r>
          <rPr>
            <sz val="9"/>
            <color indexed="81"/>
            <rFont val="Tahoma"/>
            <family val="2"/>
          </rPr>
          <t xml:space="preserve">
Unretraction occurs at the end of the non-extruding travel movement</t>
        </r>
      </text>
    </comment>
    <comment ref="S166" authorId="0" shapeId="0" xr:uid="{D62E22CF-1CE5-4B29-8E55-2B6FECE4892D}">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69" authorId="0" shapeId="0" xr:uid="{E3EBCCBC-EA9A-4130-8D78-76D64ED319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69" authorId="0" shapeId="0" xr:uid="{D33B2F8D-1C15-40D7-9073-087D314412E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69" authorId="0" shapeId="0" xr:uid="{9DAEEEB7-84E3-4B01-BB20-3FC04D8BE1DC}">
      <text>
        <r>
          <rPr>
            <b/>
            <sz val="9"/>
            <color indexed="81"/>
            <rFont val="Tahoma"/>
            <family val="2"/>
          </rPr>
          <t>Andy Gleadall:</t>
        </r>
        <r>
          <rPr>
            <sz val="9"/>
            <color indexed="81"/>
            <rFont val="Tahoma"/>
            <family val="2"/>
          </rPr>
          <t xml:space="preserve">
Not used, but good practice!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<sst xmlns="http://schemas.openxmlformats.org/spreadsheetml/2006/main" count="8835" uniqueCount="1664">
  <si>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</si>
  <si>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</si>
  <si>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</si>
  <si>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</si>
  <si>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</si>
  <si>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</si>
  <si>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</si>
  <si>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</si>
  <si>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</si>
  <si>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</si>
  <si>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</si>
  <si>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</si>
  <si>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</si>
  <si>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</si>
  <si>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</si>
  <si>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</si>
  <si>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</si>
  <si>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</si>
  <si>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</si>
  <si>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</si>
  <si>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</si>
  <si>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</si>
  <si>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</si>
  <si>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</si>
  <si>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</si>
  <si>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</si>
  <si>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</si>
  <si>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</si>
  <si>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</si>
  <si>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</si>
  <si>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</si>
  <si>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</si>
  <si>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</si>
  <si>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</si>
  <si>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</si>
  <si>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</si>
  <si>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</si>
  <si>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</si>
  <si>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</si>
  <si>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</si>
  <si>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</si>
  <si>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</si>
  <si>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</si>
  <si>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</si>
  <si>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</si>
  <si>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</si>
  <si>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</si>
  <si>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</si>
  <si>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</si>
  <si>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Custom GCODE</t>
  </si>
  <si>
    <t>String</t>
  </si>
  <si>
    <t>Value</t>
  </si>
  <si>
    <t>Repeat rule</t>
  </si>
  <si>
    <t>RepeatEnd</t>
  </si>
  <si>
    <t>Polar repeat</t>
  </si>
  <si>
    <t>Cartesian repeat</t>
  </si>
  <si>
    <t>Radial (+ive = out)</t>
  </si>
  <si>
    <t>Repeated feature(s)</t>
  </si>
  <si>
    <t>Angle (+ive = anti-CW)</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</si>
  <si>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</si>
  <si>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</si>
  <si>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</si>
  <si>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</si>
  <si>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</si>
  <si>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</si>
  <si>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</si>
  <si>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</si>
  <si>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</si>
  <si>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</si>
  <si>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</si>
  <si>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</si>
  <si>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</si>
  <si>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</si>
  <si>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</si>
  <si>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</si>
  <si>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</si>
  <si>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</si>
  <si>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</si>
  <si>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</si>
  <si>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</si>
  <si>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</si>
  <si>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</si>
  <si>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</si>
  <si>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</si>
  <si>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M107</t>
  </si>
  <si>
    <t>NozzleFeedratePrinting</t>
  </si>
  <si>
    <t>NozzleFeedrateTravelling</t>
  </si>
  <si>
    <t>FirstLayerExtrusionMultiplier</t>
  </si>
  <si>
    <t>FirstLayerNozzleSpeedMultiplier</t>
  </si>
  <si>
    <t>no units</t>
  </si>
  <si>
    <t>mm OR mm3</t>
  </si>
  <si>
    <t>M82 ;absolute extrusion mode</t>
  </si>
  <si>
    <t>;End of Gcode</t>
  </si>
  <si>
    <t>X-formula</t>
  </si>
  <si>
    <t>Y-formula</t>
  </si>
  <si>
    <t>Z-formula</t>
  </si>
  <si>
    <t>"T"-start</t>
  </si>
  <si>
    <t>"T"-end</t>
  </si>
  <si>
    <t>Zoffset</t>
  </si>
  <si>
    <t>F</t>
  </si>
  <si>
    <t>R0</t>
  </si>
  <si>
    <t>ArcAngle</t>
  </si>
  <si>
    <t>HalfAngle</t>
  </si>
  <si>
    <t>Period</t>
  </si>
  <si>
    <t>HalfPeriod</t>
  </si>
  <si>
    <t>QuarterPeriod</t>
  </si>
  <si>
    <t>R-1</t>
  </si>
  <si>
    <t>ID:</t>
  </si>
  <si>
    <t>StartGCODE ID</t>
  </si>
  <si>
    <t xml:space="preserve"> </t>
  </si>
  <si>
    <t>ID</t>
  </si>
  <si>
    <t>Line Equation</t>
  </si>
  <si>
    <t>NumberOfSegments (equal T spacing)</t>
  </si>
  <si>
    <t>0</t>
  </si>
  <si>
    <t>Tval*0.2</t>
  </si>
  <si>
    <t>R100</t>
  </si>
  <si>
    <t>ApplyToStartNode? (YES/NO)</t>
  </si>
  <si>
    <t>ApplyToEndNode? (YES/NO)</t>
  </si>
  <si>
    <t>YES</t>
  </si>
  <si>
    <t>M84</t>
  </si>
  <si>
    <t>;START OF THE END GCODE</t>
  </si>
  <si>
    <t>;END OF THE START GCODE</t>
  </si>
  <si>
    <t>XY</t>
  </si>
  <si>
    <t>PolarAngle</t>
  </si>
  <si>
    <t>OffsetLinearIncrementGraded</t>
  </si>
  <si>
    <t>ULTI2+_1</t>
  </si>
  <si>
    <t>R45</t>
  </si>
  <si>
    <t>4,5</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</si>
  <si>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</si>
  <si>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</si>
  <si>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</si>
  <si>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</si>
  <si>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</si>
  <si>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</si>
  <si>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</si>
  <si>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</si>
  <si>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</si>
  <si>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</si>
  <si>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</si>
  <si>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</si>
  <si>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</si>
  <si>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</si>
  <si>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</si>
  <si>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</si>
  <si>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</si>
  <si>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</si>
  <si>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</si>
  <si>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</si>
  <si>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</si>
  <si>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</si>
  <si>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</si>
  <si>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</si>
  <si>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</si>
  <si>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</si>
  <si>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</si>
  <si>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</si>
  <si>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</si>
  <si>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</si>
  <si>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</si>
  <si>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</si>
  <si>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</si>
  <si>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</si>
  <si>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</si>
  <si>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</si>
  <si>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</si>
  <si>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</si>
  <si>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</si>
  <si>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</si>
  <si>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</si>
  <si>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</si>
  <si>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</si>
  <si>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</si>
  <si>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</si>
  <si>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</si>
  <si>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</si>
  <si>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</si>
  <si>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</si>
  <si>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</si>
  <si>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</si>
  <si>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</si>
  <si>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</si>
  <si>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</si>
  <si>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</si>
  <si>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</si>
  <si>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</si>
  <si>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</si>
  <si>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</si>
  <si>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</si>
  <si>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</si>
  <si>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</si>
  <si>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</si>
  <si>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</si>
  <si>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</si>
  <si>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</si>
  <si>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</si>
  <si>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</si>
  <si>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</si>
  <si>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</si>
  <si>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</si>
  <si>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</si>
  <si>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</si>
  <si>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</si>
  <si>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</si>
  <si>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</si>
  <si>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</si>
  <si>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</si>
  <si>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</si>
  <si>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</si>
  <si>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</si>
  <si>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</si>
  <si>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</si>
  <si>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</si>
  <si>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</si>
  <si>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</si>
  <si>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</si>
  <si>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</si>
  <si>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</si>
  <si>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</si>
  <si>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</si>
  <si>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</si>
  <si>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</si>
  <si>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</si>
  <si>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</si>
  <si>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</si>
  <si>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</si>
  <si>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</si>
  <si>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</si>
  <si>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</si>
  <si>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</si>
  <si>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</si>
  <si>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</si>
  <si>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</si>
  <si>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</si>
  <si>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</si>
  <si>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</si>
  <si>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</si>
  <si>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</si>
  <si>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</si>
  <si>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</si>
  <si>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</si>
  <si>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</si>
  <si>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</si>
  <si>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</si>
  <si>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</si>
  <si>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</si>
  <si>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</si>
  <si>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</si>
  <si>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</si>
  <si>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</si>
  <si>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</si>
  <si>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</si>
  <si>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</si>
  <si>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</si>
  <si>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</si>
  <si>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</si>
  <si>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</si>
  <si>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</si>
  <si>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</si>
  <si>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</si>
  <si>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</si>
  <si>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</si>
  <si>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</si>
  <si>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</si>
  <si>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</si>
  <si>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</si>
  <si>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</si>
  <si>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</si>
  <si>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</si>
  <si>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</si>
  <si>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</si>
  <si>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</si>
  <si>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</si>
  <si>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</si>
  <si>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</si>
  <si>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</si>
  <si>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</si>
  <si>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</si>
  <si>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</si>
  <si>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</si>
  <si>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</si>
  <si>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</si>
  <si>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</si>
  <si>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</si>
  <si>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</si>
  <si>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</si>
  <si>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</si>
  <si>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</si>
  <si>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</si>
  <si>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</si>
  <si>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</si>
  <si>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</si>
  <si>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</si>
  <si>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</si>
  <si>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</si>
  <si>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</si>
  <si>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</si>
  <si>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</si>
  <si>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</si>
  <si>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</si>
  <si>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</si>
  <si>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</si>
  <si>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</si>
  <si>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</si>
  <si>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</si>
  <si>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</si>
  <si>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</si>
  <si>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</si>
  <si>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</si>
  <si>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</si>
  <si>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</si>
  <si>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</si>
  <si>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</si>
  <si>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</si>
  <si>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</si>
  <si>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</si>
  <si>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</si>
  <si>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</si>
  <si>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</si>
  <si>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</si>
  <si>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</si>
  <si>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</si>
  <si>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</si>
  <si>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</si>
  <si>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</si>
  <si>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</si>
  <si>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</si>
  <si>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</si>
  <si>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</si>
  <si>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</si>
  <si>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</si>
  <si>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</si>
  <si>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</si>
  <si>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</si>
  <si>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</si>
  <si>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</si>
  <si>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</si>
  <si>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</si>
  <si>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</si>
  <si>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</si>
  <si>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</si>
  <si>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</si>
  <si>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</si>
  <si>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</si>
  <si>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</si>
  <si>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</si>
  <si>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</si>
  <si>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</si>
  <si>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</si>
  <si>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</si>
  <si>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</si>
  <si>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</si>
  <si>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</si>
  <si>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</si>
  <si>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</si>
  <si>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</si>
  <si>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</si>
  <si>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</si>
  <si>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</si>
  <si>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</si>
  <si>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</si>
  <si>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</si>
  <si>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</si>
  <si>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</si>
  <si>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</si>
  <si>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</si>
  <si>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</si>
  <si>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</si>
  <si>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</si>
  <si>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</si>
  <si>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</si>
  <si>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</si>
  <si>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</si>
  <si>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</si>
  <si>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</si>
  <si>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</si>
  <si>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</si>
  <si>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</si>
  <si>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</si>
  <si>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</si>
  <si>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</si>
  <si>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</si>
  <si>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</si>
  <si>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</si>
  <si>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</si>
  <si>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</si>
  <si>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</si>
  <si>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</si>
  <si>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</si>
  <si>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</si>
  <si>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</si>
  <si>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NO</t>
  </si>
  <si>
    <t>Tutorial_RepeatRule</t>
  </si>
  <si>
    <t>Save time: 22/10/2020 08:40:14</t>
  </si>
  <si>
    <t>CR-10</t>
  </si>
  <si>
    <t>Ender 3</t>
  </si>
  <si>
    <t>G1 F2700 E-5</t>
  </si>
  <si>
    <t>M140 S0</t>
  </si>
  <si>
    <t>G91 ;Relative positioning</t>
  </si>
  <si>
    <t>G1 E-2 F2700 ;Retract a bit</t>
  </si>
  <si>
    <t>G1 E-2 Z0.2 F2400 ;Retract and raise Z</t>
  </si>
  <si>
    <t>G1 X5 Y5 F3000 ;Wipe out</t>
  </si>
  <si>
    <t>G1 Z10 ;Raise Z more</t>
  </si>
  <si>
    <t>G90 ;Absolute positionning</t>
  </si>
  <si>
    <t>M106 S0 ;Turn-off fan</t>
  </si>
  <si>
    <t>M104 S0 ;Turn-off hotend</t>
  </si>
  <si>
    <t>M140 S0 ;Turn-off bed</t>
  </si>
  <si>
    <t>M84 X Y E ;Disable all steppers but Z</t>
  </si>
  <si>
    <t>M104 S0</t>
  </si>
  <si>
    <t>;SETTING_3 {"extruder_quality": ["[general]\\nversion = 4\\nname = Standard Qual</t>
  </si>
  <si>
    <t xml:space="preserve">;SETTING_3 ity #2\\ndefinition = creality_cr10\\n\\n[metadata]\\nquality_type = </t>
  </si>
  <si>
    <t xml:space="preserve">;SETTING_3 standard\\ntype = quality_changes\\nposition = 0\\nsetting_version = </t>
  </si>
  <si>
    <t>;SETTING_3 15\\n\\n[values]\\nmaterial_print_temperature = 210\\n\\n"], "global_</t>
  </si>
  <si>
    <t>;SETTING_3 quality": "[general]\\nversion = 4\\nname = Standard Quality #2\\ndef</t>
  </si>
  <si>
    <t>;SETTING_3 inition = creality_cr10\\n\\n[metadata]\\nquality_type = standard\\nt</t>
  </si>
  <si>
    <t>;SETTING_3 ype = quality_changes\\nsetting_version = 15\\n\\n[values]\\nmaterial</t>
  </si>
  <si>
    <t>;SETTING_3 _bed_temperature = 65\\n\\n"}</t>
  </si>
  <si>
    <t>G1 X0 Y235 ;Present print</t>
  </si>
  <si>
    <t>;SETTING_3 {"global_quality": "[general]\\nversion = 4\\nname = Standard Quality</t>
  </si>
  <si>
    <t>;SETTING_3  #2\\ndefinition = creality_ender3\\n\\n[metadata]\\nquality_type = s</t>
  </si>
  <si>
    <t>;SETTING_3 tandard\\ntype = quality_changes\\nsetting_version = 16\\n\\n[values]</t>
  </si>
  <si>
    <t>;SETTING_3 \\nadhesion_type = brim\\nlayer_height = 0.25\\nmaterial_bed_temperat</t>
  </si>
  <si>
    <t>;SETTING_3 ure = 60\\n\\n", "extruder_quality": ["[general]\\nversion = 4\\nname</t>
  </si>
  <si>
    <t>;SETTING_3  = Standard Quality #2\\ndefinition = creality_ender3\\n\\n[metadata]</t>
  </si>
  <si>
    <t>;SETTING_3 \\nposition = 0\\nquality_type = standard\\ntype = quality_changes\\n</t>
  </si>
  <si>
    <t>;SETTING_3 setting_version = 16\\n\\n[values]\\ninfill_pattern = grid\\n\\n"]}</t>
  </si>
  <si>
    <t>AnycubicMegaS</t>
  </si>
  <si>
    <t>G90 ;absolute positioning</t>
  </si>
  <si>
    <t>G1 F2400 E-6</t>
  </si>
  <si>
    <t>M204 S3000</t>
  </si>
  <si>
    <t>M204 S4000</t>
  </si>
  <si>
    <t>M205 X20 Y20</t>
  </si>
  <si>
    <t>M104 S0 ; turn off extruder</t>
  </si>
  <si>
    <t>M140 S0 ; turn off bed</t>
  </si>
  <si>
    <t>M84 ; disable motors</t>
  </si>
  <si>
    <t>G91 ;relative positioning</t>
  </si>
  <si>
    <t>G1 E-1 F300 ;retract the filament a bit before lifting the nozzle, to release some of the pressure</t>
  </si>
  <si>
    <t>G28 X0 ;Y0 ;move X/Y to min endstops, so the head is out of the way</t>
  </si>
  <si>
    <t>G1 Y180 F2000</t>
  </si>
  <si>
    <t>M84 ;steppers off</t>
  </si>
  <si>
    <t>G90</t>
  </si>
  <si>
    <t>M300 P300 S4000</t>
  </si>
  <si>
    <t>;SETTING_3 {"extruder_quality": ["[general]\\nversion = 4\\nname = Normal 1.0 no</t>
  </si>
  <si>
    <t>;SETTING_3 zzle vase mode\\ndefinition = anycubic_i3_mega\\n\\n[metadata]\\ninte</t>
  </si>
  <si>
    <t>;SETTING_3 nt_category = default\\nquality_type = normal\\nposition = 0\\nsettin</t>
  </si>
  <si>
    <t>;SETTING_3 g_version = 14\\ntype = quality_changes\\n\\n[values]\\ninfill_sparse</t>
  </si>
  <si>
    <t>;SETTING_3 _density = 5\\nline_width = 1.0\\nmaterial_print_temperature = 220\\n</t>
  </si>
  <si>
    <t>;SETTING_3 skirt_brim_speed = 20\\nspeed_layer_0 = 10\\nspeed_print = 20\\nspeed</t>
  </si>
  <si>
    <t>;SETTING_3 _topbottom = 60\\nspeed_wall_0 = 30\\nspeed_wall_x = 30\\ntop_bottom_</t>
  </si>
  <si>
    <t>;SETTING_3 pattern = lines\\ntop_bottom_thickness = 0.8\\nwall_thickness = 0.8\\</t>
  </si>
  <si>
    <t>;SETTING_3 n\\n"], "global_quality": "[general]\\nversion = 4\\nname = Normal 1.</t>
  </si>
  <si>
    <t>;SETTING_3 0 nozzle vase mode\\ndefinition = anycubic_i3_mega\\n\\n[metadata]\\n</t>
  </si>
  <si>
    <t>;SETTING_3 quality_type = normal\\nsetting_version = 14\\ntype = quality_changes</t>
  </si>
  <si>
    <t xml:space="preserve">;SETTING_3 \\n\\n[values]\\nmagic_spiralize = True\\nmaterial_bed_temperature = </t>
  </si>
  <si>
    <t>;SETTING_3 65\\nsupport_enable = False\\n\\n"}</t>
  </si>
  <si>
    <t>G1 Z+0.5 E-5 ;move Z up a bit and retract filament even more</t>
  </si>
  <si>
    <t>PrusaMini</t>
  </si>
  <si>
    <t>G1 E-5.0 F4200.00000</t>
  </si>
  <si>
    <t>G1 Z0.5 F2400 ;Raise Z</t>
  </si>
  <si>
    <t>G1 X178 Y178 F4200 ; park print head</t>
  </si>
  <si>
    <t>M104 S0 ; turn off temperature</t>
  </si>
  <si>
    <t>M140 S0 ; turn off heatbed</t>
  </si>
  <si>
    <t>M107 ; turn off fan</t>
  </si>
  <si>
    <t>M221 S100 ; reset flow</t>
  </si>
  <si>
    <t>M900 K0 ; reset LA</t>
  </si>
  <si>
    <t>M73 P100 R0</t>
  </si>
  <si>
    <t>Raise3D_1nozzle</t>
  </si>
  <si>
    <t>Raise3D_2nozzle</t>
  </si>
  <si>
    <t>T0</t>
  </si>
  <si>
    <t>T1</t>
  </si>
  <si>
    <t>M106 S0</t>
  </si>
  <si>
    <t>M83 ;Relative extrusion</t>
  </si>
  <si>
    <t>M221 T0 S100</t>
  </si>
  <si>
    <t>M221 T1 S100</t>
  </si>
  <si>
    <t>M1002</t>
  </si>
  <si>
    <t>M104 T0 S0</t>
  </si>
  <si>
    <t>M104 T1 S0</t>
  </si>
  <si>
    <t>G1 E-1 F300</t>
  </si>
  <si>
    <t>G28 X0 Y0</t>
  </si>
  <si>
    <t>G1 F2400 E-0.5</t>
  </si>
  <si>
    <t>G1 Z+0.5 E-5</t>
  </si>
  <si>
    <t>G1 X10 Y10 F6000.0</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</si>
  <si>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</si>
  <si>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</si>
  <si>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</si>
  <si>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</si>
  <si>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</si>
  <si>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</si>
  <si>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</si>
  <si>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</si>
  <si>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</si>
  <si>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</si>
  <si>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</si>
  <si>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</si>
  <si>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</si>
  <si>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</si>
  <si>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</si>
  <si>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</si>
  <si>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G1 X-30 Y200 F50000</t>
  </si>
  <si>
    <t>M0</t>
  </si>
  <si>
    <t>T2</t>
  </si>
  <si>
    <t>G0 F6000 X10 Y10.0 Z10</t>
  </si>
  <si>
    <t>RadiusOfPoint2</t>
  </si>
  <si>
    <t>(Xc Yc is the point the reflective line goes through - centre of circle for polar line)</t>
  </si>
  <si>
    <t>G92 E0 ;Reset the extruder's origin/length ; Reset extruder</t>
  </si>
  <si>
    <t>Snapmaker 2_A350</t>
  </si>
  <si>
    <t>M104 S0 ;extruder heater off</t>
  </si>
  <si>
    <t>M140 S0 ;heated bed heater off (if you have it)</t>
  </si>
  <si>
    <t>G0 Z330 ;move Z axis up to max height</t>
  </si>
  <si>
    <t>G28 X0 Y0 ;home the print head</t>
  </si>
  <si>
    <t>;SETTING_1 {"extruder_quality": ["[general]\\nversion = 4\\nname = Snapmaker 2.0</t>
  </si>
  <si>
    <t>;SETTING_1  A350 (Normal)\\ndefinition = custom\\n\\n[metadata]\\nquality_type =</t>
  </si>
  <si>
    <t>;SETTING_1  normal\\ntype = quality_changes\\nsetting_version = 16\\nintent_cate</t>
  </si>
  <si>
    <t>;SETTING_1 gory = default\\nposition = 0\\n\\n[values]\\nbottom_thickness = =top</t>
  </si>
  <si>
    <t>;SETTING_1 _bottom_thickness\\nbrim_width = 10\\ninfill_before_walls = False\\ni</t>
  </si>
  <si>
    <t>;SETTING_1 nfill_pattern = gyroid\\ninfill_sparse_density = 15\\nmaterial_flow =</t>
  </si>
  <si>
    <t>;SETTING_1  100\\nmaterial_flow_layer_0 = =material_flow\\nmaterial_print_temper</t>
  </si>
  <si>
    <t>;SETTING_1 ature = 200\\nmaterial_print_temperature_layer_0 = =material_print_te</t>
  </si>
  <si>
    <t>;SETTING_1 mperature\\noptimize_wall_printing_order = True\\nretraction_amount =</t>
  </si>
  <si>
    <t xml:space="preserve">;SETTING_1  0.5\\nretraction_combing_max_distance = 30\\nretraction_hop_enabled </t>
  </si>
  <si>
    <t>;SETTING_1 = True\\nretraction_speed = 25\\nskirt_gap = 5\\nskirt_line_count = 4</t>
  </si>
  <si>
    <t>;SETTING_1 \\nspeed_layer_0 = 10\\nspeed_print = 60\\nspeed_support = 30\\nspeed</t>
  </si>
  <si>
    <t>;SETTING_1 _topbottom = 50\\nspeed_travel = 100\\nspeed_travel_layer_0 = 40\\nsp</t>
  </si>
  <si>
    <t>;SETTING_1 eed_wall = 50\\nspeed_wall_0 = 30\\nspeed_wall_x = 60\\nsupport_angle</t>
  </si>
  <si>
    <t>;SETTING_1  = 60\\nsupport_bottom_enable = False\\nsupport_brim_enable = True\\n</t>
  </si>
  <si>
    <t>;SETTING_1 support_infill_rate = 20\\nsupport_interface_enable = True\\nsupport_</t>
  </si>
  <si>
    <t>;SETTING_1 tree_branch_distance = 2\\nsupport_xy_distance = 0.7\\nsupport_z_dist</t>
  </si>
  <si>
    <t>;SETTING_1 ance = 0.4\\ntop_bottom_thickness = 0.8\\ntop_thickness = 1\\ntravel_</t>
  </si>
  <si>
    <t>;SETTING_1 avoid_supports = True\\nwall_thickness = 1\\nxy_offset = 0\\nz_seam_t</t>
  </si>
  <si>
    <t>;SETTING_1 ype = sharpest_corner\\nz_seam_x = =machine_width / 2\\nz_seam_y = =m</t>
  </si>
  <si>
    <t>;SETTING_1 achine_depth * 3\\n\\n"], "global_quality": "[general]\\nversion = 4\</t>
  </si>
  <si>
    <t>;SETTING_1 \nname = Snapmaker 2.0 A350 (Normal)\\ndefinition = custom\\n\\n[meta</t>
  </si>
  <si>
    <t>;SETTING_1 data]\\nquality_type = normal\\ntype = quality_changes\\nsetting_vers</t>
  </si>
  <si>
    <t xml:space="preserve">;SETTING_1 ion = 16\\nintent_category = default\\n\\n[values]\\nadhesion_type = </t>
  </si>
  <si>
    <t>;SETTING_1 skirt\\nlayer_height = 0.16\\nmaterial_bed_temperature = 60\\nretract</t>
  </si>
  <si>
    <t>;SETTING_1 ion_combing = infill\\nsupport_enable = True\\nsupport_type = everywh</t>
  </si>
  <si>
    <t>;SETTING_1 ere\\n\\n"}</t>
  </si>
  <si>
    <t>G1 F1500 E-1</t>
  </si>
  <si>
    <t>G10 P0 X-2.5 Y37 Z-4.85 ; T0</t>
  </si>
  <si>
    <t>G10 P3 X-9 Y39 Z-5 ; T3</t>
  </si>
  <si>
    <t>;G10 P0 X-2.5 Y37 Z-4.85 ; T0</t>
  </si>
  <si>
    <t>;G10 P1 X5 Y30.5 Z-12 ; T1</t>
  </si>
  <si>
    <t>;G10 P2 X25.9 Y40.95 Z-5.7 ; T2</t>
  </si>
  <si>
    <t>;G10 P3 X-9 Y39 Z-5 ; T3</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</si>
  <si>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</si>
  <si>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</si>
  <si>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</si>
  <si>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</si>
  <si>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</si>
  <si>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</si>
  <si>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</si>
  <si>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</si>
  <si>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</si>
  <si>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</si>
  <si>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G1 Z+10 E-5 X-20 Y-20 F9000.00</t>
  </si>
  <si>
    <t>REPRAP X400</t>
  </si>
  <si>
    <t>G28 X0 Y0 ;move X/Y to min endstops, so the head is out of the way</t>
  </si>
  <si>
    <t>M140 S0 ;print bed off</t>
  </si>
  <si>
    <t>M107 ;fan off</t>
  </si>
  <si>
    <t>Voxel8</t>
  </si>
  <si>
    <t>; end gcode</t>
  </si>
  <si>
    <t>; shut off heaters</t>
  </si>
  <si>
    <t>M104 S0.0</t>
  </si>
  <si>
    <t>; set fan</t>
  </si>
  <si>
    <t>G1 E-5.0 F200.0</t>
  </si>
  <si>
    <t>G1 Z4.0 F1500.0</t>
  </si>
  <si>
    <t>G28 Y</t>
  </si>
  <si>
    <t>G28 X</t>
  </si>
  <si>
    <t>G0 F12000 X10 Y10</t>
  </si>
  <si>
    <t>G1 F1500 E-6.5</t>
  </si>
  <si>
    <t>G91 ;Relative movement</t>
  </si>
  <si>
    <t>G0 F15000 X8.0 Z0.5 E-4.5 ;Wiping+material retraction</t>
  </si>
  <si>
    <t>G0 F10000 Z1.5 E4.5 ;Compensation for the retraction</t>
  </si>
  <si>
    <t>G90 ;Disable relative movement</t>
  </si>
  <si>
    <t>;SETTING_3 {"global_quality": "[general]\\nversion = 4\\nname = Fine #2\\ndefini</t>
  </si>
  <si>
    <t>;SETTING_3 tion = ultimaker3\\n\\n[metadata]\\nsetting_version = 5\\nquality_typ</t>
  </si>
  <si>
    <t>;SETTING_3 e = normal\\ntype = quality_changes\\n\\n[values]\\nadhesion_type = b</t>
  </si>
  <si>
    <t>;SETTING_3 rim\\nlayer_height_0 = 0.1\\nprime_tower_circular = False\\n\\n", "ex</t>
  </si>
  <si>
    <t>;SETTING_3 truder_quality": ["[general]\\nversion = 4\\nname = Fine #2\\ndefinit</t>
  </si>
  <si>
    <t>;SETTING_3 ion = ultimaker3\\n\\n[metadata]\\nsetting_version = 5\\nposition = 0</t>
  </si>
  <si>
    <t>;SETTING_3 \\nquality_type = normal\\ntype = quality_changes\\n\\n[values]\\ndef</t>
  </si>
  <si>
    <t>;SETTING_3 ault_material_print_temperature = 190\\ninfill_line_width = 0.13\\nin</t>
  </si>
  <si>
    <t>;SETTING_3 fill_sparse_density = 100\\ninitial_layer_line_width_factor = 100\\nl</t>
  </si>
  <si>
    <t>;SETTING_3 ine_width = 0.13\\nmaterial_final_print_temperature = 190\\nmaterial_</t>
  </si>
  <si>
    <t xml:space="preserve">;SETTING_3 initial_print_temperature = 190\\nmaterial_print_temperature_layer_0 </t>
  </si>
  <si>
    <t>;SETTING_3 = 190\\nskirt_brim_speed = 35\\nspeed_print = 6.5\\nspeed_topbottom =</t>
  </si>
  <si>
    <t>;SETTING_3  6.5\\nspeed_travel = 200\\nspeed_travel_layer_0 = 200\\nspeed_wall =</t>
  </si>
  <si>
    <t>;SETTING_3  6.5\\nspeed_wall_0 = 6.5\\nwall_line_width_x = 0.13\\nwall_thickness</t>
  </si>
  <si>
    <t>;SETTING_3  = 0.1\\n\\n", "[general]\\nversion = 4\\nname = Fine #2\\ndefinition</t>
  </si>
  <si>
    <t>;SETTING_3  = ultimaker3\\n\\n[metadata]\\nsetting_version = 5\\nposition = 1\\n</t>
  </si>
  <si>
    <t>;SETTING_3 quality_type = normal\\ntype = quality_changes\\n\\n[values]\\ninfill</t>
  </si>
  <si>
    <t>;SETTING_3 _sparse_density = 100\\n\\n"]}</t>
  </si>
  <si>
    <t>Ultimaker3</t>
  </si>
  <si>
    <t>Artillery Genius</t>
  </si>
  <si>
    <t>;Start of EndGCODE</t>
  </si>
  <si>
    <t>G1 E-2.500 F3600.00000</t>
  </si>
  <si>
    <t>G1 X0 Y220 F1000 ; prepare for part removal</t>
  </si>
  <si>
    <t>M104 S0; turn off extruder</t>
  </si>
  <si>
    <t>M82 ; absolute extrusion</t>
  </si>
  <si>
    <t>M106 S0 ; turn off fan</t>
  </si>
  <si>
    <t>M300 S294 P200 ;D4: 294</t>
  </si>
  <si>
    <t>M300 S588 P200 ;D5: 588</t>
  </si>
  <si>
    <t>M300 S440 P200 ;A4: 440</t>
  </si>
  <si>
    <t>M300 S392 P200 ;G4: 392</t>
  </si>
  <si>
    <t>M300 S784 P200 ;G5: 784</t>
  </si>
  <si>
    <t>M300 S740 P200 ;F#5: 740</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</si>
  <si>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</si>
  <si>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</si>
  <si>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</si>
  <si>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</si>
  <si>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</si>
  <si>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</si>
  <si>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</si>
  <si>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</si>
  <si>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</si>
  <si>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Select a cell in this row and click the "Add Feature" button to begin your design</t>
  </si>
  <si>
    <t>MyFirstDesign_v01</t>
  </si>
  <si>
    <t>See tutorials for information about how to use FullControl (www.fullcontrolgcode.com/tutorials)</t>
  </si>
  <si>
    <t>MyDesigns</t>
  </si>
  <si>
    <t>Terms for A/R/Z equations: 
"Xval" "Yval" "Zval" "Aval" "Rval"
The X/Y/Z values are taken from the start and end node as appropriate.</t>
  </si>
  <si>
    <t>Terms for X/Y/Z equations: 
"Xval" "Yval" "Zval"
The X/Y/Z values are taken from the start and end node as appropriate.</t>
  </si>
  <si>
    <t>Minor change to the FeatParams sheet since one of the repeat rule features had the term "X-centre" accidentally replaced by incorrect text</t>
  </si>
  <si>
    <t>Edited two lines of VBA code "VBA_edit_003" to make sure the GCode respected the initial position of the nozzle after start GCode</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</si>
  <si>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</si>
  <si>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</si>
  <si>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Minor change to the FeatParams sheet (added Note B to the Reproduce and recalculate feature)</t>
  </si>
  <si>
    <t>How to transfer data from previous versions: Copy across your designs woksheets and the following worksheets if you edited them: StartGCODE, EndGCODE, ToolGCODE (choose 'Yes' if prompted by Excel about names already existing)</t>
  </si>
  <si>
    <t>Heron02c - 02/07/2021</t>
  </si>
  <si>
    <t>Heron02b - 09/04/2021</t>
  </si>
  <si>
    <t>Heron02a - 02/04/2021</t>
  </si>
  <si>
    <t>Corrected the title of the 'NomHeight' column in the printpath sheet</t>
  </si>
  <si>
    <t>Corrected typo bug in VBA code "VBA_edit_004"</t>
  </si>
  <si>
    <t>Save time: 10/29/2021 2:03:18 PM</t>
  </si>
  <si>
    <t>yes</t>
  </si>
  <si>
    <t>G29 S1</t>
  </si>
  <si>
    <t>M98 P"prime.g"</t>
  </si>
  <si>
    <t>Toolchanger</t>
  </si>
  <si>
    <t>; end START gcode</t>
  </si>
  <si>
    <t>; start START gcode</t>
  </si>
  <si>
    <t>; start END gcode</t>
  </si>
  <si>
    <t>; Disable Mesh Compensation.</t>
  </si>
  <si>
    <t>G29 S2</t>
  </si>
  <si>
    <t>G1 X-20 Y200 F50000</t>
  </si>
  <si>
    <t>;turn off all heaters</t>
  </si>
  <si>
    <t>; end END gcode</t>
  </si>
  <si>
    <t>StartTool</t>
  </si>
  <si>
    <t>RecycleBin</t>
  </si>
  <si>
    <t>RecycleBinSave at 11/14/2021 8:52:53 PM</t>
  </si>
  <si>
    <t>Save time: 11/14/2021 8:52:53 PM</t>
  </si>
  <si>
    <t>Toolchanger_Template</t>
  </si>
  <si>
    <t>G21 ; set units to millimeters</t>
  </si>
  <si>
    <t>G90 ; use absolute coordinates</t>
  </si>
  <si>
    <t>M83 ; use relative distances for extrusion</t>
  </si>
  <si>
    <t>RecycleBinSave at 11/14/2021 9:13:46 PM</t>
  </si>
  <si>
    <t>Save time: 11/14/2021 9:13:46 PM</t>
  </si>
  <si>
    <t>RecycleBinSave at 11/14/2021 9:14:52 PM</t>
  </si>
  <si>
    <t>Save time: 11/14/2021 9:14:52 PM</t>
  </si>
  <si>
    <t>RecycleBinSave at 11/14/2021 9:15:10 PM</t>
  </si>
  <si>
    <t>Save time: 11/14/2021 9:15:10 PM</t>
  </si>
  <si>
    <t>SKIP_Line</t>
  </si>
  <si>
    <t>Travel automatically added</t>
  </si>
  <si>
    <t>first layer</t>
  </si>
  <si>
    <t>ExtrusionSpacing</t>
  </si>
  <si>
    <t>ExtrusionSpacing_L1</t>
  </si>
  <si>
    <t>6</t>
  </si>
  <si>
    <t>SKIP_Custom GCODE</t>
  </si>
  <si>
    <t>13-16</t>
  </si>
  <si>
    <t>4-7</t>
  </si>
  <si>
    <t>Interlaced_Lines_Alternating</t>
  </si>
  <si>
    <t>Save time: 11/15/2021 8:33:46 PM</t>
  </si>
  <si>
    <t>Interlaced_Lines</t>
  </si>
  <si>
    <t>Save time: 11/15/2021 8:42:35 PM</t>
  </si>
  <si>
    <t>ExtrusionWidth</t>
  </si>
  <si>
    <t>ExtrusionHeight</t>
  </si>
  <si>
    <t>20-23</t>
  </si>
  <si>
    <t>M98 P"parkprep.g"</t>
  </si>
  <si>
    <t>29-32</t>
  </si>
  <si>
    <t>8,9,10,11,17,18,24,25,26,27,33,34</t>
  </si>
  <si>
    <t>Length</t>
  </si>
  <si>
    <t>Interlaced_Lines_1</t>
  </si>
  <si>
    <t>Save time: 11/16/2021 12:36:47 AM</t>
  </si>
  <si>
    <t>Interlaced_Lines_Alternate_1</t>
  </si>
  <si>
    <t>Save time: 11/16/2021 12:42:00 AM</t>
  </si>
  <si>
    <t>RecycleBinSave at 11/16/2021 4:58:26 PM</t>
  </si>
  <si>
    <t>Save time: 11/16/2021 4:58:27 PM</t>
  </si>
  <si>
    <t>8</t>
  </si>
  <si>
    <t>10</t>
  </si>
  <si>
    <t>12</t>
  </si>
  <si>
    <t>;M98 P"prime.g"</t>
  </si>
  <si>
    <t>LineFeat1</t>
  </si>
  <si>
    <t>LineFeat2</t>
  </si>
  <si>
    <t>3</t>
  </si>
  <si>
    <t>LineFeat3</t>
  </si>
  <si>
    <t>5</t>
  </si>
  <si>
    <t>set global.printing = false</t>
  </si>
  <si>
    <t>R130</t>
  </si>
  <si>
    <t>SKIP_Retraction</t>
  </si>
  <si>
    <t>ConcreteExtrusionSpacing</t>
  </si>
  <si>
    <t>ConcreteExtrusionWidth</t>
  </si>
  <si>
    <t>ConcreteExtrusionHeight</t>
  </si>
  <si>
    <t>ConcreteLayerHeight</t>
  </si>
  <si>
    <t>ConcretePrimeX</t>
  </si>
  <si>
    <t>ConcretePrimeY</t>
  </si>
  <si>
    <t>ConcretePrimeLength</t>
  </si>
  <si>
    <t>ConcretePrimeX+Tval*ConcretePrimeLength</t>
  </si>
  <si>
    <t>ConcretePrimeX+Tval*ConcretePrimeLength+0</t>
  </si>
  <si>
    <t>ConcreteLayerHeight+4</t>
  </si>
  <si>
    <t>ConcreteLayerHeight+8</t>
  </si>
  <si>
    <t>LineFeat4</t>
  </si>
  <si>
    <t>LineFeat5</t>
  </si>
  <si>
    <t>9</t>
  </si>
  <si>
    <t>CustomGCODEFeat1</t>
  </si>
  <si>
    <t>LineFeat6</t>
  </si>
  <si>
    <t>LineFeat7</t>
  </si>
  <si>
    <t>LineFeat8</t>
  </si>
  <si>
    <t>13</t>
  </si>
  <si>
    <t>LineFeat9</t>
  </si>
  <si>
    <t>16</t>
  </si>
  <si>
    <t>LineFeat10</t>
  </si>
  <si>
    <t>LineFeat11</t>
  </si>
  <si>
    <t>18</t>
  </si>
  <si>
    <t>LineFeat12</t>
  </si>
  <si>
    <t>CustomGCODEFeat2</t>
  </si>
  <si>
    <t>R-130</t>
  </si>
  <si>
    <t>R-5</t>
  </si>
  <si>
    <t>R-11.4</t>
  </si>
  <si>
    <t>3,4,5,6</t>
  </si>
  <si>
    <t>R-13.2</t>
  </si>
  <si>
    <t>R-3.2</t>
  </si>
  <si>
    <t>10,11,12,13</t>
  </si>
  <si>
    <t>R3.2</t>
  </si>
  <si>
    <t>R13.2</t>
  </si>
  <si>
    <t>16,17,18,19</t>
  </si>
  <si>
    <t>103,104,105,106</t>
  </si>
  <si>
    <t>ConcreteLayerHeight+12</t>
  </si>
  <si>
    <t>ConcreteLayerHeight+16</t>
  </si>
  <si>
    <t>171,172,173,174</t>
  </si>
  <si>
    <t>ConcreteLayerHeight+20</t>
  </si>
  <si>
    <t>R11.4</t>
  </si>
  <si>
    <t>97,98,99,100</t>
  </si>
  <si>
    <t>ConcreteLayerHeight+24</t>
  </si>
  <si>
    <t>ConcreteLayerHeight+28</t>
  </si>
  <si>
    <t>184,185,186,187</t>
  </si>
  <si>
    <t>206,207,208,209</t>
  </si>
  <si>
    <t>R175</t>
  </si>
  <si>
    <t>39,40,41,42</t>
  </si>
  <si>
    <t>45,46,47,48</t>
  </si>
  <si>
    <t>200,201,202,203</t>
  </si>
  <si>
    <t>213,214,215,216</t>
  </si>
  <si>
    <t>26,27,28,29</t>
  </si>
  <si>
    <t>32,33,34,35</t>
  </si>
  <si>
    <t>55,56,57,58</t>
  </si>
  <si>
    <t>61,62,63,64</t>
  </si>
  <si>
    <t>68,69,70,71</t>
  </si>
  <si>
    <t>74,75,76,77</t>
  </si>
  <si>
    <t>84,85,86,87</t>
  </si>
  <si>
    <t>90,91,92,93</t>
  </si>
  <si>
    <t>113,114,115,116</t>
  </si>
  <si>
    <t>119,120,121,122</t>
  </si>
  <si>
    <t>126,127,128,129</t>
  </si>
  <si>
    <t>132,133,134,135</t>
  </si>
  <si>
    <t>142,143,144,145</t>
  </si>
  <si>
    <t>148,149,150,151</t>
  </si>
  <si>
    <t>155,156,157,158</t>
  </si>
  <si>
    <t>161,162,163,164</t>
  </si>
  <si>
    <t>177,178,179,180</t>
  </si>
  <si>
    <t>190,191,192,193</t>
  </si>
  <si>
    <t>219,220,221,222</t>
  </si>
  <si>
    <t>229,230,231,232</t>
  </si>
  <si>
    <t>235,236,237,238</t>
  </si>
  <si>
    <t>set global.printing = true</t>
  </si>
  <si>
    <t>; set concrete purging variables</t>
  </si>
  <si>
    <t>set global.concretePrimeE = 1.465</t>
  </si>
  <si>
    <t>set global.concretePrimeLayer = 1</t>
  </si>
  <si>
    <t>set global.concretePrimeY = 125</t>
  </si>
  <si>
    <t>set global.concretePrimeX = 125</t>
  </si>
  <si>
    <t>set global.concretePrimeLength = 150</t>
  </si>
  <si>
    <t>LineFeat13</t>
  </si>
  <si>
    <t>19</t>
  </si>
  <si>
    <t>LineFeat14</t>
  </si>
  <si>
    <t>set global.concretePrimeZ = 2.7</t>
  </si>
  <si>
    <t>PlasticExtrusionSpacing</t>
  </si>
  <si>
    <t>PlasticExtrusionWidth</t>
  </si>
  <si>
    <t>PlasticExtrusionHeight</t>
  </si>
  <si>
    <t>PlasticLayerHeight</t>
  </si>
  <si>
    <t>PlasticPrintSpeed</t>
  </si>
  <si>
    <t>BarbSpacing</t>
  </si>
  <si>
    <t>BarbLength</t>
  </si>
  <si>
    <t>BarbRepeats</t>
  </si>
  <si>
    <t>15</t>
  </si>
  <si>
    <t>LineFeat15</t>
  </si>
  <si>
    <t>LineFeat16</t>
  </si>
  <si>
    <t>LineFeat17</t>
  </si>
  <si>
    <t>20</t>
  </si>
  <si>
    <t>LineFeat18</t>
  </si>
  <si>
    <t>22</t>
  </si>
  <si>
    <t>M109 S220</t>
  </si>
  <si>
    <t>CartesianRepFeat4 of LineFeat11</t>
  </si>
  <si>
    <t>CartesianRepFeat4 of LineFeat12</t>
  </si>
  <si>
    <t>CartesianRepFeat4 of LineFeat13</t>
  </si>
  <si>
    <t>CartesianRepFeat4 of LineFeat14</t>
  </si>
  <si>
    <t>M104 S220 T0</t>
  </si>
  <si>
    <t>G1 F1000 Y98.65 E0.606165</t>
  </si>
  <si>
    <t>25-28</t>
  </si>
  <si>
    <t>25</t>
  </si>
  <si>
    <t>26</t>
  </si>
  <si>
    <t>27</t>
  </si>
  <si>
    <t>28</t>
  </si>
  <si>
    <t>29.1-25</t>
  </si>
  <si>
    <t>29.1-26</t>
  </si>
  <si>
    <t>29.1-27</t>
  </si>
  <si>
    <t>29.1-28</t>
  </si>
  <si>
    <t>29.2-25</t>
  </si>
  <si>
    <t>29.2-26</t>
  </si>
  <si>
    <t>29.2-27</t>
  </si>
  <si>
    <t>29.2-28</t>
  </si>
  <si>
    <t>29.3-25</t>
  </si>
  <si>
    <t>29.3-26</t>
  </si>
  <si>
    <t>29.3-27</t>
  </si>
  <si>
    <t>29.3-28</t>
  </si>
  <si>
    <t>29.4-25</t>
  </si>
  <si>
    <t>29.4-26</t>
  </si>
  <si>
    <t>29.4-27</t>
  </si>
  <si>
    <t>29.4-28</t>
  </si>
  <si>
    <t>29.5-25</t>
  </si>
  <si>
    <t>29.5-26</t>
  </si>
  <si>
    <t>29.5-27</t>
  </si>
  <si>
    <t>29.5-28</t>
  </si>
  <si>
    <t>29.6-25</t>
  </si>
  <si>
    <t>29.6-26</t>
  </si>
  <si>
    <t>29.6-27</t>
  </si>
  <si>
    <t>29.6-28</t>
  </si>
  <si>
    <t>29.7-25</t>
  </si>
  <si>
    <t>29.7-26</t>
  </si>
  <si>
    <t>29.7-27</t>
  </si>
  <si>
    <t>29.7-28</t>
  </si>
  <si>
    <t>29.8-25</t>
  </si>
  <si>
    <t>29.8-26</t>
  </si>
  <si>
    <t>29.8-27</t>
  </si>
  <si>
    <t>29.8-28</t>
  </si>
  <si>
    <t>30</t>
  </si>
  <si>
    <t>31</t>
  </si>
  <si>
    <t>32</t>
  </si>
  <si>
    <t>CartesianRepFeat6 of LineFeat11</t>
  </si>
  <si>
    <t>CartesianRepFeat6 of LineFeat12</t>
  </si>
  <si>
    <t>CartesianRepFeat6 of LineFeat13</t>
  </si>
  <si>
    <t>CartesianRepFeat6 of LineFeat14</t>
  </si>
  <si>
    <t>CartesianRepFeat6 of LineFeat15</t>
  </si>
  <si>
    <t>CartesianRepFeat6 of LineFeat16</t>
  </si>
  <si>
    <t>CartesianRepFeat6 of LineFeat17</t>
  </si>
  <si>
    <t>CartesianRepFeat6 of LineFeat18</t>
  </si>
  <si>
    <t>CartesianRepFeat6 of CartesianRepFeat4 of LineFeat11</t>
  </si>
  <si>
    <t>CartesianRepFeat6 of CartesianRepFeat4 of LineFeat12</t>
  </si>
  <si>
    <t>CartesianRepFeat6 of CartesianRepFeat4 of LineFeat13</t>
  </si>
  <si>
    <t>CartesianRepFeat6 of CartesianRepFeat4 of LineFeat14</t>
  </si>
  <si>
    <t>34</t>
  </si>
  <si>
    <t>RetractionFeat1</t>
  </si>
  <si>
    <t>RebarWidth</t>
  </si>
  <si>
    <t>RebarHeight</t>
  </si>
  <si>
    <t>RebarStartHeight</t>
  </si>
  <si>
    <t>BridgeSupportWidth</t>
  </si>
  <si>
    <t>RectangleFeat1</t>
  </si>
  <si>
    <t>G1 X288.0 E2.245054</t>
  </si>
  <si>
    <t>RectangleFeat2</t>
  </si>
  <si>
    <t>M190 S0</t>
  </si>
  <si>
    <t>G1 X132.0 E2.245054</t>
  </si>
  <si>
    <t>G1 F1250 X137.0 E2.245054</t>
  </si>
  <si>
    <t>M</t>
  </si>
  <si>
    <t>S</t>
  </si>
  <si>
    <t>M106S255</t>
  </si>
  <si>
    <t>7</t>
  </si>
  <si>
    <t>G1 F1000 Y95.95 E0.606165</t>
  </si>
  <si>
    <t>CartesianRepFeat2 of LineFeat3</t>
  </si>
  <si>
    <t>CartesianRepFeat2 of LineFeat4</t>
  </si>
  <si>
    <t>G1 F1000 Y93.25 E0.606165</t>
  </si>
  <si>
    <t>G1 F1000 Y90.55 E0.606165</t>
  </si>
  <si>
    <t>G1 F1000 Y87.85 E0.606165</t>
  </si>
  <si>
    <t>G1 F1000 Y85.15 E0.606165</t>
  </si>
  <si>
    <t>G1 F1000 Y82.45 E0.606165</t>
  </si>
  <si>
    <t>G1 F1000 Y79.75 E0.606165</t>
  </si>
  <si>
    <t>G1 F1000 Y77.05 E0.606165</t>
  </si>
  <si>
    <t>G1 F1000 Y97.3 E0.606165</t>
  </si>
  <si>
    <t>G1 F1000 Y94.6 E0.606165</t>
  </si>
  <si>
    <t>G1 F1000 Y91.9 E0.606165</t>
  </si>
  <si>
    <t>G1 F1000 Y89.2 E0.606165</t>
  </si>
  <si>
    <t>G1 F1000 Y86.5 E0.606165</t>
  </si>
  <si>
    <t>G1 F1000 Y83.8 E0.606165</t>
  </si>
  <si>
    <t>G1 F1000 Y81.1 E0.606165</t>
  </si>
  <si>
    <t>G1 F1000 Y78.4 E0.606165</t>
  </si>
  <si>
    <t>G1 F1000 Y75.7 E0.606165</t>
  </si>
  <si>
    <t>G1 F1250 X283.0 E2.245054</t>
  </si>
  <si>
    <t>G0 F3000 Z5.4</t>
  </si>
  <si>
    <t>G0 F3000 X288.0 Y102.7 Z0.9</t>
  </si>
  <si>
    <t>G1 Y72.3 E13.649931</t>
  </si>
  <si>
    <t>G1 Y102.7 E13.649931</t>
  </si>
  <si>
    <t>G1 F1500 X129.3 E72.470359</t>
  </si>
  <si>
    <t>G1 F1500 X290.7 E72.470359</t>
  </si>
  <si>
    <t>BridgePrintSpeed</t>
  </si>
  <si>
    <t>G1 F0.0 E0.0</t>
  </si>
  <si>
    <t>RetractionZhop</t>
  </si>
  <si>
    <t>14</t>
  </si>
  <si>
    <t>CartesianRepFeat3 of LineFeat7</t>
  </si>
  <si>
    <t>CartesianRepFeat3 of LineFeat8</t>
  </si>
  <si>
    <t>G0 F3000.0 Z7.2</t>
  </si>
  <si>
    <t>G0 F3000.0 Z8.1</t>
  </si>
  <si>
    <t>G0 F3000.0 Z9.0</t>
  </si>
  <si>
    <t>G0 F3000.0 Z9.9</t>
  </si>
  <si>
    <t>G1 F1250 X129.3 E72.470359</t>
  </si>
  <si>
    <t>G1 F1250 X290.7 E72.470359</t>
  </si>
  <si>
    <t>RetractionFeat2</t>
  </si>
  <si>
    <t>CartesianRepFeat1 of LineFeat1</t>
  </si>
  <si>
    <t>CartesianRepFeat1 of RetractionFeat1</t>
  </si>
  <si>
    <t>CartesianRepFeat1 of LineFeat2</t>
  </si>
  <si>
    <t>CartesianRepFeat1 of RetractionFeat2</t>
  </si>
  <si>
    <t>CartesianRepFeat2 of LineFeat5</t>
  </si>
  <si>
    <t>CartesianRepFeat2 of LineFeat6</t>
  </si>
  <si>
    <t>G0 F3000 Z1.8</t>
  </si>
  <si>
    <t>G0 F3000 Z2.7</t>
  </si>
  <si>
    <t>G0 F3000 Z3.6</t>
  </si>
  <si>
    <t>G0 F3000 X132.0 Y102.7</t>
  </si>
  <si>
    <t>G1 F2100.0 E3.5</t>
  </si>
  <si>
    <t>RebarLength</t>
  </si>
  <si>
    <t>RebarRepeats</t>
  </si>
  <si>
    <t>G0 F48000 X132.0</t>
  </si>
  <si>
    <t>CartesianRepFeat3 of LineFeat9</t>
  </si>
  <si>
    <t>CartesianRepFeat3 of LineFeat10</t>
  </si>
  <si>
    <t>G1 F1250 Y100.0 E10.910965</t>
  </si>
  <si>
    <t>G1 F1000 X289.35 E0.606165</t>
  </si>
  <si>
    <t>G1 F1250 Y75.7 E10.910965</t>
  </si>
  <si>
    <t>G1 F1000 X288.0 E0.606165</t>
  </si>
  <si>
    <t>G1 F1000 X286.65 E0.606165</t>
  </si>
  <si>
    <t>G1 F1000 X285.3 E0.606165</t>
  </si>
  <si>
    <t>G1 F1000 X283.95 E0.606165</t>
  </si>
  <si>
    <t>G1 F1000 X282.6 E0.606165</t>
  </si>
  <si>
    <t>G1 F1000 X281.25 E0.606165</t>
  </si>
  <si>
    <t>G1 F1000 X279.9 E0.606165</t>
  </si>
  <si>
    <t>G1 F1000 X278.55 E0.606165</t>
  </si>
  <si>
    <t>G1 F1000 X277.2 E0.606165</t>
  </si>
  <si>
    <t>G1 F1000 X275.85 E0.606165</t>
  </si>
  <si>
    <t>G1 F1000 X274.5 E0.606165</t>
  </si>
  <si>
    <t>G1 F1000 X273.15 E0.606165</t>
  </si>
  <si>
    <t>G1 F1000 X271.8 E0.606165</t>
  </si>
  <si>
    <t>G1 F1000 X270.45 E0.606165</t>
  </si>
  <si>
    <t>G1 F1000 X269.1 E0.606165</t>
  </si>
  <si>
    <t>G1 F1000 X267.75 E0.606165</t>
  </si>
  <si>
    <t>G1 F1000 X266.4 E0.606165</t>
  </si>
  <si>
    <t>G1 F1000 X265.05 E0.606165</t>
  </si>
  <si>
    <t>G1 F1000 X263.7 E0.606165</t>
  </si>
  <si>
    <t>G1 F1000 X262.35 E0.606165</t>
  </si>
  <si>
    <t>G1 F1000 X261.0 E0.606165</t>
  </si>
  <si>
    <t>G1 F1000 X259.65 E0.606165</t>
  </si>
  <si>
    <t>G1 F1000 X258.3 E0.606165</t>
  </si>
  <si>
    <t>G1 F1000 X256.95 E0.606165</t>
  </si>
  <si>
    <t>G1 F1000 X255.6 E0.606165</t>
  </si>
  <si>
    <t>G1 F1000 X254.25 E0.606165</t>
  </si>
  <si>
    <t>G1 F1000 X252.9 E0.606165</t>
  </si>
  <si>
    <t>G1 F1000 X251.55 E0.606165</t>
  </si>
  <si>
    <t>G1 F1000 X250.2 E0.606165</t>
  </si>
  <si>
    <t>G1 F1000 X248.85 E0.606165</t>
  </si>
  <si>
    <t>G1 F1000 X247.5 E0.606165</t>
  </si>
  <si>
    <t>G1 F1000 X246.15 E0.606165</t>
  </si>
  <si>
    <t>G1 F1000 X244.8 E0.606165</t>
  </si>
  <si>
    <t>G1 F1000 X243.45 E0.606165</t>
  </si>
  <si>
    <t>G1 F1000 X242.1 E0.606165</t>
  </si>
  <si>
    <t>G1 F1000 X240.75 E0.606165</t>
  </si>
  <si>
    <t>G1 F1000 X239.4 E0.606165</t>
  </si>
  <si>
    <t>G1 F1000 X238.05 E0.606165</t>
  </si>
  <si>
    <t>G1 F1000 X236.7 E0.606165</t>
  </si>
  <si>
    <t>G1 F1000 X235.35 E0.606165</t>
  </si>
  <si>
    <t>G1 F1000 X234.0 E0.606165</t>
  </si>
  <si>
    <t>G1 F1000 X232.65 E0.606165</t>
  </si>
  <si>
    <t>G1 F1000 X231.3 E0.606165</t>
  </si>
  <si>
    <t>G1 F1000 X229.95 E0.606165</t>
  </si>
  <si>
    <t>G1 F1000 X228.6 E0.606165</t>
  </si>
  <si>
    <t>G1 F1000 X227.25 E0.606165</t>
  </si>
  <si>
    <t>G1 F1000 X225.9 E0.606165</t>
  </si>
  <si>
    <t>G1 F1000 X224.55 E0.606165</t>
  </si>
  <si>
    <t>G1 F1000 X223.2 E0.606165</t>
  </si>
  <si>
    <t>G1 F1000 X221.85 E0.606165</t>
  </si>
  <si>
    <t>G1 F1000 X220.5 E0.606165</t>
  </si>
  <si>
    <t>G1 F1000 X219.15 E0.606165</t>
  </si>
  <si>
    <t>G1 F1000 X217.8 E0.606165</t>
  </si>
  <si>
    <t>G1 F1000 X216.45 E0.606165</t>
  </si>
  <si>
    <t>G1 F1000 X215.1 E0.606165</t>
  </si>
  <si>
    <t>G1 F1000 X213.75 E0.606165</t>
  </si>
  <si>
    <t>G1 F1000 X212.4 E0.606165</t>
  </si>
  <si>
    <t>G1 F1000 X211.05 E0.606165</t>
  </si>
  <si>
    <t>G1 F1000 X209.7 E0.606165</t>
  </si>
  <si>
    <t>G1 F1000 X208.35 E0.606165</t>
  </si>
  <si>
    <t>G1 F1000 X207.0 E0.606165</t>
  </si>
  <si>
    <t>G1 F1000 X205.65 E0.606165</t>
  </si>
  <si>
    <t>G1 F1000 X204.3 E0.606165</t>
  </si>
  <si>
    <t>G1 F1000 X202.95 E0.606165</t>
  </si>
  <si>
    <t>G1 F1000 X201.6 E0.606165</t>
  </si>
  <si>
    <t>G1 F1000 X200.25 E0.606165</t>
  </si>
  <si>
    <t>G1 F1000 X198.9 E0.606165</t>
  </si>
  <si>
    <t>G1 F1000 X197.55 E0.606165</t>
  </si>
  <si>
    <t>G1 F1000 X196.2 E0.606165</t>
  </si>
  <si>
    <t>G1 F1000 X194.85 E0.606165</t>
  </si>
  <si>
    <t>G1 F1000 X193.5 E0.606165</t>
  </si>
  <si>
    <t>G1 F1000 X192.15 E0.606165</t>
  </si>
  <si>
    <t>G1 F1000 X190.8 E0.606165</t>
  </si>
  <si>
    <t>G1 F1000 X189.45 E0.606165</t>
  </si>
  <si>
    <t>G1 F1000 X188.1 E0.606165</t>
  </si>
  <si>
    <t>G1 F1000 X186.75 E0.606165</t>
  </si>
  <si>
    <t>G1 F1000 X185.4 E0.606165</t>
  </si>
  <si>
    <t>G1 F1000 X184.05 E0.606165</t>
  </si>
  <si>
    <t>G1 F1000 X182.7 E0.606165</t>
  </si>
  <si>
    <t>G1 F1000 X181.35 E0.606165</t>
  </si>
  <si>
    <t>G1 F1000 X180.0 E0.606165</t>
  </si>
  <si>
    <t>G1 F1000 X178.65 E0.606165</t>
  </si>
  <si>
    <t>G1 F1000 X177.3 E0.606165</t>
  </si>
  <si>
    <t>G1 F1000 X175.95 E0.606165</t>
  </si>
  <si>
    <t>G1 F1000 X174.6 E0.606165</t>
  </si>
  <si>
    <t>G1 F1000 X173.25 E0.606165</t>
  </si>
  <si>
    <t>G1 F1000 X171.9 E0.606165</t>
  </si>
  <si>
    <t>G1 F1000 X170.55 E0.606165</t>
  </si>
  <si>
    <t>G1 F1000 X169.2 E0.606165</t>
  </si>
  <si>
    <t>G1 F1000 X167.85 E0.606165</t>
  </si>
  <si>
    <t>G1 F1000 X166.5 E0.606165</t>
  </si>
  <si>
    <t>G1 F1000 X165.15 E0.606165</t>
  </si>
  <si>
    <t>G1 F1000 X163.8 E0.606165</t>
  </si>
  <si>
    <t>G1 F1000 X162.45 E0.606165</t>
  </si>
  <si>
    <t>G1 F1000 X161.1 E0.606165</t>
  </si>
  <si>
    <t>G1 F1000 X159.75 E0.606165</t>
  </si>
  <si>
    <t>G1 F1000 X158.4 E0.606165</t>
  </si>
  <si>
    <t>G1 F1000 X157.05 E0.606165</t>
  </si>
  <si>
    <t>G1 F1000 X155.7 E0.606165</t>
  </si>
  <si>
    <t>G1 F1000 X154.35 E0.606165</t>
  </si>
  <si>
    <t>G1 F1000 X153.0 E0.606165</t>
  </si>
  <si>
    <t>G1 F1000 X151.65 E0.606165</t>
  </si>
  <si>
    <t>G1 F1000 X150.3 E0.606165</t>
  </si>
  <si>
    <t>G1 F1000 X148.95 E0.606165</t>
  </si>
  <si>
    <t>G1 F1000 X147.6 E0.606165</t>
  </si>
  <si>
    <t>G1 F1000 X146.25 E0.606165</t>
  </si>
  <si>
    <t>G1 F1000 X144.9 E0.606165</t>
  </si>
  <si>
    <t>G1 F1000 X143.55 E0.606165</t>
  </si>
  <si>
    <t>G1 F1000 X142.2 E0.606165</t>
  </si>
  <si>
    <t>G1 F1000 X140.85 E0.606165</t>
  </si>
  <si>
    <t>G1 F1000 X139.5 E0.606165</t>
  </si>
  <si>
    <t>G1 F1000 X138.15 E0.606165</t>
  </si>
  <si>
    <t>G1 F1000 X136.8 E0.606165</t>
  </si>
  <si>
    <t>G1 F1000 X135.45 E0.606165</t>
  </si>
  <si>
    <t>G1 F1000 X134.1 E0.606165</t>
  </si>
  <si>
    <t>G1 F1000 X132.75 E0.606165</t>
  </si>
  <si>
    <t>G1 F1000 X131.4 E0.606165</t>
  </si>
  <si>
    <t>21</t>
  </si>
  <si>
    <t>RetractionFeat3</t>
  </si>
  <si>
    <t>G0 Y100.0 Z8.1</t>
  </si>
  <si>
    <t>CartesianRepFeat5 of LineFeat15</t>
  </si>
  <si>
    <t>CartesianRepFeat5 of LineFeat16</t>
  </si>
  <si>
    <t>CartesianRepFeat5 of LineFeat17</t>
  </si>
  <si>
    <t>CartesianRepFeat5 of LineFeat18</t>
  </si>
  <si>
    <t>G0 F3000 Y100.0</t>
  </si>
  <si>
    <t>G0 Y100.0 Z9.0</t>
  </si>
  <si>
    <t>CartesianRepFeat6 of CartesianRepFeat5 of LineFeat15</t>
  </si>
  <si>
    <t>CartesianRepFeat6 of CartesianRepFeat5 of LineFeat16</t>
  </si>
  <si>
    <t>CartesianRepFeat6 of CartesianRepFeat5 of LineFeat17</t>
  </si>
  <si>
    <t>CartesianRepFeat6 of CartesianRepFeat5 of LineFeat18</t>
  </si>
  <si>
    <t>G0 Y100.0 Z9.9</t>
  </si>
  <si>
    <t>M106S0</t>
  </si>
  <si>
    <t>24</t>
  </si>
  <si>
    <t>Concentric repeat</t>
  </si>
  <si>
    <t>Outside</t>
  </si>
  <si>
    <t>G0 F3000 X289.35 Y104.05</t>
  </si>
  <si>
    <t>2.1-1</t>
  </si>
  <si>
    <t>ConcentricRepeat1</t>
  </si>
  <si>
    <t>G1 F1250 X281.65 E3.457384</t>
  </si>
  <si>
    <t>G1 Y70.95 E14.862261</t>
  </si>
  <si>
    <t>G1 X289.35 E3.457384</t>
  </si>
  <si>
    <t>G1 Y104.05 E14.862261</t>
  </si>
  <si>
    <t>G0 F3000 X290.7 Y105.4</t>
  </si>
  <si>
    <t>2.2-1</t>
  </si>
  <si>
    <t>G1 F1250 X280.3 E4.669713</t>
  </si>
  <si>
    <t>G1 Y69.6 E16.07459</t>
  </si>
  <si>
    <t>G1 X290.7 E4.669713</t>
  </si>
  <si>
    <t>G1 Y105.4 E16.07459</t>
  </si>
  <si>
    <t>G0 F3000 X292.05 Y106.75</t>
  </si>
  <si>
    <t>2.3-1</t>
  </si>
  <si>
    <t>G1 F1250 X278.95 E5.882043</t>
  </si>
  <si>
    <t>G1 Y68.25 E17.28692</t>
  </si>
  <si>
    <t>G1 X292.05 E5.882043</t>
  </si>
  <si>
    <t>G1 Y106.75 E17.28692</t>
  </si>
  <si>
    <t>G0 F3000 X130.65 Y104.05</t>
  </si>
  <si>
    <t>4.1-3</t>
  </si>
  <si>
    <t>ConcentricRepeat2</t>
  </si>
  <si>
    <t>G1 F1250 Y70.95 E14.862261</t>
  </si>
  <si>
    <t>G1 X138.35 E3.457384</t>
  </si>
  <si>
    <t>G1 X130.65 E3.457384</t>
  </si>
  <si>
    <t>G0 F3000 X129.3 Y105.4</t>
  </si>
  <si>
    <t>4.2-3</t>
  </si>
  <si>
    <t>G1 F1250 Y69.6 E16.07459</t>
  </si>
  <si>
    <t>G1 X139.7 E4.669713</t>
  </si>
  <si>
    <t>G1 X129.3 E4.669713</t>
  </si>
  <si>
    <t>G0 F3000 X127.95 Y106.75</t>
  </si>
  <si>
    <t>4.3-3</t>
  </si>
  <si>
    <t>G1 F1250 Y68.25 E17.28692</t>
  </si>
  <si>
    <t>G1 X141.05 E5.882043</t>
  </si>
  <si>
    <t>G1 X127.95 E5.882043</t>
  </si>
  <si>
    <t>G0 F48000 X288.0 Y102.7 Z1.8</t>
  </si>
  <si>
    <t>G0 F3000 Z0.9</t>
  </si>
  <si>
    <t>RectangleFeat3</t>
  </si>
  <si>
    <t>RectangleFeat4</t>
  </si>
  <si>
    <t>G0 F3000 X127.95 Y106.75 Z1.8</t>
  </si>
  <si>
    <t>G0 F48000 X288.0 Y102.7 Z2.7</t>
  </si>
  <si>
    <t>CartesianRepFeat1 of RectangleFeat3</t>
  </si>
  <si>
    <t>CartesianRepFeat1 of RectangleFeat4</t>
  </si>
  <si>
    <t>G0 F3000 X127.95 Y106.75 Z2.7</t>
  </si>
  <si>
    <t>G0 F48000 X288.0 Y102.7 Z3.6</t>
  </si>
  <si>
    <t>G0 F3000 X127.95 Y106.75 Z3.6</t>
  </si>
  <si>
    <t>G0 F48000 X288.0 Y102.7 Z4.5</t>
  </si>
  <si>
    <t>5-10</t>
  </si>
  <si>
    <t>19-22</t>
  </si>
  <si>
    <t>31-34</t>
  </si>
  <si>
    <t>25-35</t>
  </si>
  <si>
    <t>11.1-5</t>
  </si>
  <si>
    <t>11.1-6</t>
  </si>
  <si>
    <t>11.1-7</t>
  </si>
  <si>
    <t>11.1-8</t>
  </si>
  <si>
    <t>11.1-9</t>
  </si>
  <si>
    <t>11.1-10</t>
  </si>
  <si>
    <t>11.2-5</t>
  </si>
  <si>
    <t>11.2-6</t>
  </si>
  <si>
    <t>11.2-7</t>
  </si>
  <si>
    <t>11.2-8</t>
  </si>
  <si>
    <t>11.2-9</t>
  </si>
  <si>
    <t>11.2-10</t>
  </si>
  <si>
    <t>11.3-5</t>
  </si>
  <si>
    <t>11.3-6</t>
  </si>
  <si>
    <t>11.3-7</t>
  </si>
  <si>
    <t>11.3-8</t>
  </si>
  <si>
    <t>11.3-9</t>
  </si>
  <si>
    <t>11.3-10</t>
  </si>
  <si>
    <t>G0 F3000 X290.7 Y100.0 Z4.5</t>
  </si>
  <si>
    <t>17.1-13</t>
  </si>
  <si>
    <t>17.1-14</t>
  </si>
  <si>
    <t>17.1-15</t>
  </si>
  <si>
    <t>17.1-16</t>
  </si>
  <si>
    <t>17.2-13</t>
  </si>
  <si>
    <t>17.2-14</t>
  </si>
  <si>
    <t>17.2-15</t>
  </si>
  <si>
    <t>17.2-16</t>
  </si>
  <si>
    <t>17.3-13</t>
  </si>
  <si>
    <t>17.3-14</t>
  </si>
  <si>
    <t>17.3-15</t>
  </si>
  <si>
    <t>17.3-16</t>
  </si>
  <si>
    <t>17.4-13</t>
  </si>
  <si>
    <t>17.4-14</t>
  </si>
  <si>
    <t>17.4-15</t>
  </si>
  <si>
    <t>17.4-16</t>
  </si>
  <si>
    <t>17.5-13</t>
  </si>
  <si>
    <t>17.5-14</t>
  </si>
  <si>
    <t>17.5-15</t>
  </si>
  <si>
    <t>17.5-16</t>
  </si>
  <si>
    <t>17.6-13</t>
  </si>
  <si>
    <t>17.6-14</t>
  </si>
  <si>
    <t>17.6-15</t>
  </si>
  <si>
    <t>17.6-16</t>
  </si>
  <si>
    <t>17.7-13</t>
  </si>
  <si>
    <t>17.7-14</t>
  </si>
  <si>
    <t>17.7-15</t>
  </si>
  <si>
    <t>17.7-16</t>
  </si>
  <si>
    <t>17.8-13</t>
  </si>
  <si>
    <t>17.8-14</t>
  </si>
  <si>
    <t>17.8-15</t>
  </si>
  <si>
    <t>17.8-16</t>
  </si>
  <si>
    <t>G0 F10000.0 Z5.4</t>
  </si>
  <si>
    <t>23.1-19</t>
  </si>
  <si>
    <t>23.1-20</t>
  </si>
  <si>
    <t>23.1-21</t>
  </si>
  <si>
    <t>23.1-22</t>
  </si>
  <si>
    <t>23.2-19</t>
  </si>
  <si>
    <t>23.2-20</t>
  </si>
  <si>
    <t>23.2-21</t>
  </si>
  <si>
    <t>23.2-22</t>
  </si>
  <si>
    <t>23.3-19</t>
  </si>
  <si>
    <t>23.3-20</t>
  </si>
  <si>
    <t>23.3-21</t>
  </si>
  <si>
    <t>23.3-22</t>
  </si>
  <si>
    <t>23.4-19</t>
  </si>
  <si>
    <t>23.4-20</t>
  </si>
  <si>
    <t>23.4-21</t>
  </si>
  <si>
    <t>23.4-22</t>
  </si>
  <si>
    <t>23.5-19</t>
  </si>
  <si>
    <t>23.5-20</t>
  </si>
  <si>
    <t>23.5-21</t>
  </si>
  <si>
    <t>23.5-22</t>
  </si>
  <si>
    <t>23.6-19</t>
  </si>
  <si>
    <t>23.6-20</t>
  </si>
  <si>
    <t>23.6-21</t>
  </si>
  <si>
    <t>23.6-22</t>
  </si>
  <si>
    <t>23.7-19</t>
  </si>
  <si>
    <t>23.7-20</t>
  </si>
  <si>
    <t>23.7-21</t>
  </si>
  <si>
    <t>23.7-22</t>
  </si>
  <si>
    <t>23.8-19</t>
  </si>
  <si>
    <t>23.8-20</t>
  </si>
  <si>
    <t>23.8-21</t>
  </si>
  <si>
    <t>23.8-22</t>
  </si>
  <si>
    <t>23.9-19</t>
  </si>
  <si>
    <t>23.9-20</t>
  </si>
  <si>
    <t>23.9-21</t>
  </si>
  <si>
    <t>23.9-22</t>
  </si>
  <si>
    <t>23.10-19</t>
  </si>
  <si>
    <t>23.10-20</t>
  </si>
  <si>
    <t>23.10-21</t>
  </si>
  <si>
    <t>23.10-22</t>
  </si>
  <si>
    <t>23.11-19</t>
  </si>
  <si>
    <t>23.11-20</t>
  </si>
  <si>
    <t>23.11-21</t>
  </si>
  <si>
    <t>23.11-22</t>
  </si>
  <si>
    <t>23.12-19</t>
  </si>
  <si>
    <t>23.12-20</t>
  </si>
  <si>
    <t>23.12-21</t>
  </si>
  <si>
    <t>23.12-22</t>
  </si>
  <si>
    <t>23.13-19</t>
  </si>
  <si>
    <t>23.13-20</t>
  </si>
  <si>
    <t>23.13-21</t>
  </si>
  <si>
    <t>23.13-22</t>
  </si>
  <si>
    <t>23.14-19</t>
  </si>
  <si>
    <t>23.14-20</t>
  </si>
  <si>
    <t>23.14-21</t>
  </si>
  <si>
    <t>23.14-22</t>
  </si>
  <si>
    <t>23.15-19</t>
  </si>
  <si>
    <t>23.15-20</t>
  </si>
  <si>
    <t>23.15-21</t>
  </si>
  <si>
    <t>23.15-22</t>
  </si>
  <si>
    <t>23.16-19</t>
  </si>
  <si>
    <t>23.16-20</t>
  </si>
  <si>
    <t>23.16-21</t>
  </si>
  <si>
    <t>23.16-22</t>
  </si>
  <si>
    <t>23.17-19</t>
  </si>
  <si>
    <t>23.17-20</t>
  </si>
  <si>
    <t>23.17-21</t>
  </si>
  <si>
    <t>23.17-22</t>
  </si>
  <si>
    <t>23.18-19</t>
  </si>
  <si>
    <t>23.18-20</t>
  </si>
  <si>
    <t>23.18-21</t>
  </si>
  <si>
    <t>23.18-22</t>
  </si>
  <si>
    <t>23.19-19</t>
  </si>
  <si>
    <t>23.19-20</t>
  </si>
  <si>
    <t>23.19-21</t>
  </si>
  <si>
    <t>23.19-22</t>
  </si>
  <si>
    <t>23.20-19</t>
  </si>
  <si>
    <t>23.20-20</t>
  </si>
  <si>
    <t>23.20-21</t>
  </si>
  <si>
    <t>23.20-22</t>
  </si>
  <si>
    <t>23.21-19</t>
  </si>
  <si>
    <t>23.21-20</t>
  </si>
  <si>
    <t>23.21-21</t>
  </si>
  <si>
    <t>23.21-22</t>
  </si>
  <si>
    <t>23.22-19</t>
  </si>
  <si>
    <t>23.22-20</t>
  </si>
  <si>
    <t>23.22-21</t>
  </si>
  <si>
    <t>23.22-22</t>
  </si>
  <si>
    <t>23.23-19</t>
  </si>
  <si>
    <t>23.23-20</t>
  </si>
  <si>
    <t>23.23-21</t>
  </si>
  <si>
    <t>23.23-22</t>
  </si>
  <si>
    <t>23.24-19</t>
  </si>
  <si>
    <t>23.24-20</t>
  </si>
  <si>
    <t>23.24-21</t>
  </si>
  <si>
    <t>23.24-22</t>
  </si>
  <si>
    <t>23.25-19</t>
  </si>
  <si>
    <t>23.25-20</t>
  </si>
  <si>
    <t>23.25-21</t>
  </si>
  <si>
    <t>23.25-22</t>
  </si>
  <si>
    <t>23.26-19</t>
  </si>
  <si>
    <t>23.26-20</t>
  </si>
  <si>
    <t>23.26-21</t>
  </si>
  <si>
    <t>23.26-22</t>
  </si>
  <si>
    <t>23.27-19</t>
  </si>
  <si>
    <t>23.27-20</t>
  </si>
  <si>
    <t>23.27-21</t>
  </si>
  <si>
    <t>23.27-22</t>
  </si>
  <si>
    <t>23.28-19</t>
  </si>
  <si>
    <t>23.28-20</t>
  </si>
  <si>
    <t>23.28-21</t>
  </si>
  <si>
    <t>23.28-22</t>
  </si>
  <si>
    <t>23.29-19</t>
  </si>
  <si>
    <t>23.29-20</t>
  </si>
  <si>
    <t>23.29-21</t>
  </si>
  <si>
    <t>23.29-22</t>
  </si>
  <si>
    <t>23.30-19</t>
  </si>
  <si>
    <t>23.30-20</t>
  </si>
  <si>
    <t>23.30-21</t>
  </si>
  <si>
    <t>23.30-22</t>
  </si>
  <si>
    <t>23.31-19</t>
  </si>
  <si>
    <t>23.31-20</t>
  </si>
  <si>
    <t>23.31-21</t>
  </si>
  <si>
    <t>23.31-22</t>
  </si>
  <si>
    <t>23.32-19</t>
  </si>
  <si>
    <t>23.32-20</t>
  </si>
  <si>
    <t>23.32-21</t>
  </si>
  <si>
    <t>23.32-22</t>
  </si>
  <si>
    <t>23.33-19</t>
  </si>
  <si>
    <t>23.33-20</t>
  </si>
  <si>
    <t>23.33-21</t>
  </si>
  <si>
    <t>23.33-22</t>
  </si>
  <si>
    <t>23.34-19</t>
  </si>
  <si>
    <t>23.34-20</t>
  </si>
  <si>
    <t>23.34-21</t>
  </si>
  <si>
    <t>23.34-22</t>
  </si>
  <si>
    <t>23.35-19</t>
  </si>
  <si>
    <t>23.35-20</t>
  </si>
  <si>
    <t>23.35-21</t>
  </si>
  <si>
    <t>23.35-22</t>
  </si>
  <si>
    <t>23.36-19</t>
  </si>
  <si>
    <t>23.36-20</t>
  </si>
  <si>
    <t>23.36-21</t>
  </si>
  <si>
    <t>23.36-22</t>
  </si>
  <si>
    <t>23.37-19</t>
  </si>
  <si>
    <t>23.37-20</t>
  </si>
  <si>
    <t>23.37-21</t>
  </si>
  <si>
    <t>23.37-22</t>
  </si>
  <si>
    <t>23.38-19</t>
  </si>
  <si>
    <t>23.38-20</t>
  </si>
  <si>
    <t>23.38-21</t>
  </si>
  <si>
    <t>23.38-22</t>
  </si>
  <si>
    <t>23.39-19</t>
  </si>
  <si>
    <t>23.39-20</t>
  </si>
  <si>
    <t>23.39-21</t>
  </si>
  <si>
    <t>23.39-22</t>
  </si>
  <si>
    <t>23.40-19</t>
  </si>
  <si>
    <t>23.40-20</t>
  </si>
  <si>
    <t>23.40-21</t>
  </si>
  <si>
    <t>23.40-22</t>
  </si>
  <si>
    <t>23.41-19</t>
  </si>
  <si>
    <t>23.41-20</t>
  </si>
  <si>
    <t>23.41-21</t>
  </si>
  <si>
    <t>23.41-22</t>
  </si>
  <si>
    <t>23.42-19</t>
  </si>
  <si>
    <t>23.42-20</t>
  </si>
  <si>
    <t>23.42-21</t>
  </si>
  <si>
    <t>23.42-22</t>
  </si>
  <si>
    <t>23.43-19</t>
  </si>
  <si>
    <t>23.43-20</t>
  </si>
  <si>
    <t>23.43-21</t>
  </si>
  <si>
    <t>23.43-22</t>
  </si>
  <si>
    <t>23.44-19</t>
  </si>
  <si>
    <t>23.44-20</t>
  </si>
  <si>
    <t>23.44-21</t>
  </si>
  <si>
    <t>23.44-22</t>
  </si>
  <si>
    <t>23.45-19</t>
  </si>
  <si>
    <t>23.45-20</t>
  </si>
  <si>
    <t>23.45-21</t>
  </si>
  <si>
    <t>23.45-22</t>
  </si>
  <si>
    <t>23.46-19</t>
  </si>
  <si>
    <t>23.46-20</t>
  </si>
  <si>
    <t>23.46-21</t>
  </si>
  <si>
    <t>23.46-22</t>
  </si>
  <si>
    <t>23.47-19</t>
  </si>
  <si>
    <t>23.47-20</t>
  </si>
  <si>
    <t>23.47-21</t>
  </si>
  <si>
    <t>23.47-22</t>
  </si>
  <si>
    <t>23.48-19</t>
  </si>
  <si>
    <t>23.48-20</t>
  </si>
  <si>
    <t>23.48-21</t>
  </si>
  <si>
    <t>23.48-22</t>
  </si>
  <si>
    <t>23.49-19</t>
  </si>
  <si>
    <t>23.49-20</t>
  </si>
  <si>
    <t>23.49-21</t>
  </si>
  <si>
    <t>23.49-22</t>
  </si>
  <si>
    <t>23.50-19</t>
  </si>
  <si>
    <t>23.50-20</t>
  </si>
  <si>
    <t>23.50-21</t>
  </si>
  <si>
    <t>23.50-22</t>
  </si>
  <si>
    <t>23.51-19</t>
  </si>
  <si>
    <t>23.51-20</t>
  </si>
  <si>
    <t>23.51-21</t>
  </si>
  <si>
    <t>23.51-22</t>
  </si>
  <si>
    <t>23.52-19</t>
  </si>
  <si>
    <t>23.52-20</t>
  </si>
  <si>
    <t>23.52-21</t>
  </si>
  <si>
    <t>23.52-22</t>
  </si>
  <si>
    <t>23.53-19</t>
  </si>
  <si>
    <t>23.53-20</t>
  </si>
  <si>
    <t>23.53-21</t>
  </si>
  <si>
    <t>23.53-22</t>
  </si>
  <si>
    <t>23.54-19</t>
  </si>
  <si>
    <t>23.54-20</t>
  </si>
  <si>
    <t>23.54-21</t>
  </si>
  <si>
    <t>23.54-22</t>
  </si>
  <si>
    <t>23.55-19</t>
  </si>
  <si>
    <t>23.55-20</t>
  </si>
  <si>
    <t>23.55-21</t>
  </si>
  <si>
    <t>23.55-22</t>
  </si>
  <si>
    <t>23.56-19</t>
  </si>
  <si>
    <t>23.56-20</t>
  </si>
  <si>
    <t>23.56-21</t>
  </si>
  <si>
    <t>23.56-22</t>
  </si>
  <si>
    <t>23.57-19</t>
  </si>
  <si>
    <t>23.57-20</t>
  </si>
  <si>
    <t>23.57-21</t>
  </si>
  <si>
    <t>23.57-22</t>
  </si>
  <si>
    <t>23.58-19</t>
  </si>
  <si>
    <t>23.58-20</t>
  </si>
  <si>
    <t>23.58-21</t>
  </si>
  <si>
    <t>23.58-22</t>
  </si>
  <si>
    <t>G0 F3000 X290.7 Y100.0 Z6.3</t>
  </si>
  <si>
    <t>RetractionFeat4</t>
  </si>
  <si>
    <t>G0 Y100.0 Z7.2</t>
  </si>
  <si>
    <t>33</t>
  </si>
  <si>
    <t>35.1-31</t>
  </si>
  <si>
    <t>35.1-32</t>
  </si>
  <si>
    <t>35.1-33</t>
  </si>
  <si>
    <t>35.1-34</t>
  </si>
  <si>
    <t>35.2-31</t>
  </si>
  <si>
    <t>35.2-32</t>
  </si>
  <si>
    <t>35.2-33</t>
  </si>
  <si>
    <t>35.2-34</t>
  </si>
  <si>
    <t>35.3-31</t>
  </si>
  <si>
    <t>35.3-32</t>
  </si>
  <si>
    <t>35.3-33</t>
  </si>
  <si>
    <t>35.3-34</t>
  </si>
  <si>
    <t>35.4-31</t>
  </si>
  <si>
    <t>35.4-32</t>
  </si>
  <si>
    <t>35.4-33</t>
  </si>
  <si>
    <t>35.4-34</t>
  </si>
  <si>
    <t>35.5-31</t>
  </si>
  <si>
    <t>35.5-32</t>
  </si>
  <si>
    <t>35.5-33</t>
  </si>
  <si>
    <t>35.5-34</t>
  </si>
  <si>
    <t>35.6-31</t>
  </si>
  <si>
    <t>35.6-32</t>
  </si>
  <si>
    <t>35.6-33</t>
  </si>
  <si>
    <t>35.6-34</t>
  </si>
  <si>
    <t>35.7-31</t>
  </si>
  <si>
    <t>35.7-32</t>
  </si>
  <si>
    <t>35.7-33</t>
  </si>
  <si>
    <t>35.7-34</t>
  </si>
  <si>
    <t>35.8-31</t>
  </si>
  <si>
    <t>35.8-32</t>
  </si>
  <si>
    <t>35.8-33</t>
  </si>
  <si>
    <t>35.8-34</t>
  </si>
  <si>
    <t>36.1-25</t>
  </si>
  <si>
    <t>36.1-26</t>
  </si>
  <si>
    <t>36.1-27</t>
  </si>
  <si>
    <t>36.1-28</t>
  </si>
  <si>
    <t>36.1-29.1-25</t>
  </si>
  <si>
    <t>36.1-29.1-26</t>
  </si>
  <si>
    <t>36.1-29.1-27</t>
  </si>
  <si>
    <t>36.1-29.1-28</t>
  </si>
  <si>
    <t>36.1-29.2-25</t>
  </si>
  <si>
    <t>36.1-29.2-26</t>
  </si>
  <si>
    <t>36.1-29.2-27</t>
  </si>
  <si>
    <t>36.1-29.2-28</t>
  </si>
  <si>
    <t>36.1-29.3-25</t>
  </si>
  <si>
    <t>36.1-29.3-26</t>
  </si>
  <si>
    <t>36.1-29.3-27</t>
  </si>
  <si>
    <t>36.1-29.3-28</t>
  </si>
  <si>
    <t>36.1-29.4-25</t>
  </si>
  <si>
    <t>36.1-29.4-26</t>
  </si>
  <si>
    <t>36.1-29.4-27</t>
  </si>
  <si>
    <t>36.1-29.4-28</t>
  </si>
  <si>
    <t>36.1-29.5-25</t>
  </si>
  <si>
    <t>36.1-29.5-26</t>
  </si>
  <si>
    <t>36.1-29.5-27</t>
  </si>
  <si>
    <t>36.1-29.5-28</t>
  </si>
  <si>
    <t>36.1-29.6-25</t>
  </si>
  <si>
    <t>36.1-29.6-26</t>
  </si>
  <si>
    <t>36.1-29.6-27</t>
  </si>
  <si>
    <t>36.1-29.6-28</t>
  </si>
  <si>
    <t>36.1-29.7-25</t>
  </si>
  <si>
    <t>36.1-29.7-26</t>
  </si>
  <si>
    <t>36.1-29.7-27</t>
  </si>
  <si>
    <t>36.1-29.7-28</t>
  </si>
  <si>
    <t>36.1-29.8-25</t>
  </si>
  <si>
    <t>36.1-29.8-26</t>
  </si>
  <si>
    <t>36.1-29.8-27</t>
  </si>
  <si>
    <t>36.1-29.8-28</t>
  </si>
  <si>
    <t>36.1-30</t>
  </si>
  <si>
    <t>CartesianRepFeat6 of RetractionFeat4</t>
  </si>
  <si>
    <t>36.1-31</t>
  </si>
  <si>
    <t>36.1-32</t>
  </si>
  <si>
    <t>36.1-33</t>
  </si>
  <si>
    <t>36.1-34</t>
  </si>
  <si>
    <t>36.1-35.1-31</t>
  </si>
  <si>
    <t>36.1-35.1-32</t>
  </si>
  <si>
    <t>36.1-35.1-33</t>
  </si>
  <si>
    <t>36.1-35.1-34</t>
  </si>
  <si>
    <t>36.1-35.2-31</t>
  </si>
  <si>
    <t>36.1-35.2-32</t>
  </si>
  <si>
    <t>36.1-35.2-33</t>
  </si>
  <si>
    <t>36.1-35.2-34</t>
  </si>
  <si>
    <t>36.1-35.3-31</t>
  </si>
  <si>
    <t>36.1-35.3-32</t>
  </si>
  <si>
    <t>36.1-35.3-33</t>
  </si>
  <si>
    <t>36.1-35.3-34</t>
  </si>
  <si>
    <t>36.1-35.4-31</t>
  </si>
  <si>
    <t>36.1-35.4-32</t>
  </si>
  <si>
    <t>36.1-35.4-33</t>
  </si>
  <si>
    <t>36.1-35.4-34</t>
  </si>
  <si>
    <t>36.1-35.5-31</t>
  </si>
  <si>
    <t>36.1-35.5-32</t>
  </si>
  <si>
    <t>36.1-35.5-33</t>
  </si>
  <si>
    <t>36.1-35.5-34</t>
  </si>
  <si>
    <t>36.1-35.6-31</t>
  </si>
  <si>
    <t>36.1-35.6-32</t>
  </si>
  <si>
    <t>36.1-35.6-33</t>
  </si>
  <si>
    <t>36.1-35.6-34</t>
  </si>
  <si>
    <t>36.1-35.7-31</t>
  </si>
  <si>
    <t>36.1-35.7-32</t>
  </si>
  <si>
    <t>36.1-35.7-33</t>
  </si>
  <si>
    <t>36.1-35.7-34</t>
  </si>
  <si>
    <t>36.1-35.8-31</t>
  </si>
  <si>
    <t>36.1-35.8-32</t>
  </si>
  <si>
    <t>36.1-35.8-33</t>
  </si>
  <si>
    <t>36.1-35.8-34</t>
  </si>
  <si>
    <t>36.2-25</t>
  </si>
  <si>
    <t>36.2-26</t>
  </si>
  <si>
    <t>36.2-27</t>
  </si>
  <si>
    <t>36.2-28</t>
  </si>
  <si>
    <t>36.2-29.1-25</t>
  </si>
  <si>
    <t>36.2-29.1-26</t>
  </si>
  <si>
    <t>36.2-29.1-27</t>
  </si>
  <si>
    <t>36.2-29.1-28</t>
  </si>
  <si>
    <t>36.2-29.2-25</t>
  </si>
  <si>
    <t>36.2-29.2-26</t>
  </si>
  <si>
    <t>36.2-29.2-27</t>
  </si>
  <si>
    <t>36.2-29.2-28</t>
  </si>
  <si>
    <t>36.2-29.3-25</t>
  </si>
  <si>
    <t>36.2-29.3-26</t>
  </si>
  <si>
    <t>36.2-29.3-27</t>
  </si>
  <si>
    <t>36.2-29.3-28</t>
  </si>
  <si>
    <t>36.2-29.4-25</t>
  </si>
  <si>
    <t>36.2-29.4-26</t>
  </si>
  <si>
    <t>36.2-29.4-27</t>
  </si>
  <si>
    <t>36.2-29.4-28</t>
  </si>
  <si>
    <t>36.2-29.5-25</t>
  </si>
  <si>
    <t>36.2-29.5-26</t>
  </si>
  <si>
    <t>36.2-29.5-27</t>
  </si>
  <si>
    <t>36.2-29.5-28</t>
  </si>
  <si>
    <t>36.2-29.6-25</t>
  </si>
  <si>
    <t>36.2-29.6-26</t>
  </si>
  <si>
    <t>36.2-29.6-27</t>
  </si>
  <si>
    <t>36.2-29.6-28</t>
  </si>
  <si>
    <t>36.2-29.7-25</t>
  </si>
  <si>
    <t>36.2-29.7-26</t>
  </si>
  <si>
    <t>36.2-29.7-27</t>
  </si>
  <si>
    <t>36.2-29.7-28</t>
  </si>
  <si>
    <t>36.2-29.8-25</t>
  </si>
  <si>
    <t>36.2-29.8-26</t>
  </si>
  <si>
    <t>36.2-29.8-27</t>
  </si>
  <si>
    <t>36.2-29.8-28</t>
  </si>
  <si>
    <t>36.2-30</t>
  </si>
  <si>
    <t>36.2-31</t>
  </si>
  <si>
    <t>36.2-32</t>
  </si>
  <si>
    <t>36.2-33</t>
  </si>
  <si>
    <t>36.2-34</t>
  </si>
  <si>
    <t>36.2-35.1-31</t>
  </si>
  <si>
    <t>36.2-35.1-32</t>
  </si>
  <si>
    <t>36.2-35.1-33</t>
  </si>
  <si>
    <t>36.2-35.1-34</t>
  </si>
  <si>
    <t>36.2-35.2-31</t>
  </si>
  <si>
    <t>36.2-35.2-32</t>
  </si>
  <si>
    <t>36.2-35.2-33</t>
  </si>
  <si>
    <t>36.2-35.2-34</t>
  </si>
  <si>
    <t>36.2-35.3-31</t>
  </si>
  <si>
    <t>36.2-35.3-32</t>
  </si>
  <si>
    <t>36.2-35.3-33</t>
  </si>
  <si>
    <t>36.2-35.3-34</t>
  </si>
  <si>
    <t>36.2-35.4-31</t>
  </si>
  <si>
    <t>36.2-35.4-32</t>
  </si>
  <si>
    <t>36.2-35.4-33</t>
  </si>
  <si>
    <t>36.2-35.4-34</t>
  </si>
  <si>
    <t>36.2-35.5-31</t>
  </si>
  <si>
    <t>36.2-35.5-32</t>
  </si>
  <si>
    <t>36.2-35.5-33</t>
  </si>
  <si>
    <t>36.2-35.5-34</t>
  </si>
  <si>
    <t>36.2-35.6-31</t>
  </si>
  <si>
    <t>36.2-35.6-32</t>
  </si>
  <si>
    <t>36.2-35.6-33</t>
  </si>
  <si>
    <t>36.2-35.6-34</t>
  </si>
  <si>
    <t>36.2-35.7-31</t>
  </si>
  <si>
    <t>36.2-35.7-32</t>
  </si>
  <si>
    <t>36.2-35.7-33</t>
  </si>
  <si>
    <t>36.2-35.7-34</t>
  </si>
  <si>
    <t>36.2-35.8-31</t>
  </si>
  <si>
    <t>36.2-35.8-32</t>
  </si>
  <si>
    <t>36.2-35.8-33</t>
  </si>
  <si>
    <t>36.2-35.8-34</t>
  </si>
  <si>
    <t>36.3-25</t>
  </si>
  <si>
    <t>36.3-26</t>
  </si>
  <si>
    <t>36.3-27</t>
  </si>
  <si>
    <t>36.3-28</t>
  </si>
  <si>
    <t>36.3-29.1-25</t>
  </si>
  <si>
    <t>36.3-29.1-26</t>
  </si>
  <si>
    <t>36.3-29.1-27</t>
  </si>
  <si>
    <t>36.3-29.1-28</t>
  </si>
  <si>
    <t>36.3-29.2-25</t>
  </si>
  <si>
    <t>36.3-29.2-26</t>
  </si>
  <si>
    <t>36.3-29.2-27</t>
  </si>
  <si>
    <t>36.3-29.2-28</t>
  </si>
  <si>
    <t>36.3-29.3-25</t>
  </si>
  <si>
    <t>36.3-29.3-26</t>
  </si>
  <si>
    <t>36.3-29.3-27</t>
  </si>
  <si>
    <t>36.3-29.3-28</t>
  </si>
  <si>
    <t>36.3-29.4-25</t>
  </si>
  <si>
    <t>36.3-29.4-26</t>
  </si>
  <si>
    <t>36.3-29.4-27</t>
  </si>
  <si>
    <t>36.3-29.4-28</t>
  </si>
  <si>
    <t>36.3-29.5-25</t>
  </si>
  <si>
    <t>36.3-29.5-26</t>
  </si>
  <si>
    <t>36.3-29.5-27</t>
  </si>
  <si>
    <t>36.3-29.5-28</t>
  </si>
  <si>
    <t>36.3-29.6-25</t>
  </si>
  <si>
    <t>36.3-29.6-26</t>
  </si>
  <si>
    <t>36.3-29.6-27</t>
  </si>
  <si>
    <t>36.3-29.6-28</t>
  </si>
  <si>
    <t>36.3-29.7-25</t>
  </si>
  <si>
    <t>36.3-29.7-26</t>
  </si>
  <si>
    <t>36.3-29.7-27</t>
  </si>
  <si>
    <t>36.3-29.7-28</t>
  </si>
  <si>
    <t>36.3-29.8-25</t>
  </si>
  <si>
    <t>36.3-29.8-26</t>
  </si>
  <si>
    <t>36.3-29.8-27</t>
  </si>
  <si>
    <t>36.3-29.8-28</t>
  </si>
  <si>
    <t>36.3-30</t>
  </si>
  <si>
    <t>36.3-31</t>
  </si>
  <si>
    <t>36.3-32</t>
  </si>
  <si>
    <t>36.3-33</t>
  </si>
  <si>
    <t>36.3-34</t>
  </si>
  <si>
    <t>36.3-35.1-31</t>
  </si>
  <si>
    <t>36.3-35.1-32</t>
  </si>
  <si>
    <t>36.3-35.1-33</t>
  </si>
  <si>
    <t>36.3-35.1-34</t>
  </si>
  <si>
    <t>36.3-35.2-31</t>
  </si>
  <si>
    <t>36.3-35.2-32</t>
  </si>
  <si>
    <t>36.3-35.2-33</t>
  </si>
  <si>
    <t>36.3-35.2-34</t>
  </si>
  <si>
    <t>36.3-35.3-31</t>
  </si>
  <si>
    <t>36.3-35.3-32</t>
  </si>
  <si>
    <t>36.3-35.3-33</t>
  </si>
  <si>
    <t>36.3-35.3-34</t>
  </si>
  <si>
    <t>36.3-35.4-31</t>
  </si>
  <si>
    <t>36.3-35.4-32</t>
  </si>
  <si>
    <t>36.3-35.4-33</t>
  </si>
  <si>
    <t>36.3-35.4-34</t>
  </si>
  <si>
    <t>36.3-35.5-31</t>
  </si>
  <si>
    <t>36.3-35.5-32</t>
  </si>
  <si>
    <t>36.3-35.5-33</t>
  </si>
  <si>
    <t>36.3-35.5-34</t>
  </si>
  <si>
    <t>36.3-35.6-31</t>
  </si>
  <si>
    <t>36.3-35.6-32</t>
  </si>
  <si>
    <t>36.3-35.6-33</t>
  </si>
  <si>
    <t>36.3-35.6-34</t>
  </si>
  <si>
    <t>36.3-35.7-31</t>
  </si>
  <si>
    <t>36.3-35.7-32</t>
  </si>
  <si>
    <t>36.3-35.7-33</t>
  </si>
  <si>
    <t>36.3-35.7-34</t>
  </si>
  <si>
    <t>36.3-35.8-31</t>
  </si>
  <si>
    <t>36.3-35.8-32</t>
  </si>
  <si>
    <t>36.3-35.8-33</t>
  </si>
  <si>
    <t>36.3-35.8-34</t>
  </si>
  <si>
    <t>1st Rebar Support with Skirt</t>
  </si>
  <si>
    <t>2nd Rebar Support with Skirt</t>
  </si>
  <si>
    <t>Travel and unretract to 2nd layer of 1st rebar support</t>
  </si>
  <si>
    <t>2nd layer of 1st rebar support</t>
  </si>
  <si>
    <t>Travel and unretract to 2nd layer of 2nd rebar support</t>
  </si>
  <si>
    <t>2nd layer of 2nd rebar support</t>
  </si>
  <si>
    <t>Turn on part fan for bridging</t>
  </si>
  <si>
    <t>Rebar Bridge</t>
  </si>
  <si>
    <t>Rebar bridge cross hatch</t>
  </si>
  <si>
    <t>Rest of rebar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</si>
</sst>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51">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2" borderId="1" xfId="0" applyNumberFormat="1" applyFill="1" applyBorder="1"/>
    <xf numFmtId="0" fontId="0" fillId="4" borderId="1" xfId="0" applyNumberFormat="1" applyFill="1" applyBorder="1"/>
    <xf numFmtId="49" fontId="0" fillId="6" borderId="1" xfId="0" applyNumberFormat="1" applyFill="1" applyBorder="1"/>
    <xf numFmtId="0" fontId="0" fillId="6" borderId="1" xfId="0" applyNumberFormat="1" applyFill="1" applyBorder="1"/>
    <xf numFmtId="0" fontId="0" fillId="13" borderId="0" xfId="0" applyFill="1"/>
    <xf numFmtId="49" fontId="0" fillId="11" borderId="1" xfId="0" applyNumberFormat="1" applyFill="1" applyBorder="1"/>
    <xf numFmtId="0" fontId="0" fillId="13" borderId="1" xfId="0" applyNumberFormat="1" applyFill="1" applyBorder="1"/>
    <xf numFmtId="0" fontId="0" fillId="11" borderId="1" xfId="0" applyNumberFormat="1" applyFill="1" applyBorder="1"/>
    <xf numFmtId="0" fontId="0" fillId="5" borderId="1" xfId="0" applyNumberFormat="1" applyFill="1" applyBorder="1"/>
    <xf numFmtId="0" fontId="0" fillId="0" borderId="0" xfId="0" applyNumberFormat="1"/>
    <xf numFmtId="0" fontId="2" fillId="0" borderId="0" xfId="0" applyNumberFormat="1" applyFont="1"/>
    <xf numFmtId="0" fontId="1" fillId="0" borderId="0" xfId="0" applyNumberFormat="1" applyFont="1" applyAlignment="1"/>
    <xf numFmtId="0" fontId="2" fillId="0" borderId="0" xfId="0" applyNumberFormat="1" applyFont="1" applyAlignment="1"/>
    <xf numFmtId="0" fontId="0" fillId="0" borderId="0" xfId="0" applyNumberFormat="1" applyAlignment="1"/>
    <xf numFmtId="0" fontId="1" fillId="0" borderId="0" xfId="0" applyNumberFormat="1" applyFont="1"/>
    <xf numFmtId="0" fontId="0" fillId="7" borderId="1" xfId="0" applyNumberFormat="1" applyFill="1" applyBorder="1"/>
    <xf numFmtId="16" fontId="0" fillId="7" borderId="1" xfId="0" applyNumberFormat="1" applyFill="1" applyBorder="1"/>
    <xf numFmtId="0" fontId="0" fillId="12" borderId="1" xfId="0" applyNumberFormat="1"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NumberFormat="1" applyFont="1" applyFill="1" applyBorder="1"/>
    <xf numFmtId="0" fontId="0" fillId="8" borderId="1" xfId="0" applyNumberFormat="1" applyFill="1" applyBorder="1"/>
    <xf numFmtId="0" fontId="0" fillId="10" borderId="1" xfId="0" applyNumberFormat="1" applyFill="1" applyBorder="1"/>
    <xf numFmtId="0" fontId="2" fillId="0" borderId="0" xfId="0" applyNumberFormat="1"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NumberFormat="1" applyFont="1"/>
    <xf numFmtId="0" fontId="12" fillId="0" borderId="0" xfId="0" applyNumberFormat="1" applyFont="1" applyAlignment="1">
      <alignment wrapText="1"/>
    </xf>
    <xf numFmtId="0" fontId="13" fillId="0" borderId="0" xfId="0" applyNumberFormat="1" applyFont="1"/>
    <xf numFmtId="0" fontId="14" fillId="0" borderId="0" xfId="0" applyNumberFormat="1" applyFont="1"/>
    <xf numFmtId="0" fontId="6" fillId="0" borderId="0" xfId="0" applyNumberFormat="1" applyFont="1"/>
    <xf numFmtId="0" fontId="12" fillId="0" borderId="0" xfId="0" applyNumberFormat="1" applyFont="1" applyAlignment="1"/>
    <xf numFmtId="0" fontId="18" fillId="3" borderId="1" xfId="0" applyFont="1" applyFill="1" applyBorder="1"/>
    <xf numFmtId="0" fontId="5" fillId="2" borderId="1" xfId="0" applyFont="1" applyFill="1" applyBorder="1"/>
    <xf numFmtId="0" fontId="0" fillId="14" borderId="0" xfId="0" applyFill="1"/>
    <xf numFmtId="49" fontId="0" fillId="0" borderId="0" xfId="0" applyNumberFormat="1"/>
    <xf numFmtId="0" fontId="11" fillId="0" borderId="0" xfId="0" applyNumberFormat="1" applyFont="1" applyAlignment="1">
      <alignment wrapText="1"/>
    </xf>
    <xf numFmtId="0" fontId="6" fillId="0" borderId="0" xfId="0" applyFont="1"/>
    <xf numFmtId="0" fontId="19" fillId="0" borderId="0" xfId="0" applyNumberFormat="1" applyFont="1"/>
    <xf numFmtId="0" fontId="19" fillId="0" borderId="0" xfId="0" applyFont="1"/>
    <xf numFmtId="0" fontId="19" fillId="0" borderId="0" xfId="0" applyNumberFormat="1" applyFont="1" applyAlignment="1"/>
    <xf numFmtId="0" fontId="15" fillId="0" borderId="0" xfId="0" applyNumberFormat="1" applyFont="1" applyAlignment="1">
      <alignment wrapText="1"/>
    </xf>
    <xf numFmtId="0" fontId="6" fillId="0" borderId="0" xfId="0" applyNumberFormat="1" applyFont="1" applyAlignment="1"/>
    <xf numFmtId="0" fontId="20" fillId="0" borderId="0" xfId="0" applyNumberFormat="1" applyFont="1"/>
    <xf numFmtId="0" fontId="21" fillId="0" borderId="0" xfId="0" applyNumberFormat="1"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NumberFormat="1" applyFont="1"/>
    <xf numFmtId="0" fontId="3" fillId="15" borderId="1" xfId="0" applyFont="1" applyFill="1" applyBorder="1"/>
    <xf numFmtId="0" fontId="4" fillId="3" borderId="2" xfId="0" applyFont="1" applyFill="1" applyBorder="1"/>
    <xf numFmtId="0" fontId="0" fillId="15" borderId="0" xfId="0" applyFill="1" applyBorder="1"/>
    <xf numFmtId="0" fontId="0" fillId="0" borderId="0" xfId="0" applyNumberFormat="1" applyProtection="1">
      <protection locked="0"/>
    </xf>
    <xf numFmtId="0" fontId="0" fillId="0" borderId="0" xfId="0" applyProtection="1">
      <protection locked="0"/>
    </xf>
    <xf numFmtId="0" fontId="1" fillId="0" borderId="0" xfId="0" applyNumberFormat="1" applyFont="1" applyProtection="1">
      <protection locked="0"/>
    </xf>
    <xf numFmtId="0" fontId="4" fillId="0" borderId="0" xfId="0" applyNumberFormat="1" applyFont="1" applyProtection="1">
      <protection locked="0"/>
    </xf>
    <xf numFmtId="0" fontId="11" fillId="0" borderId="0" xfId="0" applyNumberFormat="1" applyFont="1" applyProtection="1">
      <protection locked="0"/>
    </xf>
    <xf numFmtId="0" fontId="0" fillId="0" borderId="0" xfId="0" applyNumberFormat="1" applyBorder="1" applyProtection="1">
      <protection locked="0"/>
    </xf>
    <xf numFmtId="0" fontId="0" fillId="0" borderId="0" xfId="0" applyBorder="1" applyProtection="1">
      <protection locked="0"/>
    </xf>
    <xf numFmtId="0" fontId="1" fillId="0" borderId="0" xfId="0" applyNumberFormat="1" applyFont="1" applyBorder="1" applyProtection="1">
      <protection locked="0"/>
    </xf>
    <xf numFmtId="0" fontId="0" fillId="0" borderId="0" xfId="0" applyNumberFormat="1" applyBorder="1" applyAlignment="1" applyProtection="1">
      <alignment wrapText="1"/>
      <protection locked="0"/>
    </xf>
    <xf numFmtId="0" fontId="4" fillId="0" borderId="0" xfId="0" applyFont="1"/>
    <xf numFmtId="0" fontId="11" fillId="3" borderId="1" xfId="0" applyFont="1" applyFill="1" applyBorder="1"/>
    <xf numFmtId="0" fontId="4" fillId="0" borderId="0" xfId="0" applyNumberFormat="1" applyFont="1"/>
    <xf numFmtId="0" fontId="4" fillId="15" borderId="1" xfId="0" applyFont="1" applyFill="1" applyBorder="1"/>
    <xf numFmtId="0" fontId="0" fillId="0" borderId="0" xfId="0" applyNumberFormat="1" applyAlignment="1" applyProtection="1">
      <alignment horizontal="left"/>
      <protection locked="0"/>
    </xf>
    <xf numFmtId="0" fontId="0" fillId="0" borderId="0" xfId="0" applyNumberFormat="1"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NumberFormat="1" applyFont="1" applyFill="1" applyBorder="1"/>
    <xf numFmtId="0" fontId="0" fillId="2" borderId="1" xfId="0" quotePrefix="1" applyNumberFormat="1" applyFill="1" applyBorder="1"/>
    <xf numFmtId="0" fontId="23" fillId="2" borderId="1" xfId="0" applyNumberFormat="1" applyFont="1" applyFill="1" applyBorder="1"/>
    <xf numFmtId="0" fontId="13" fillId="3" borderId="1" xfId="0" applyNumberFormat="1" applyFont="1" applyFill="1" applyBorder="1"/>
    <xf numFmtId="0" fontId="0" fillId="3" borderId="1" xfId="0" applyNumberFormat="1" applyFill="1" applyBorder="1"/>
    <xf numFmtId="0" fontId="0" fillId="3" borderId="1" xfId="0" quotePrefix="1" applyNumberFormat="1" applyFill="1" applyBorder="1"/>
    <xf numFmtId="0" fontId="23" fillId="8" borderId="1" xfId="0" applyNumberFormat="1" applyFont="1" applyFill="1" applyBorder="1"/>
    <xf numFmtId="0" fontId="0" fillId="8" borderId="1" xfId="0" quotePrefix="1" applyNumberFormat="1" applyFill="1" applyBorder="1"/>
    <xf numFmtId="0" fontId="13" fillId="10" borderId="1" xfId="0" applyNumberFormat="1" applyFont="1" applyFill="1" applyBorder="1"/>
    <xf numFmtId="0" fontId="0" fillId="10" borderId="1" xfId="0" quotePrefix="1" applyNumberFormat="1" applyFill="1" applyBorder="1"/>
    <xf numFmtId="0" fontId="15" fillId="0" borderId="0" xfId="0" applyNumberFormat="1" applyFont="1" applyAlignment="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1" fillId="0" borderId="0" xfId="0" applyFont="1"/>
    <xf numFmtId="0" fontId="12" fillId="0" borderId="0" xfId="0" applyFont="1"/>
    <xf numFmtId="0" fontId="14" fillId="0" borderId="0" xfId="0" applyFont="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14" fillId="0" borderId="0" xfId="0" applyNumberFormat="1" applyFont="1" applyAlignment="1">
      <alignment wrapText="1"/>
    </xf>
    <xf numFmtId="0" fontId="0" fillId="0" borderId="0" xfId="0" applyFont="1"/>
    <xf numFmtId="0" fontId="13" fillId="2" borderId="1" xfId="0" applyFont="1" applyFill="1" applyBorder="1"/>
    <xf numFmtId="0" fontId="23" fillId="2" borderId="1" xfId="0" applyFont="1" applyFill="1" applyBorder="1"/>
    <xf numFmtId="0" fontId="0" fillId="0" borderId="0" xfId="0" quotePrefix="1"/>
    <xf numFmtId="0" fontId="17" fillId="0" borderId="0" xfId="0" applyNumberFormat="1" applyFont="1" applyBorder="1" applyAlignment="1" applyProtection="1">
      <alignment horizontal="left" wrapText="1"/>
      <protection locked="0"/>
    </xf>
    <xf numFmtId="0" fontId="16" fillId="0" borderId="0" xfId="0" applyNumberFormat="1" applyFont="1" applyBorder="1" applyAlignment="1" applyProtection="1">
      <alignment horizontal="left" wrapText="1"/>
      <protection locked="0"/>
    </xf>
    <xf numFmtId="0" fontId="0" fillId="2" borderId="0" xfId="0" applyNumberFormat="1" applyFill="1"/>
    <xf numFmtId="0" fontId="0" fillId="2" borderId="0" xfId="0" applyNumberFormat="1" applyFill="1" applyBorder="1"/>
    <xf numFmtId="0" fontId="12" fillId="0" borderId="0" xfId="0" applyNumberFormat="1" applyFont="1" applyAlignment="1">
      <alignment horizontal="left" wrapText="1"/>
    </xf>
    <xf numFmtId="0" fontId="19" fillId="0" borderId="0" xfId="0" applyNumberFormat="1" applyFont="1" applyAlignment="1">
      <alignment horizontal="left" wrapText="1"/>
    </xf>
  </cellXfs>
  <cellStyles count="2">
    <cellStyle name="Hyperlink" xfId="1" builtinId="8"/>
    <cellStyle name="Normal"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33CCCC"/>
      <color rgb="FF000000"/>
      <color rgb="FFFF00FF"/>
      <color rgb="FF008000"/>
      <color rgb="FF00FF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3348157" cy="2020449"/>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Heron02b</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65"/>
  <sheetViews>
    <sheetView showGridLines="0" tabSelected="1" zoomScale="80" zoomScaleNormal="80" workbookViewId="0">
      <pane ySplit="1" topLeftCell="A2" activePane="bottomLeft" state="frozen"/>
      <selection activeCell="G268" sqref="G268"/>
      <selection pane="bottomLeft" activeCell="K24" sqref="K24"/>
    </sheetView>
  </sheetViews>
  <sheetFormatPr defaultColWidth="8.85546875" defaultRowHeight="15" x14ac:dyDescent="0.25"/>
  <cols>
    <col min="1" max="1" width="9.140625" style="80" customWidth="1"/>
    <col min="2" max="2" width="19.140625" style="80" customWidth="1"/>
    <col min="3" max="6" width="12.140625" style="80" customWidth="1"/>
    <col min="7" max="7" width="21.140625" style="80" customWidth="1"/>
    <col min="8" max="16" width="12.140625" style="80" customWidth="1"/>
    <col min="17" max="17" width="67.85546875" style="80" customWidth="1"/>
    <col min="18" max="18" width="3.42578125" style="80" customWidth="1"/>
    <col min="19" max="19" width="32.140625" style="80" bestFit="1" customWidth="1"/>
    <col min="20" max="20" width="19.7109375" style="80" customWidth="1"/>
    <col min="21" max="21" width="20" style="80" bestFit="1" customWidth="1"/>
    <col min="22" max="16384" width="8.85546875" style="80"/>
  </cols>
  <sheetData>
    <row r="1" spans="1:40" s="85" customFormat="1" ht="122.25" customHeight="1" x14ac:dyDescent="0.3">
      <c r="B1" s="145"/>
      <c r="C1" s="146"/>
      <c r="D1" s="146"/>
      <c r="E1" s="146"/>
      <c r="F1" s="146"/>
      <c r="G1" s="86"/>
      <c r="L1" s="87"/>
      <c r="S1" s="88"/>
    </row>
    <row r="2" spans="1:40" s="85" customFormat="1" x14ac:dyDescent="0.25">
      <c r="C2" s="87"/>
      <c r="E2" s="87"/>
    </row>
    <row r="3" spans="1:40" x14ac:dyDescent="0.25">
      <c r="F3" s="82"/>
      <c r="H3" s="83"/>
      <c r="I3" s="80" t="s">
        <v>484</v>
      </c>
      <c r="M3" s="83"/>
      <c r="O3" s="83"/>
    </row>
    <row r="4" spans="1:40" x14ac:dyDescent="0.25">
      <c r="M4" s="84"/>
    </row>
    <row r="5" spans="1:40" x14ac:dyDescent="0.25">
      <c r="T5" s="94" t="s">
        <v>131</v>
      </c>
      <c r="U5" s="93">
        <f>COUNTA(RecycleBin!#REF!)</f>
        <v>1</v>
      </c>
      <c r="V5" s="85"/>
    </row>
    <row r="6" spans="1:40" s="81" customFormat="1" x14ac:dyDescent="0.25">
      <c r="A6" s="58" t="s">
        <v>129</v>
      </c>
      <c r="B6" s="2"/>
      <c r="C6" s="58" t="s">
        <v>128</v>
      </c>
      <c r="D6" s="2" t="s">
        <v>617</v>
      </c>
      <c r="E6"/>
      <c r="F6"/>
      <c r="G6"/>
      <c r="H6"/>
      <c r="I6"/>
      <c r="J6"/>
      <c r="K6"/>
      <c r="L6"/>
      <c r="M6"/>
      <c r="N6"/>
      <c r="O6"/>
      <c r="P6"/>
      <c r="Q6"/>
      <c r="R6"/>
      <c r="S6"/>
      <c r="T6"/>
      <c r="U6" s="89"/>
      <c r="V6"/>
      <c r="W6"/>
      <c r="X6"/>
      <c r="Y6"/>
      <c r="Z6"/>
      <c r="AA6"/>
      <c r="AB6"/>
      <c r="AC6"/>
      <c r="AD6"/>
      <c r="AE6"/>
      <c r="AF6"/>
      <c r="AG6"/>
      <c r="AH6"/>
      <c r="AI6"/>
      <c r="AJ6"/>
      <c r="AK6"/>
      <c r="AL6"/>
      <c r="AM6"/>
      <c r="AN6"/>
    </row>
    <row r="7" spans="1:40" s="81" customFormat="1" x14ac:dyDescent="0.25">
      <c r="A7" s="40" t="s">
        <v>0</v>
      </c>
      <c r="B7" s="2"/>
      <c r="C7" s="2"/>
      <c r="D7" s="2"/>
      <c r="E7" s="2"/>
      <c r="F7" s="2"/>
      <c r="G7" s="2"/>
      <c r="H7" s="2"/>
      <c r="I7" s="2"/>
      <c r="J7" s="2"/>
      <c r="K7" s="2"/>
      <c r="L7" s="2"/>
      <c r="M7" s="2"/>
      <c r="N7" s="2"/>
      <c r="O7" s="2"/>
      <c r="P7" s="2"/>
      <c r="Q7" s="58" t="s">
        <v>289</v>
      </c>
      <c r="R7"/>
      <c r="S7"/>
      <c r="T7"/>
      <c r="U7" s="89"/>
      <c r="V7"/>
      <c r="W7"/>
      <c r="X7"/>
      <c r="Y7"/>
      <c r="Z7"/>
      <c r="AA7"/>
      <c r="AB7"/>
      <c r="AC7"/>
      <c r="AD7"/>
      <c r="AE7"/>
      <c r="AF7"/>
      <c r="AG7"/>
      <c r="AH7"/>
      <c r="AI7"/>
      <c r="AJ7"/>
      <c r="AK7"/>
      <c r="AL7"/>
      <c r="AM7"/>
      <c r="AN7"/>
    </row>
    <row r="8" spans="1:40" s="81" customFormat="1" x14ac:dyDescent="0.25">
      <c r="A8" s="2">
        <v>1</v>
      </c>
      <c r="B8" s="2" t="s">
        <v>9</v>
      </c>
      <c r="C8" s="2">
        <f>StartX+BridgeSupportWidth+2*ConcreteExtrusionSpacing</f>
        <v>288</v>
      </c>
      <c r="D8" s="2">
        <f>StartY+2*PlasticExtrusionSpacing</f>
        <v>102.7</v>
      </c>
      <c r="E8" s="2">
        <f>StartX+2*ConcreteExtrusionSpacing</f>
        <v>283</v>
      </c>
      <c r="F8" s="2">
        <f>StartY-(RebarWidth+2*PlasticExtrusionSpacing)</f>
        <v>72.3</v>
      </c>
      <c r="G8" s="2">
        <f>-(Zoffset-PlasticLayerHeight)</f>
        <v>-1.8000000000000003</v>
      </c>
      <c r="H8" s="2" t="s">
        <v>38</v>
      </c>
      <c r="I8" s="2">
        <f>PlasticExtrusionWidth</f>
        <v>1.2</v>
      </c>
      <c r="J8" s="2">
        <f>PlasticExtrusionHeight</f>
        <v>470.20311383399996</v>
      </c>
      <c r="K8" s="2" t="str">
        <f>CONCATENATE("F=", PlasticPrintSpeedStraight)</f>
        <v>F=1250</v>
      </c>
      <c r="L8" s="2"/>
      <c r="M8" s="2"/>
      <c r="N8" s="2"/>
      <c r="O8" s="2"/>
      <c r="P8" s="2"/>
      <c r="Q8" s="2" t="s">
        <v>1654</v>
      </c>
      <c r="R8"/>
      <c r="S8" s="95" t="s">
        <v>40</v>
      </c>
      <c r="T8" s="3"/>
      <c r="U8" s="5"/>
      <c r="V8"/>
      <c r="W8"/>
      <c r="X8"/>
      <c r="Y8"/>
      <c r="Z8"/>
      <c r="AA8"/>
      <c r="AB8"/>
      <c r="AC8"/>
      <c r="AD8"/>
      <c r="AE8"/>
      <c r="AF8"/>
      <c r="AG8"/>
      <c r="AH8"/>
      <c r="AI8"/>
      <c r="AJ8"/>
      <c r="AK8"/>
      <c r="AL8"/>
      <c r="AM8"/>
      <c r="AN8"/>
    </row>
    <row r="9" spans="1:40" s="81" customFormat="1" x14ac:dyDescent="0.25">
      <c r="A9" s="2">
        <v>2</v>
      </c>
      <c r="B9" s="2" t="s">
        <v>1061</v>
      </c>
      <c r="C9" s="2">
        <v>1</v>
      </c>
      <c r="D9" s="2" t="s">
        <v>1062</v>
      </c>
      <c r="E9" s="2">
        <v>3</v>
      </c>
      <c r="F9" s="2">
        <f>PlasticExtrusionSpacing</f>
        <v>1.35</v>
      </c>
      <c r="G9" s="2"/>
      <c r="H9" s="2"/>
      <c r="I9" s="2"/>
      <c r="J9" s="2"/>
      <c r="K9" s="2"/>
      <c r="L9" s="2"/>
      <c r="M9" s="2"/>
      <c r="N9" s="2"/>
      <c r="O9" s="2"/>
      <c r="P9" s="2"/>
      <c r="Q9" s="2"/>
      <c r="R9"/>
      <c r="S9" s="5" t="s">
        <v>98</v>
      </c>
      <c r="T9" s="5">
        <v>2.7</v>
      </c>
      <c r="U9" s="5" t="s">
        <v>44</v>
      </c>
      <c r="V9"/>
      <c r="W9"/>
      <c r="X9"/>
      <c r="Y9"/>
      <c r="Z9"/>
      <c r="AA9"/>
      <c r="AB9"/>
      <c r="AC9"/>
      <c r="AD9"/>
      <c r="AE9"/>
      <c r="AF9"/>
      <c r="AG9"/>
      <c r="AH9"/>
      <c r="AI9"/>
      <c r="AJ9"/>
      <c r="AK9"/>
      <c r="AL9"/>
      <c r="AM9"/>
      <c r="AN9"/>
    </row>
    <row r="10" spans="1:40" s="81" customFormat="1" x14ac:dyDescent="0.25">
      <c r="A10" s="2">
        <v>3</v>
      </c>
      <c r="B10" s="2" t="s">
        <v>9</v>
      </c>
      <c r="C10" s="2">
        <f>StartX-(Length+BridgeSupportWidth+2*ConcreteExtrusionSpacing)</f>
        <v>132</v>
      </c>
      <c r="D10" s="2">
        <f>StartY+2*PlasticExtrusionSpacing</f>
        <v>102.7</v>
      </c>
      <c r="E10" s="2">
        <f>StartX-(2*ConcreteExtrusionSpacing+Length)</f>
        <v>137</v>
      </c>
      <c r="F10" s="2">
        <f>StartY-(RebarWidth+2*PlasticExtrusionSpacing)</f>
        <v>72.3</v>
      </c>
      <c r="G10" s="2">
        <f>-(Zoffset-PlasticLayerHeight)</f>
        <v>-1.8000000000000003</v>
      </c>
      <c r="H10" s="2" t="s">
        <v>20</v>
      </c>
      <c r="I10" s="2">
        <f>PlasticExtrusionWidth</f>
        <v>1.2</v>
      </c>
      <c r="J10" s="2">
        <f>PlasticExtrusionHeight</f>
        <v>470.20311383399996</v>
      </c>
      <c r="K10" s="2" t="str">
        <f>CONCATENATE("F=", PlasticPrintSpeedStraight)</f>
        <v>F=1250</v>
      </c>
      <c r="L10" s="2"/>
      <c r="M10" s="2"/>
      <c r="N10" s="2"/>
      <c r="O10" s="2"/>
      <c r="P10" s="2"/>
      <c r="Q10" s="2" t="s">
        <v>1655</v>
      </c>
      <c r="R10"/>
      <c r="S10" s="5" t="s">
        <v>87</v>
      </c>
      <c r="T10" s="5">
        <v>1</v>
      </c>
      <c r="U10" s="5" t="s">
        <v>89</v>
      </c>
      <c r="V10"/>
      <c r="W10"/>
      <c r="X10"/>
      <c r="Y10"/>
      <c r="Z10"/>
      <c r="AA10"/>
      <c r="AB10"/>
      <c r="AC10"/>
      <c r="AD10"/>
      <c r="AE10"/>
      <c r="AF10"/>
      <c r="AG10"/>
      <c r="AH10"/>
      <c r="AI10"/>
      <c r="AJ10"/>
      <c r="AK10"/>
      <c r="AL10"/>
      <c r="AM10"/>
      <c r="AN10"/>
    </row>
    <row r="11" spans="1:40" s="81" customFormat="1" x14ac:dyDescent="0.25">
      <c r="A11" s="2">
        <v>4</v>
      </c>
      <c r="B11" s="2" t="s">
        <v>1061</v>
      </c>
      <c r="C11" s="2">
        <v>3</v>
      </c>
      <c r="D11" s="2" t="s">
        <v>1062</v>
      </c>
      <c r="E11" s="2">
        <v>3</v>
      </c>
      <c r="F11" s="2">
        <f>PlasticExtrusionSpacing</f>
        <v>1.35</v>
      </c>
      <c r="G11" s="2"/>
      <c r="H11" s="2"/>
      <c r="I11" s="2"/>
      <c r="J11" s="2"/>
      <c r="K11" s="2"/>
      <c r="L11" s="2"/>
      <c r="M11" s="2"/>
      <c r="N11" s="2"/>
      <c r="O11" s="2"/>
      <c r="P11" s="2"/>
      <c r="Q11" s="2"/>
      <c r="R11"/>
      <c r="S11" s="5" t="s">
        <v>88</v>
      </c>
      <c r="T11" s="5">
        <v>1</v>
      </c>
      <c r="U11" s="5" t="s">
        <v>89</v>
      </c>
      <c r="V11"/>
      <c r="W11"/>
      <c r="X11"/>
      <c r="Y11"/>
      <c r="Z11"/>
      <c r="AA11"/>
      <c r="AB11"/>
      <c r="AC11"/>
      <c r="AD11"/>
      <c r="AE11"/>
      <c r="AF11"/>
      <c r="AG11"/>
      <c r="AH11"/>
      <c r="AI11"/>
      <c r="AJ11"/>
      <c r="AK11"/>
      <c r="AL11"/>
      <c r="AM11"/>
      <c r="AN11"/>
    </row>
    <row r="12" spans="1:40" s="81" customFormat="1" x14ac:dyDescent="0.25">
      <c r="A12" s="2">
        <v>5</v>
      </c>
      <c r="B12" s="143" t="s">
        <v>1</v>
      </c>
      <c r="C12" s="2" t="s">
        <v>18</v>
      </c>
      <c r="D12" s="2" t="s">
        <v>100</v>
      </c>
      <c r="E12" s="2" t="s">
        <v>100</v>
      </c>
      <c r="F12" s="2" t="s">
        <v>100</v>
      </c>
      <c r="G12" s="2">
        <f>StartX+BridgeSupportWidth+2*ConcreteExtrusionSpacing</f>
        <v>288</v>
      </c>
      <c r="H12" s="2">
        <f>StartY+2*PlasticExtrusionSpacing</f>
        <v>102.7</v>
      </c>
      <c r="I12" s="2">
        <f>-(Zoffset-2*PlasticLayerHeight)</f>
        <v>-0.90000000000000013</v>
      </c>
      <c r="J12" s="2" t="s">
        <v>23</v>
      </c>
      <c r="K12" s="2"/>
      <c r="L12" s="2"/>
      <c r="M12" s="2" t="str">
        <f>CONCATENATE("F=", 16*NozzleFeedrateTravelling)</f>
        <v>F=48000</v>
      </c>
      <c r="N12" s="2"/>
      <c r="O12" s="2"/>
      <c r="P12" s="2"/>
      <c r="Q12" s="2" t="s">
        <v>1656</v>
      </c>
      <c r="R12"/>
      <c r="S12" s="5" t="s">
        <v>193</v>
      </c>
      <c r="T12" s="5" t="s">
        <v>204</v>
      </c>
      <c r="U12" s="5"/>
      <c r="V12" s="5" t="s">
        <v>204</v>
      </c>
      <c r="W12" s="5" t="s">
        <v>204</v>
      </c>
      <c r="X12" s="5" t="s">
        <v>204</v>
      </c>
      <c r="Y12" s="5" t="s">
        <v>204</v>
      </c>
      <c r="Z12" s="5" t="s">
        <v>204</v>
      </c>
      <c r="AA12" s="5" t="s">
        <v>204</v>
      </c>
      <c r="AB12" s="127" t="s">
        <v>466</v>
      </c>
      <c r="AC12" s="128" t="s">
        <v>483</v>
      </c>
      <c r="AD12" s="5" t="s">
        <v>204</v>
      </c>
      <c r="AE12" s="5" t="s">
        <v>204</v>
      </c>
      <c r="AF12" s="5" t="s">
        <v>204</v>
      </c>
      <c r="AG12" s="5" t="s">
        <v>204</v>
      </c>
      <c r="AH12" s="5" t="s">
        <v>204</v>
      </c>
      <c r="AI12"/>
      <c r="AJ12"/>
      <c r="AK12"/>
      <c r="AL12"/>
      <c r="AM12"/>
      <c r="AN12"/>
    </row>
    <row r="13" spans="1:40" s="81" customFormat="1" x14ac:dyDescent="0.25">
      <c r="A13" s="2">
        <v>6</v>
      </c>
      <c r="B13" s="2" t="s">
        <v>39</v>
      </c>
      <c r="C13" s="2">
        <v>-3.5</v>
      </c>
      <c r="D13" s="2">
        <v>2100</v>
      </c>
      <c r="E13" s="2">
        <v>0</v>
      </c>
      <c r="F13" s="2">
        <v>0</v>
      </c>
      <c r="G13" s="2"/>
      <c r="H13" s="2"/>
      <c r="I13" s="2"/>
      <c r="J13" s="2"/>
      <c r="K13" s="2"/>
      <c r="L13" s="2"/>
      <c r="M13" s="2"/>
      <c r="N13" s="2"/>
      <c r="O13" s="2"/>
      <c r="P13" s="2"/>
      <c r="Q13" s="2"/>
      <c r="R13"/>
      <c r="S13" s="5" t="s">
        <v>194</v>
      </c>
      <c r="T13" s="5">
        <v>0</v>
      </c>
      <c r="U13" s="5"/>
      <c r="V13"/>
      <c r="W13"/>
      <c r="X13"/>
      <c r="Y13"/>
      <c r="Z13"/>
      <c r="AA13"/>
      <c r="AB13"/>
      <c r="AC13"/>
      <c r="AD13"/>
      <c r="AE13"/>
      <c r="AF13"/>
      <c r="AG13"/>
      <c r="AH13"/>
      <c r="AI13"/>
      <c r="AJ13"/>
      <c r="AK13"/>
      <c r="AL13"/>
      <c r="AM13"/>
      <c r="AN13"/>
    </row>
    <row r="14" spans="1:40" s="81" customFormat="1" x14ac:dyDescent="0.25">
      <c r="A14" s="2">
        <v>7</v>
      </c>
      <c r="B14" s="2" t="s">
        <v>9</v>
      </c>
      <c r="C14" s="2">
        <f>StartX+BridgeSupportWidth+2*ConcreteExtrusionSpacing</f>
        <v>288</v>
      </c>
      <c r="D14" s="2">
        <f>StartY+2*PlasticExtrusionSpacing</f>
        <v>102.7</v>
      </c>
      <c r="E14" s="2">
        <f>StartX+2*ConcreteExtrusionSpacing</f>
        <v>283</v>
      </c>
      <c r="F14" s="2">
        <f>StartY-(RebarWidth+2*PlasticExtrusionSpacing)</f>
        <v>72.3</v>
      </c>
      <c r="G14" s="2">
        <f>-(Zoffset-PlasticLayerHeight)</f>
        <v>-1.8000000000000003</v>
      </c>
      <c r="H14" s="2" t="s">
        <v>38</v>
      </c>
      <c r="I14" s="2">
        <f>PlasticExtrusionWidth</f>
        <v>1.2</v>
      </c>
      <c r="J14" s="2">
        <f>PlasticExtrusionHeight</f>
        <v>470.20311383399996</v>
      </c>
      <c r="K14" s="2" t="str">
        <f>CONCATENATE("F=", PlasticPrintSpeedStraight)</f>
        <v>F=1250</v>
      </c>
      <c r="L14" s="2"/>
      <c r="M14" s="2"/>
      <c r="N14" s="2"/>
      <c r="O14" s="2"/>
      <c r="P14" s="2"/>
      <c r="Q14" s="2" t="s">
        <v>1657</v>
      </c>
      <c r="R14"/>
      <c r="S14" s="57"/>
      <c r="T14" s="57"/>
      <c r="U14" s="90"/>
      <c r="V14"/>
      <c r="W14"/>
      <c r="X14"/>
      <c r="Y14"/>
      <c r="Z14"/>
      <c r="AA14"/>
      <c r="AB14"/>
      <c r="AC14"/>
      <c r="AD14"/>
      <c r="AE14"/>
      <c r="AF14"/>
      <c r="AG14"/>
      <c r="AH14"/>
      <c r="AI14"/>
      <c r="AJ14"/>
      <c r="AK14"/>
      <c r="AL14"/>
      <c r="AM14"/>
      <c r="AN14"/>
    </row>
    <row r="15" spans="1:40" s="81" customFormat="1" x14ac:dyDescent="0.25">
      <c r="A15" s="2">
        <v>8</v>
      </c>
      <c r="B15" s="2" t="s">
        <v>1</v>
      </c>
      <c r="C15" s="2" t="s">
        <v>18</v>
      </c>
      <c r="D15" s="2" t="s">
        <v>100</v>
      </c>
      <c r="E15" s="2" t="s">
        <v>100</v>
      </c>
      <c r="F15" s="2" t="s">
        <v>100</v>
      </c>
      <c r="G15" s="2">
        <f>StartX-(Length+BridgeSupportWidth+2*ConcreteExtrusionSpacing)</f>
        <v>132</v>
      </c>
      <c r="H15" s="2">
        <f>StartY+2*PlasticExtrusionSpacing</f>
        <v>102.7</v>
      </c>
      <c r="I15" s="2">
        <f>-(Zoffset-PlasticLayerHeight)</f>
        <v>-1.8000000000000003</v>
      </c>
      <c r="J15" s="2" t="s">
        <v>23</v>
      </c>
      <c r="K15" s="2"/>
      <c r="L15" s="2"/>
      <c r="M15" s="2" t="str">
        <f>CONCATENATE("F=", 16*NozzleFeedrateTravelling)</f>
        <v>F=48000</v>
      </c>
      <c r="N15" s="2"/>
      <c r="O15" s="2"/>
      <c r="P15" s="2"/>
      <c r="Q15" s="2" t="s">
        <v>1658</v>
      </c>
      <c r="R15"/>
      <c r="S15" s="5" t="s">
        <v>338</v>
      </c>
      <c r="T15" s="122">
        <v>0</v>
      </c>
      <c r="U15" s="5" t="s">
        <v>43</v>
      </c>
      <c r="V15" s="122">
        <v>60</v>
      </c>
      <c r="W15" s="123">
        <v>60</v>
      </c>
      <c r="X15" s="137">
        <v>60</v>
      </c>
      <c r="Y15" s="124">
        <v>60</v>
      </c>
      <c r="Z15" s="126">
        <v>60</v>
      </c>
      <c r="AA15" s="127">
        <v>60</v>
      </c>
      <c r="AB15" s="127">
        <v>60</v>
      </c>
      <c r="AC15" s="134">
        <v>60</v>
      </c>
      <c r="AD15" s="135">
        <v>60</v>
      </c>
      <c r="AE15" s="136">
        <v>60</v>
      </c>
      <c r="AF15" s="138">
        <v>60</v>
      </c>
      <c r="AG15" s="132">
        <v>60</v>
      </c>
      <c r="AH15" s="139">
        <v>60</v>
      </c>
      <c r="AI15"/>
      <c r="AJ15"/>
      <c r="AK15"/>
      <c r="AL15"/>
      <c r="AM15"/>
      <c r="AN15"/>
    </row>
    <row r="16" spans="1:40" s="81" customFormat="1" x14ac:dyDescent="0.25">
      <c r="A16" s="2">
        <v>9</v>
      </c>
      <c r="B16" s="2" t="s">
        <v>39</v>
      </c>
      <c r="C16" s="2">
        <v>-3.5</v>
      </c>
      <c r="D16" s="2">
        <v>2100</v>
      </c>
      <c r="E16" s="2">
        <v>0</v>
      </c>
      <c r="F16" s="2">
        <v>0</v>
      </c>
      <c r="G16" s="2"/>
      <c r="H16" s="2"/>
      <c r="I16" s="2"/>
      <c r="J16" s="2"/>
      <c r="K16" s="2"/>
      <c r="L16" s="2"/>
      <c r="M16" s="2"/>
      <c r="N16" s="2"/>
      <c r="O16" s="2"/>
      <c r="P16" s="2"/>
      <c r="Q16" s="2"/>
      <c r="R16"/>
      <c r="S16" s="5" t="s">
        <v>85</v>
      </c>
      <c r="T16" s="5">
        <v>600</v>
      </c>
      <c r="U16" s="5" t="s">
        <v>45</v>
      </c>
      <c r="V16"/>
      <c r="W16"/>
      <c r="X16"/>
      <c r="Y16"/>
      <c r="Z16"/>
      <c r="AA16"/>
      <c r="AB16"/>
      <c r="AC16"/>
      <c r="AD16"/>
      <c r="AE16"/>
      <c r="AF16"/>
      <c r="AG16"/>
      <c r="AH16"/>
      <c r="AI16"/>
      <c r="AJ16"/>
      <c r="AK16"/>
      <c r="AL16"/>
      <c r="AM16"/>
      <c r="AN16"/>
    </row>
    <row r="17" spans="1:40" s="81" customFormat="1" x14ac:dyDescent="0.25">
      <c r="A17" s="2">
        <v>10</v>
      </c>
      <c r="B17" s="2" t="s">
        <v>9</v>
      </c>
      <c r="C17" s="2">
        <f>StartX-(Length+BridgeSupportWidth+2*ConcreteExtrusionSpacing)</f>
        <v>132</v>
      </c>
      <c r="D17" s="2">
        <f>StartY+2*PlasticExtrusionSpacing</f>
        <v>102.7</v>
      </c>
      <c r="E17" s="2">
        <f>StartX-(2*ConcreteExtrusionSpacing+Length)</f>
        <v>137</v>
      </c>
      <c r="F17" s="2">
        <f>StartY-(RebarWidth+2*PlasticExtrusionSpacing)</f>
        <v>72.3</v>
      </c>
      <c r="G17" s="2">
        <f>-(Zoffset-PlasticLayerHeight)</f>
        <v>-1.8000000000000003</v>
      </c>
      <c r="H17" s="2" t="s">
        <v>20</v>
      </c>
      <c r="I17" s="2">
        <f>PlasticExtrusionWidth</f>
        <v>1.2</v>
      </c>
      <c r="J17" s="2">
        <f>PlasticExtrusionHeight</f>
        <v>470.20311383399996</v>
      </c>
      <c r="K17" s="2" t="str">
        <f>CONCATENATE("F=", PlasticPrintSpeedStraight)</f>
        <v>F=1250</v>
      </c>
      <c r="L17" s="2"/>
      <c r="M17" s="2"/>
      <c r="N17" s="2"/>
      <c r="O17" s="2"/>
      <c r="P17" s="2"/>
      <c r="Q17" s="2" t="s">
        <v>1659</v>
      </c>
      <c r="R17"/>
      <c r="S17" s="5" t="s">
        <v>86</v>
      </c>
      <c r="T17" s="5">
        <v>3000</v>
      </c>
      <c r="U17" s="5" t="s">
        <v>45</v>
      </c>
      <c r="V17"/>
      <c r="W17"/>
      <c r="X17"/>
      <c r="Y17"/>
      <c r="Z17"/>
      <c r="AA17"/>
      <c r="AB17"/>
      <c r="AC17"/>
      <c r="AD17"/>
      <c r="AE17"/>
      <c r="AF17"/>
      <c r="AG17"/>
      <c r="AH17"/>
      <c r="AI17"/>
      <c r="AJ17"/>
      <c r="AK17"/>
      <c r="AL17"/>
      <c r="AM17"/>
      <c r="AN17"/>
    </row>
    <row r="18" spans="1:40" s="81" customFormat="1" x14ac:dyDescent="0.25">
      <c r="A18" s="2">
        <v>11</v>
      </c>
      <c r="B18" s="2" t="s">
        <v>55</v>
      </c>
      <c r="C18" s="98" t="s">
        <v>1110</v>
      </c>
      <c r="D18" s="2">
        <v>0</v>
      </c>
      <c r="E18" s="2">
        <v>0</v>
      </c>
      <c r="F18" s="2">
        <f>PlasticLayerHeight</f>
        <v>0.9</v>
      </c>
      <c r="G18" s="2">
        <f>FLOOR((RebarStartHeight-PlasticLayerHeight)/PlasticLayerHeight,1)-1</f>
        <v>3</v>
      </c>
      <c r="H18" s="2"/>
      <c r="I18" s="2"/>
      <c r="J18" s="2"/>
      <c r="K18" s="2"/>
      <c r="L18" s="2"/>
      <c r="M18" s="2"/>
      <c r="N18" s="2"/>
      <c r="O18" s="2"/>
      <c r="P18" s="2"/>
      <c r="Q18" s="2"/>
      <c r="R18"/>
      <c r="S18" s="5" t="s">
        <v>41</v>
      </c>
      <c r="T18" s="122">
        <v>220</v>
      </c>
      <c r="U18" s="5" t="s">
        <v>43</v>
      </c>
      <c r="V18" s="122">
        <v>210</v>
      </c>
      <c r="W18" s="123">
        <v>210</v>
      </c>
      <c r="X18" s="137">
        <v>210</v>
      </c>
      <c r="Y18" s="124">
        <v>215</v>
      </c>
      <c r="Z18" s="126">
        <v>220</v>
      </c>
      <c r="AA18" s="127">
        <v>210</v>
      </c>
      <c r="AB18" s="127">
        <v>210</v>
      </c>
      <c r="AC18" s="134">
        <v>210</v>
      </c>
      <c r="AD18" s="135">
        <v>210</v>
      </c>
      <c r="AE18" s="136">
        <v>210</v>
      </c>
      <c r="AF18" s="138">
        <v>210</v>
      </c>
      <c r="AG18" s="132">
        <v>210</v>
      </c>
      <c r="AH18" s="139">
        <v>210</v>
      </c>
      <c r="AI18"/>
      <c r="AJ18"/>
      <c r="AK18"/>
      <c r="AL18"/>
      <c r="AM18"/>
      <c r="AN18"/>
    </row>
    <row r="19" spans="1:40" s="81" customFormat="1" x14ac:dyDescent="0.25">
      <c r="A19" s="2">
        <v>12</v>
      </c>
      <c r="B19" s="143" t="s">
        <v>49</v>
      </c>
      <c r="C19" s="2" t="s">
        <v>866</v>
      </c>
      <c r="D19" s="2">
        <v>106</v>
      </c>
      <c r="E19" s="2" t="s">
        <v>867</v>
      </c>
      <c r="F19" s="2">
        <v>255</v>
      </c>
      <c r="G19" s="2"/>
      <c r="H19" s="2"/>
      <c r="I19" s="2"/>
      <c r="J19" s="2"/>
      <c r="K19" s="2"/>
      <c r="L19" s="2"/>
      <c r="M19" s="2"/>
      <c r="N19" s="2"/>
      <c r="O19" s="2"/>
      <c r="P19" s="2"/>
      <c r="Q19" s="2" t="s">
        <v>1660</v>
      </c>
      <c r="R19"/>
      <c r="S19" s="5" t="s">
        <v>42</v>
      </c>
      <c r="T19" s="122">
        <v>40</v>
      </c>
      <c r="U19" s="5" t="s">
        <v>44</v>
      </c>
      <c r="V19" s="122">
        <v>2.85</v>
      </c>
      <c r="W19" s="123">
        <v>1.75</v>
      </c>
      <c r="X19" s="137">
        <v>1.75</v>
      </c>
      <c r="Y19" s="125">
        <v>1.75</v>
      </c>
      <c r="Z19" s="126">
        <v>1.75</v>
      </c>
      <c r="AA19" s="127">
        <v>1.75</v>
      </c>
      <c r="AB19" s="127">
        <v>1.75</v>
      </c>
      <c r="AC19" s="134">
        <v>1.75</v>
      </c>
      <c r="AD19" s="135">
        <v>1.75</v>
      </c>
      <c r="AE19" s="136">
        <v>1.75</v>
      </c>
      <c r="AF19" s="138">
        <v>1.75</v>
      </c>
      <c r="AG19" s="132">
        <v>2.85</v>
      </c>
      <c r="AH19" s="139">
        <v>1.75</v>
      </c>
      <c r="AI19"/>
      <c r="AJ19"/>
      <c r="AK19"/>
      <c r="AL19"/>
      <c r="AM19"/>
      <c r="AN19"/>
    </row>
    <row r="20" spans="1:40" s="81" customFormat="1" x14ac:dyDescent="0.25">
      <c r="A20" s="2">
        <v>13</v>
      </c>
      <c r="B20" s="2" t="s">
        <v>1</v>
      </c>
      <c r="C20" s="2" t="s">
        <v>18</v>
      </c>
      <c r="D20" s="2">
        <f>StartX+2*ConcreteExtrusionSpacing+BridgeSupportWidth+2*PlasticExtrusionSpacing</f>
        <v>290.7</v>
      </c>
      <c r="E20" s="2">
        <f>StartY</f>
        <v>100</v>
      </c>
      <c r="F20" s="2" t="str">
        <f>CONCATENATE("R", PlasticLayerHeight)</f>
        <v>R0.9</v>
      </c>
      <c r="G20" s="2" t="str">
        <f>CONCATENATE("R-", RebarLength)</f>
        <v>R-161.4</v>
      </c>
      <c r="H20" s="2" t="s">
        <v>100</v>
      </c>
      <c r="I20" s="2" t="s">
        <v>100</v>
      </c>
      <c r="J20" s="2" t="s">
        <v>19</v>
      </c>
      <c r="K20" s="2">
        <f>PlasticExtrusionWidth</f>
        <v>1.2</v>
      </c>
      <c r="L20" s="2">
        <f>PlasticExtrusionHeight</f>
        <v>470.20311383399996</v>
      </c>
      <c r="M20" s="2" t="str">
        <f>CONCATENATE("F=", BridgePrintSpeed)</f>
        <v>F=1500</v>
      </c>
      <c r="N20" s="2"/>
      <c r="O20" s="2"/>
      <c r="P20" s="2"/>
      <c r="Q20" s="2" t="s">
        <v>1661</v>
      </c>
      <c r="R20"/>
      <c r="S20" s="5" t="s">
        <v>46</v>
      </c>
      <c r="T20" s="122">
        <v>33</v>
      </c>
      <c r="U20" s="5" t="s">
        <v>90</v>
      </c>
      <c r="V20" s="122" t="s">
        <v>82</v>
      </c>
      <c r="W20" s="123" t="s">
        <v>44</v>
      </c>
      <c r="X20" s="137" t="s">
        <v>44</v>
      </c>
      <c r="Y20" s="125" t="s">
        <v>44</v>
      </c>
      <c r="Z20" s="126" t="s">
        <v>44</v>
      </c>
      <c r="AA20" s="127" t="s">
        <v>44</v>
      </c>
      <c r="AB20" s="127" t="s">
        <v>44</v>
      </c>
      <c r="AC20" s="134" t="s">
        <v>44</v>
      </c>
      <c r="AD20" s="135" t="s">
        <v>44</v>
      </c>
      <c r="AE20" s="136" t="s">
        <v>44</v>
      </c>
      <c r="AF20" s="138" t="s">
        <v>44</v>
      </c>
      <c r="AG20" s="132" t="s">
        <v>82</v>
      </c>
      <c r="AH20" s="139" t="s">
        <v>44</v>
      </c>
      <c r="AI20"/>
      <c r="AJ20"/>
      <c r="AK20"/>
      <c r="AL20"/>
      <c r="AM20"/>
      <c r="AN20"/>
    </row>
    <row r="21" spans="1:40" s="81" customFormat="1" x14ac:dyDescent="0.25">
      <c r="A21" s="2">
        <v>14</v>
      </c>
      <c r="B21" s="2" t="s">
        <v>1</v>
      </c>
      <c r="C21" s="2" t="s">
        <v>18</v>
      </c>
      <c r="D21" s="2" t="s">
        <v>100</v>
      </c>
      <c r="E21" s="2" t="s">
        <v>100</v>
      </c>
      <c r="F21" s="2" t="s">
        <v>100</v>
      </c>
      <c r="G21" s="2" t="s">
        <v>100</v>
      </c>
      <c r="H21" s="2" t="str">
        <f>CONCATENATE("R-", PlasticExtrusionSpacing)</f>
        <v>R-1.35</v>
      </c>
      <c r="I21" s="2" t="s">
        <v>100</v>
      </c>
      <c r="J21" s="2" t="s">
        <v>19</v>
      </c>
      <c r="K21" s="2">
        <f>PlasticExtrusionWidth</f>
        <v>1.2</v>
      </c>
      <c r="L21" s="2">
        <f>PlasticExtrusionHeight</f>
        <v>470.20311383399996</v>
      </c>
      <c r="M21" s="2" t="str">
        <f>CONCATENATE("F=", PlasticPrintSpeedCurves)</f>
        <v>F=1000</v>
      </c>
      <c r="N21" s="2"/>
      <c r="O21" s="2"/>
      <c r="P21" s="2"/>
      <c r="Q21" s="2"/>
      <c r="R21"/>
      <c r="S21" s="5" t="s">
        <v>108</v>
      </c>
      <c r="T21" s="122" t="s">
        <v>635</v>
      </c>
      <c r="U21" s="5"/>
      <c r="V21" s="122" t="s">
        <v>153</v>
      </c>
      <c r="W21" s="123" t="s">
        <v>394</v>
      </c>
      <c r="X21" s="137" t="s">
        <v>393</v>
      </c>
      <c r="Y21" s="24" t="s">
        <v>455</v>
      </c>
      <c r="Z21" s="126" t="s">
        <v>425</v>
      </c>
      <c r="AA21" s="127" t="s">
        <v>465</v>
      </c>
      <c r="AB21" s="127" t="s">
        <v>466</v>
      </c>
      <c r="AC21" s="134" t="s">
        <v>489</v>
      </c>
      <c r="AD21" s="135" t="s">
        <v>504</v>
      </c>
      <c r="AE21" s="136" t="s">
        <v>554</v>
      </c>
      <c r="AF21" s="138" t="s">
        <v>558</v>
      </c>
      <c r="AG21" s="132" t="s">
        <v>591</v>
      </c>
      <c r="AH21" s="139" t="s">
        <v>592</v>
      </c>
      <c r="AI21"/>
      <c r="AJ21"/>
      <c r="AK21"/>
      <c r="AL21"/>
      <c r="AM21"/>
      <c r="AN21"/>
    </row>
    <row r="22" spans="1:40" s="81" customFormat="1" x14ac:dyDescent="0.25">
      <c r="A22" s="2">
        <v>15</v>
      </c>
      <c r="B22" s="2" t="s">
        <v>1</v>
      </c>
      <c r="C22" s="2" t="s">
        <v>18</v>
      </c>
      <c r="D22" s="2" t="s">
        <v>100</v>
      </c>
      <c r="E22" s="2" t="s">
        <v>100</v>
      </c>
      <c r="F22" s="2" t="s">
        <v>100</v>
      </c>
      <c r="G22" s="2" t="str">
        <f>CONCATENATE("R", RebarLength)</f>
        <v>R161.4</v>
      </c>
      <c r="H22" s="2" t="s">
        <v>100</v>
      </c>
      <c r="I22" s="2" t="s">
        <v>100</v>
      </c>
      <c r="J22" s="2" t="s">
        <v>19</v>
      </c>
      <c r="K22" s="2">
        <f>PlasticExtrusionWidth</f>
        <v>1.2</v>
      </c>
      <c r="L22" s="2">
        <f>PlasticExtrusionHeight</f>
        <v>470.20311383399996</v>
      </c>
      <c r="M22" s="2" t="str">
        <f>CONCATENATE("F=", BridgePrintSpeed)</f>
        <v>F=1500</v>
      </c>
      <c r="N22" s="2"/>
      <c r="O22" s="2"/>
      <c r="P22" s="2"/>
      <c r="Q22" s="2"/>
      <c r="R22"/>
      <c r="S22" s="5" t="s">
        <v>152</v>
      </c>
      <c r="T22" s="122" t="s">
        <v>635</v>
      </c>
      <c r="U22" s="5"/>
      <c r="V22" s="122" t="s">
        <v>125</v>
      </c>
      <c r="W22" s="123" t="s">
        <v>394</v>
      </c>
      <c r="X22" s="137" t="s">
        <v>393</v>
      </c>
      <c r="Y22" s="24" t="s">
        <v>455</v>
      </c>
      <c r="Z22" s="126" t="s">
        <v>425</v>
      </c>
      <c r="AA22" s="127" t="s">
        <v>465</v>
      </c>
      <c r="AB22" s="127" t="s">
        <v>466</v>
      </c>
      <c r="AC22" s="134" t="s">
        <v>489</v>
      </c>
      <c r="AD22" s="135" t="s">
        <v>504</v>
      </c>
      <c r="AE22" s="136" t="s">
        <v>554</v>
      </c>
      <c r="AF22" s="138" t="s">
        <v>558</v>
      </c>
      <c r="AG22" s="132" t="s">
        <v>591</v>
      </c>
      <c r="AH22" s="139" t="s">
        <v>592</v>
      </c>
      <c r="AI22"/>
      <c r="AJ22"/>
      <c r="AK22"/>
      <c r="AL22"/>
      <c r="AM22"/>
      <c r="AN22"/>
    </row>
    <row r="23" spans="1:40" s="81" customFormat="1" x14ac:dyDescent="0.25">
      <c r="A23" s="2">
        <v>16</v>
      </c>
      <c r="B23" s="2" t="s">
        <v>1</v>
      </c>
      <c r="C23" s="2" t="s">
        <v>18</v>
      </c>
      <c r="D23" s="2" t="s">
        <v>100</v>
      </c>
      <c r="E23" s="2" t="s">
        <v>100</v>
      </c>
      <c r="F23" s="2" t="s">
        <v>100</v>
      </c>
      <c r="G23" s="2" t="s">
        <v>100</v>
      </c>
      <c r="H23" s="2" t="str">
        <f>CONCATENATE("R-", PlasticExtrusionSpacing)</f>
        <v>R-1.35</v>
      </c>
      <c r="I23" s="2" t="s">
        <v>100</v>
      </c>
      <c r="J23" s="2" t="s">
        <v>19</v>
      </c>
      <c r="K23" s="2">
        <f>PlasticExtrusionWidth</f>
        <v>1.2</v>
      </c>
      <c r="L23" s="2">
        <f>PlasticExtrusionHeight</f>
        <v>470.20311383399996</v>
      </c>
      <c r="M23" s="2" t="str">
        <f>CONCATENATE("F=", PlasticPrintSpeedCurves)</f>
        <v>F=1000</v>
      </c>
      <c r="N23" s="2"/>
      <c r="O23" s="2"/>
      <c r="P23" s="2"/>
      <c r="Q23" s="2"/>
      <c r="R23"/>
      <c r="S23" s="5" t="s">
        <v>167</v>
      </c>
      <c r="T23" s="5">
        <f>ConcretePrimeX+ConcretePrimeLength-1</f>
        <v>274</v>
      </c>
      <c r="U23" s="5" t="s">
        <v>44</v>
      </c>
      <c r="V23"/>
      <c r="W23"/>
      <c r="X23"/>
      <c r="Y23"/>
      <c r="Z23"/>
      <c r="AA23"/>
      <c r="AB23"/>
      <c r="AC23"/>
      <c r="AD23"/>
      <c r="AE23"/>
      <c r="AF23"/>
      <c r="AG23"/>
      <c r="AH23"/>
      <c r="AI23"/>
      <c r="AJ23"/>
      <c r="AK23"/>
      <c r="AL23"/>
      <c r="AM23"/>
      <c r="AN23"/>
    </row>
    <row r="24" spans="1:40" s="81" customFormat="1" x14ac:dyDescent="0.25">
      <c r="A24" s="2">
        <v>17</v>
      </c>
      <c r="B24" s="2" t="s">
        <v>55</v>
      </c>
      <c r="C24" s="98" t="s">
        <v>665</v>
      </c>
      <c r="D24" s="2">
        <v>0</v>
      </c>
      <c r="E24" s="2">
        <f>-2*PlasticExtrusionSpacing</f>
        <v>-2.7</v>
      </c>
      <c r="F24" s="2">
        <v>0</v>
      </c>
      <c r="G24" s="2">
        <f>RebarRepeats-1</f>
        <v>8</v>
      </c>
      <c r="H24" s="2"/>
      <c r="I24" s="2"/>
      <c r="J24" s="2"/>
      <c r="K24" s="2"/>
      <c r="L24" s="2"/>
      <c r="M24" s="2"/>
      <c r="N24" s="2"/>
      <c r="O24" s="2"/>
      <c r="P24" s="2"/>
      <c r="Q24" s="2"/>
      <c r="R24"/>
      <c r="S24" s="5" t="s">
        <v>168</v>
      </c>
      <c r="T24" s="5">
        <f>ConcretePrimeY</f>
        <v>125</v>
      </c>
      <c r="U24" s="5" t="s">
        <v>44</v>
      </c>
      <c r="V24"/>
      <c r="W24"/>
      <c r="X24"/>
      <c r="Y24"/>
      <c r="Z24"/>
      <c r="AA24"/>
      <c r="AB24"/>
      <c r="AC24"/>
      <c r="AD24"/>
      <c r="AE24"/>
      <c r="AF24"/>
      <c r="AG24"/>
      <c r="AH24"/>
      <c r="AI24"/>
      <c r="AJ24"/>
      <c r="AK24"/>
      <c r="AL24"/>
      <c r="AM24"/>
      <c r="AN24"/>
    </row>
    <row r="25" spans="1:40" s="81" customFormat="1" x14ac:dyDescent="0.25">
      <c r="A25" s="2">
        <v>18</v>
      </c>
      <c r="B25" s="143" t="s">
        <v>39</v>
      </c>
      <c r="C25" s="2">
        <v>0</v>
      </c>
      <c r="D25" s="2">
        <v>0</v>
      </c>
      <c r="E25" s="2">
        <f>PlasticLayerHeight</f>
        <v>0.9</v>
      </c>
      <c r="F25" s="2">
        <v>10000</v>
      </c>
      <c r="G25" s="2"/>
      <c r="H25" s="2"/>
      <c r="I25" s="2"/>
      <c r="J25" s="2"/>
      <c r="K25" s="2"/>
      <c r="L25" s="2"/>
      <c r="M25" s="2"/>
      <c r="N25" s="2"/>
      <c r="O25" s="2"/>
      <c r="P25" s="2"/>
      <c r="Q25" s="2"/>
      <c r="R25"/>
      <c r="S25" s="5" t="s">
        <v>169</v>
      </c>
      <c r="T25" s="5">
        <v>15</v>
      </c>
      <c r="U25" s="5" t="s">
        <v>44</v>
      </c>
      <c r="V25"/>
      <c r="W25"/>
      <c r="X25"/>
      <c r="Y25"/>
      <c r="Z25"/>
      <c r="AA25"/>
      <c r="AB25"/>
      <c r="AC25"/>
      <c r="AD25"/>
      <c r="AE25"/>
      <c r="AF25"/>
      <c r="AG25"/>
      <c r="AH25"/>
      <c r="AI25"/>
      <c r="AJ25"/>
      <c r="AK25"/>
      <c r="AL25"/>
      <c r="AM25"/>
      <c r="AN25"/>
    </row>
    <row r="26" spans="1:40" s="81" customFormat="1" x14ac:dyDescent="0.25">
      <c r="A26" s="2">
        <v>19</v>
      </c>
      <c r="B26" s="2" t="s">
        <v>1</v>
      </c>
      <c r="C26" s="2" t="s">
        <v>18</v>
      </c>
      <c r="D26" s="2" t="s">
        <v>100</v>
      </c>
      <c r="E26" s="2" t="s">
        <v>100</v>
      </c>
      <c r="F26" s="2" t="s">
        <v>100</v>
      </c>
      <c r="G26" s="2" t="s">
        <v>100</v>
      </c>
      <c r="H26" s="2" t="str">
        <f>CONCATENATE("R", RebarRepeats*2*PlasticExtrusionSpacing)</f>
        <v>R24.3</v>
      </c>
      <c r="I26" s="2" t="s">
        <v>100</v>
      </c>
      <c r="J26" s="2" t="s">
        <v>19</v>
      </c>
      <c r="K26" s="2">
        <f>PlasticExtrusionWidth</f>
        <v>1.2</v>
      </c>
      <c r="L26" s="2">
        <f>PlasticExtrusionHeight</f>
        <v>470.20311383399996</v>
      </c>
      <c r="M26" s="2" t="str">
        <f>CONCATENATE("F=", PlasticPrintSpeedStraight)</f>
        <v>F=1250</v>
      </c>
      <c r="N26" s="2"/>
      <c r="O26" s="2"/>
      <c r="P26" s="2"/>
      <c r="Q26" s="2" t="s">
        <v>1662</v>
      </c>
      <c r="R26"/>
      <c r="S26" s="78" t="s">
        <v>339</v>
      </c>
      <c r="T26" s="5">
        <v>0</v>
      </c>
      <c r="U26" s="5"/>
      <c r="V26" s="1"/>
      <c r="W26"/>
      <c r="X26"/>
      <c r="Y26"/>
      <c r="Z26"/>
      <c r="AA26"/>
      <c r="AB26"/>
      <c r="AC26"/>
      <c r="AD26"/>
      <c r="AE26"/>
      <c r="AF26"/>
      <c r="AG26"/>
      <c r="AH26"/>
      <c r="AI26"/>
      <c r="AJ26"/>
      <c r="AK26"/>
      <c r="AL26"/>
      <c r="AM26"/>
      <c r="AN26"/>
    </row>
    <row r="27" spans="1:40" s="81" customFormat="1" x14ac:dyDescent="0.25">
      <c r="A27" s="2">
        <v>20</v>
      </c>
      <c r="B27" s="2" t="s">
        <v>1</v>
      </c>
      <c r="C27" s="2" t="s">
        <v>18</v>
      </c>
      <c r="D27" s="2" t="s">
        <v>100</v>
      </c>
      <c r="E27" s="2" t="s">
        <v>100</v>
      </c>
      <c r="F27" s="2" t="s">
        <v>100</v>
      </c>
      <c r="G27" s="2" t="str">
        <f>CONCATENATE("R-", PlasticExtrusionSpacing)</f>
        <v>R-1.35</v>
      </c>
      <c r="H27" s="2" t="s">
        <v>100</v>
      </c>
      <c r="I27" s="2" t="s">
        <v>100</v>
      </c>
      <c r="J27" s="2" t="s">
        <v>19</v>
      </c>
      <c r="K27" s="2">
        <f>PlasticExtrusionWidth</f>
        <v>1.2</v>
      </c>
      <c r="L27" s="2">
        <f>PlasticExtrusionHeight</f>
        <v>470.20311383399996</v>
      </c>
      <c r="M27" s="2" t="str">
        <f>CONCATENATE("F=", PlasticPrintSpeedCurves)</f>
        <v>F=1000</v>
      </c>
      <c r="N27" s="2"/>
      <c r="O27" s="2"/>
      <c r="P27" s="2"/>
      <c r="Q27" s="2"/>
      <c r="R27"/>
      <c r="S27" s="5" t="s">
        <v>154</v>
      </c>
      <c r="T27" s="5" t="s">
        <v>166</v>
      </c>
      <c r="U27" s="5" t="s">
        <v>158</v>
      </c>
      <c r="V27"/>
      <c r="W27"/>
      <c r="X27"/>
      <c r="Y27"/>
      <c r="Z27"/>
      <c r="AA27"/>
      <c r="AB27"/>
      <c r="AC27"/>
      <c r="AD27"/>
      <c r="AE27"/>
      <c r="AF27"/>
      <c r="AG27"/>
      <c r="AH27"/>
      <c r="AI27"/>
      <c r="AJ27"/>
      <c r="AK27"/>
      <c r="AL27"/>
      <c r="AM27"/>
      <c r="AN27"/>
    </row>
    <row r="28" spans="1:40" s="81" customFormat="1" x14ac:dyDescent="0.25">
      <c r="A28" s="2">
        <v>21</v>
      </c>
      <c r="B28" s="2" t="s">
        <v>1</v>
      </c>
      <c r="C28" s="2" t="s">
        <v>18</v>
      </c>
      <c r="D28" s="2" t="s">
        <v>100</v>
      </c>
      <c r="E28" s="2" t="s">
        <v>100</v>
      </c>
      <c r="F28" s="2" t="s">
        <v>100</v>
      </c>
      <c r="G28" s="2" t="s">
        <v>100</v>
      </c>
      <c r="H28" s="2" t="str">
        <f>CONCATENATE("R-", RebarRepeats*2*PlasticExtrusionSpacing)</f>
        <v>R-24.3</v>
      </c>
      <c r="I28" s="2" t="s">
        <v>100</v>
      </c>
      <c r="J28" s="2" t="s">
        <v>19</v>
      </c>
      <c r="K28" s="2">
        <f>PlasticExtrusionWidth</f>
        <v>1.2</v>
      </c>
      <c r="L28" s="2">
        <f>PlasticExtrusionHeight</f>
        <v>470.20311383399996</v>
      </c>
      <c r="M28" s="2" t="str">
        <f>CONCATENATE("F=", PlasticPrintSpeedStraight)</f>
        <v>F=1250</v>
      </c>
      <c r="N28" s="2"/>
      <c r="O28" s="2"/>
      <c r="P28" s="2"/>
      <c r="Q28" s="2"/>
      <c r="R28"/>
      <c r="S28" s="5" t="s">
        <v>159</v>
      </c>
      <c r="T28" s="5">
        <v>2</v>
      </c>
      <c r="U28" s="5" t="s">
        <v>44</v>
      </c>
      <c r="V28" s="1"/>
      <c r="W28"/>
      <c r="X28"/>
      <c r="Y28"/>
      <c r="Z28"/>
      <c r="AA28"/>
      <c r="AB28"/>
      <c r="AC28"/>
      <c r="AD28"/>
      <c r="AE28"/>
      <c r="AF28"/>
      <c r="AG28"/>
      <c r="AH28"/>
      <c r="AI28"/>
      <c r="AJ28"/>
      <c r="AK28"/>
      <c r="AL28"/>
      <c r="AM28"/>
      <c r="AN28"/>
    </row>
    <row r="29" spans="1:40" s="81" customFormat="1" x14ac:dyDescent="0.25">
      <c r="A29" s="2">
        <v>22</v>
      </c>
      <c r="B29" s="2" t="s">
        <v>1</v>
      </c>
      <c r="C29" s="2" t="s">
        <v>18</v>
      </c>
      <c r="D29" s="2" t="s">
        <v>100</v>
      </c>
      <c r="E29" s="2" t="s">
        <v>100</v>
      </c>
      <c r="F29" s="2" t="s">
        <v>100</v>
      </c>
      <c r="G29" s="2" t="str">
        <f>CONCATENATE("R-", PlasticExtrusionSpacing)</f>
        <v>R-1.35</v>
      </c>
      <c r="H29" s="2" t="s">
        <v>100</v>
      </c>
      <c r="I29" s="2" t="s">
        <v>100</v>
      </c>
      <c r="J29" s="2" t="s">
        <v>19</v>
      </c>
      <c r="K29" s="2">
        <f>PlasticExtrusionWidth</f>
        <v>1.2</v>
      </c>
      <c r="L29" s="2">
        <f>PlasticExtrusionHeight</f>
        <v>470.20311383399996</v>
      </c>
      <c r="M29" s="2" t="str">
        <f>CONCATENATE("F=", PlasticPrintSpeedCurves)</f>
        <v>F=1000</v>
      </c>
      <c r="N29" s="2"/>
      <c r="O29" s="2"/>
      <c r="P29" s="2"/>
      <c r="Q29" s="2"/>
      <c r="R29"/>
      <c r="S29" s="5" t="s">
        <v>160</v>
      </c>
      <c r="T29" s="5">
        <v>1.25</v>
      </c>
      <c r="U29" s="5" t="s">
        <v>90</v>
      </c>
      <c r="V29"/>
      <c r="W29"/>
      <c r="X29"/>
      <c r="Y29"/>
      <c r="Z29"/>
      <c r="AA29"/>
      <c r="AB29"/>
      <c r="AC29"/>
      <c r="AD29"/>
      <c r="AE29"/>
      <c r="AF29"/>
      <c r="AG29"/>
      <c r="AH29"/>
      <c r="AI29"/>
      <c r="AJ29"/>
      <c r="AK29"/>
      <c r="AL29"/>
      <c r="AM29"/>
      <c r="AN29"/>
    </row>
    <row r="30" spans="1:40" s="81" customFormat="1" x14ac:dyDescent="0.25">
      <c r="A30" s="2">
        <v>23</v>
      </c>
      <c r="B30" s="2" t="s">
        <v>55</v>
      </c>
      <c r="C30" s="98" t="s">
        <v>1111</v>
      </c>
      <c r="D30" s="2">
        <f>-2*PlasticExtrusionSpacing</f>
        <v>-2.7</v>
      </c>
      <c r="E30" s="2">
        <v>0</v>
      </c>
      <c r="F30" s="2">
        <v>0</v>
      </c>
      <c r="G30" s="2">
        <f>FLOOR(RebarLength/(2*PlasticExtrusionSpacing),1)-1</f>
        <v>58</v>
      </c>
      <c r="H30" s="2"/>
      <c r="I30" s="2"/>
      <c r="J30" s="2"/>
      <c r="K30" s="2"/>
      <c r="L30" s="2"/>
      <c r="M30" s="2"/>
      <c r="N30" s="2"/>
      <c r="O30" s="2"/>
      <c r="P30" s="2"/>
      <c r="Q30" s="2"/>
      <c r="R30"/>
      <c r="S30" s="5" t="s">
        <v>161</v>
      </c>
      <c r="T30" s="5">
        <v>2500</v>
      </c>
      <c r="U30" s="5" t="s">
        <v>45</v>
      </c>
      <c r="V30"/>
      <c r="W30"/>
      <c r="X30"/>
      <c r="Y30"/>
      <c r="Z30"/>
      <c r="AA30"/>
      <c r="AB30"/>
      <c r="AC30"/>
      <c r="AD30"/>
      <c r="AE30"/>
      <c r="AF30"/>
      <c r="AG30"/>
      <c r="AH30"/>
      <c r="AI30"/>
      <c r="AJ30"/>
      <c r="AK30"/>
      <c r="AL30"/>
      <c r="AM30"/>
      <c r="AN30"/>
    </row>
    <row r="31" spans="1:40" s="81" customFormat="1" x14ac:dyDescent="0.25">
      <c r="A31" s="2">
        <v>24</v>
      </c>
      <c r="B31" s="2" t="s">
        <v>49</v>
      </c>
      <c r="C31" s="2" t="s">
        <v>866</v>
      </c>
      <c r="D31" s="2">
        <v>106</v>
      </c>
      <c r="E31" s="2" t="s">
        <v>867</v>
      </c>
      <c r="F31" s="2">
        <v>0</v>
      </c>
      <c r="G31" s="2"/>
      <c r="H31" s="2"/>
      <c r="I31" s="2"/>
      <c r="J31" s="2"/>
      <c r="K31" s="2"/>
      <c r="L31" s="2"/>
      <c r="M31" s="2"/>
      <c r="N31" s="2"/>
      <c r="O31" s="2"/>
      <c r="P31" s="2"/>
      <c r="Q31" s="2" t="s">
        <v>1663</v>
      </c>
      <c r="R31"/>
      <c r="S31" s="5" t="s">
        <v>162</v>
      </c>
      <c r="T31" s="5">
        <v>0</v>
      </c>
      <c r="U31" s="5" t="s">
        <v>90</v>
      </c>
      <c r="V31"/>
      <c r="W31"/>
      <c r="X31"/>
      <c r="Y31"/>
      <c r="Z31"/>
      <c r="AA31"/>
      <c r="AB31"/>
      <c r="AC31"/>
      <c r="AD31"/>
      <c r="AE31"/>
      <c r="AF31"/>
      <c r="AG31"/>
      <c r="AH31"/>
      <c r="AI31"/>
      <c r="AJ31"/>
      <c r="AK31"/>
      <c r="AL31"/>
      <c r="AM31"/>
      <c r="AN31"/>
    </row>
    <row r="32" spans="1:40" s="81" customFormat="1" x14ac:dyDescent="0.25">
      <c r="A32" s="2">
        <v>25</v>
      </c>
      <c r="B32" s="2" t="s">
        <v>1</v>
      </c>
      <c r="C32" s="2" t="s">
        <v>18</v>
      </c>
      <c r="D32" s="2">
        <f>StartX+2*ConcreteExtrusionSpacing+BridgeSupportWidth+2*PlasticExtrusionSpacing</f>
        <v>290.7</v>
      </c>
      <c r="E32" s="2">
        <f>StartY</f>
        <v>100</v>
      </c>
      <c r="F32" s="2" t="str">
        <f>CONCATENATE("R", PlasticLayerHeight)</f>
        <v>R0.9</v>
      </c>
      <c r="G32" s="2" t="str">
        <f>CONCATENATE("R-", RebarLength)</f>
        <v>R-161.4</v>
      </c>
      <c r="H32" s="2" t="s">
        <v>100</v>
      </c>
      <c r="I32" s="2" t="s">
        <v>100</v>
      </c>
      <c r="J32" s="2" t="s">
        <v>19</v>
      </c>
      <c r="K32" s="2">
        <f>PlasticExtrusionWidth</f>
        <v>1.2</v>
      </c>
      <c r="L32" s="2">
        <f>PlasticExtrusionHeight</f>
        <v>470.20311383399996</v>
      </c>
      <c r="M32" s="2" t="str">
        <f>CONCATENATE("F=", PlasticPrintSpeedStraight)</f>
        <v>F=1250</v>
      </c>
      <c r="N32" s="2"/>
      <c r="O32" s="2"/>
      <c r="P32" s="2"/>
      <c r="Q32" s="2"/>
      <c r="R32"/>
      <c r="S32" s="3" t="s">
        <v>163</v>
      </c>
      <c r="T32" s="3">
        <f>T30</f>
        <v>2500</v>
      </c>
      <c r="U32" s="5" t="s">
        <v>45</v>
      </c>
      <c r="V32"/>
      <c r="W32"/>
      <c r="X32"/>
      <c r="Y32"/>
      <c r="Z32"/>
      <c r="AA32"/>
      <c r="AB32"/>
      <c r="AC32"/>
      <c r="AD32"/>
      <c r="AE32"/>
      <c r="AF32"/>
      <c r="AG32"/>
      <c r="AH32"/>
      <c r="AI32"/>
      <c r="AJ32"/>
      <c r="AK32"/>
      <c r="AL32"/>
      <c r="AM32"/>
      <c r="AN32"/>
    </row>
    <row r="33" spans="1:40" s="81" customFormat="1" x14ac:dyDescent="0.25">
      <c r="A33" s="2">
        <v>26</v>
      </c>
      <c r="B33" s="2" t="s">
        <v>1</v>
      </c>
      <c r="C33" s="2" t="s">
        <v>18</v>
      </c>
      <c r="D33" s="2" t="s">
        <v>100</v>
      </c>
      <c r="E33" s="2" t="s">
        <v>100</v>
      </c>
      <c r="F33" s="2" t="s">
        <v>100</v>
      </c>
      <c r="G33" s="2" t="s">
        <v>100</v>
      </c>
      <c r="H33" s="2" t="str">
        <f>CONCATENATE("R-", PlasticExtrusionSpacing)</f>
        <v>R-1.35</v>
      </c>
      <c r="I33" s="2" t="s">
        <v>100</v>
      </c>
      <c r="J33" s="2" t="s">
        <v>19</v>
      </c>
      <c r="K33" s="2">
        <f>PlasticExtrusionWidth</f>
        <v>1.2</v>
      </c>
      <c r="L33" s="2">
        <f>PlasticExtrusionHeight</f>
        <v>470.20311383399996</v>
      </c>
      <c r="M33" s="2" t="str">
        <f>CONCATENATE("F=", PlasticPrintSpeedCurves)</f>
        <v>F=1000</v>
      </c>
      <c r="N33" s="2"/>
      <c r="O33" s="2"/>
      <c r="P33" s="2"/>
      <c r="Q33" s="2"/>
      <c r="R33"/>
      <c r="S33" s="3" t="s">
        <v>164</v>
      </c>
      <c r="T33" s="3">
        <v>0.65</v>
      </c>
      <c r="U33" s="5" t="s">
        <v>44</v>
      </c>
      <c r="V33"/>
      <c r="W33"/>
      <c r="X33"/>
      <c r="Y33"/>
      <c r="Z33"/>
      <c r="AA33"/>
      <c r="AB33"/>
      <c r="AC33"/>
      <c r="AD33"/>
      <c r="AE33"/>
      <c r="AF33"/>
      <c r="AG33"/>
      <c r="AH33"/>
      <c r="AI33"/>
      <c r="AJ33"/>
      <c r="AK33"/>
      <c r="AL33"/>
      <c r="AM33"/>
      <c r="AN33"/>
    </row>
    <row r="34" spans="1:40" s="81" customFormat="1" x14ac:dyDescent="0.25">
      <c r="A34" s="2">
        <v>27</v>
      </c>
      <c r="B34" s="2" t="s">
        <v>1</v>
      </c>
      <c r="C34" s="2" t="s">
        <v>18</v>
      </c>
      <c r="D34" s="2" t="s">
        <v>100</v>
      </c>
      <c r="E34" s="2" t="s">
        <v>100</v>
      </c>
      <c r="F34" s="2" t="s">
        <v>100</v>
      </c>
      <c r="G34" s="2" t="str">
        <f>CONCATENATE("R", RebarLength)</f>
        <v>R161.4</v>
      </c>
      <c r="H34" s="2" t="s">
        <v>100</v>
      </c>
      <c r="I34" s="2" t="s">
        <v>100</v>
      </c>
      <c r="J34" s="2" t="s">
        <v>19</v>
      </c>
      <c r="K34" s="2">
        <f>PlasticExtrusionWidth</f>
        <v>1.2</v>
      </c>
      <c r="L34" s="2">
        <f>PlasticExtrusionHeight</f>
        <v>470.20311383399996</v>
      </c>
      <c r="M34" s="2" t="str">
        <f>CONCATENATE("F=", PlasticPrintSpeedStraight)</f>
        <v>F=1250</v>
      </c>
      <c r="N34" s="2"/>
      <c r="O34" s="2"/>
      <c r="P34" s="2"/>
      <c r="Q34" s="2"/>
      <c r="R34"/>
      <c r="S34" s="3" t="s">
        <v>165</v>
      </c>
      <c r="T34" s="3">
        <v>10000</v>
      </c>
      <c r="U34" s="5" t="s">
        <v>45</v>
      </c>
      <c r="V34"/>
      <c r="W34"/>
      <c r="X34"/>
      <c r="Y34"/>
      <c r="Z34"/>
      <c r="AA34"/>
      <c r="AB34"/>
      <c r="AC34"/>
      <c r="AD34"/>
      <c r="AE34"/>
      <c r="AF34"/>
      <c r="AG34"/>
      <c r="AH34"/>
      <c r="AI34"/>
      <c r="AJ34"/>
      <c r="AK34"/>
      <c r="AL34"/>
      <c r="AM34"/>
      <c r="AN34"/>
    </row>
    <row r="35" spans="1:40" x14ac:dyDescent="0.25">
      <c r="A35" s="2">
        <v>28</v>
      </c>
      <c r="B35" s="2" t="s">
        <v>1</v>
      </c>
      <c r="C35" s="2" t="s">
        <v>18</v>
      </c>
      <c r="D35" s="2" t="s">
        <v>100</v>
      </c>
      <c r="E35" s="2" t="s">
        <v>100</v>
      </c>
      <c r="F35" s="2" t="s">
        <v>100</v>
      </c>
      <c r="G35" s="2" t="s">
        <v>100</v>
      </c>
      <c r="H35" s="2" t="str">
        <f>CONCATENATE("R-", PlasticExtrusionSpacing)</f>
        <v>R-1.35</v>
      </c>
      <c r="I35" s="2" t="s">
        <v>100</v>
      </c>
      <c r="J35" s="2" t="s">
        <v>19</v>
      </c>
      <c r="K35" s="2">
        <f>PlasticExtrusionWidth</f>
        <v>1.2</v>
      </c>
      <c r="L35" s="2">
        <f>PlasticExtrusionHeight</f>
        <v>470.20311383399996</v>
      </c>
      <c r="M35" s="2" t="str">
        <f>CONCATENATE("F=", PlasticPrintSpeedCurves)</f>
        <v>F=1000</v>
      </c>
      <c r="N35" s="2"/>
      <c r="O35" s="2"/>
      <c r="P35" s="2"/>
      <c r="Q35" s="2"/>
      <c r="R35"/>
      <c r="S35" s="29"/>
      <c r="T35" s="29"/>
      <c r="U35" s="91"/>
      <c r="V35" s="29"/>
      <c r="W35" s="29"/>
      <c r="X35" s="29"/>
      <c r="Y35" s="29"/>
      <c r="Z35" s="29"/>
      <c r="AA35" s="29"/>
      <c r="AB35" s="29"/>
      <c r="AC35" s="29"/>
      <c r="AD35" s="29"/>
      <c r="AE35" s="29"/>
      <c r="AF35" s="29"/>
      <c r="AG35"/>
      <c r="AH35"/>
      <c r="AI35"/>
      <c r="AJ35"/>
      <c r="AK35"/>
      <c r="AL35"/>
      <c r="AM35"/>
      <c r="AN35"/>
    </row>
    <row r="36" spans="1:40" x14ac:dyDescent="0.25">
      <c r="A36" s="2">
        <v>29</v>
      </c>
      <c r="B36" s="2" t="s">
        <v>55</v>
      </c>
      <c r="C36" s="98" t="s">
        <v>802</v>
      </c>
      <c r="D36" s="2">
        <v>0</v>
      </c>
      <c r="E36" s="2">
        <f>-2*PlasticExtrusionSpacing</f>
        <v>-2.7</v>
      </c>
      <c r="F36" s="2">
        <v>0</v>
      </c>
      <c r="G36" s="2">
        <f>RebarRepeats-1</f>
        <v>8</v>
      </c>
      <c r="H36" s="2"/>
      <c r="I36" s="2"/>
      <c r="J36" s="2"/>
      <c r="K36" s="2"/>
      <c r="L36" s="2"/>
      <c r="M36" s="2"/>
      <c r="N36" s="2"/>
      <c r="O36" s="2"/>
      <c r="P36" s="2"/>
      <c r="Q36" s="2"/>
      <c r="R36"/>
      <c r="S36" s="96" t="s">
        <v>292</v>
      </c>
      <c r="T36" s="96" t="s">
        <v>293</v>
      </c>
      <c r="U36" s="97" t="s">
        <v>331</v>
      </c>
      <c r="V36" s="29"/>
      <c r="W36" s="29"/>
      <c r="X36" s="29"/>
      <c r="Y36" s="29"/>
      <c r="Z36" s="29"/>
      <c r="AA36" s="29"/>
      <c r="AB36" s="29"/>
      <c r="AC36" s="29"/>
      <c r="AD36" s="29"/>
      <c r="AE36" s="29"/>
      <c r="AF36" s="29"/>
      <c r="AG36"/>
      <c r="AH36"/>
      <c r="AI36"/>
      <c r="AJ36"/>
      <c r="AK36"/>
      <c r="AL36"/>
      <c r="AM36"/>
      <c r="AN36"/>
    </row>
    <row r="37" spans="1:40" x14ac:dyDescent="0.25">
      <c r="A37" s="2">
        <v>30</v>
      </c>
      <c r="B37" s="143" t="s">
        <v>39</v>
      </c>
      <c r="C37" s="2">
        <v>0</v>
      </c>
      <c r="D37" s="2">
        <v>0</v>
      </c>
      <c r="E37" s="2">
        <f>PlasticLayerHeight</f>
        <v>0.9</v>
      </c>
      <c r="F37" s="2">
        <v>3000</v>
      </c>
      <c r="G37" s="2"/>
      <c r="H37" s="2"/>
      <c r="I37" s="2"/>
      <c r="J37" s="2"/>
      <c r="K37" s="2"/>
      <c r="L37" s="2"/>
      <c r="M37" s="2"/>
      <c r="N37" s="2"/>
      <c r="O37" s="2"/>
      <c r="P37" s="2"/>
      <c r="Q37" s="2"/>
      <c r="R37" s="29"/>
      <c r="S37" s="75" t="s">
        <v>696</v>
      </c>
      <c r="T37" s="75">
        <v>4</v>
      </c>
      <c r="U37" s="92">
        <v>5</v>
      </c>
      <c r="V37" s="29"/>
      <c r="W37" s="29"/>
      <c r="X37" s="29"/>
      <c r="Y37" s="29"/>
      <c r="Z37" s="29"/>
      <c r="AA37" s="29"/>
      <c r="AB37" s="29"/>
      <c r="AC37" s="29"/>
      <c r="AD37" s="29"/>
      <c r="AE37" s="29"/>
      <c r="AF37" s="29"/>
      <c r="AG37" s="29"/>
      <c r="AH37" s="29"/>
      <c r="AI37" s="29"/>
      <c r="AJ37" s="29"/>
      <c r="AK37" s="29"/>
      <c r="AL37" s="29"/>
      <c r="AM37" s="29"/>
      <c r="AN37" s="29"/>
    </row>
    <row r="38" spans="1:40" x14ac:dyDescent="0.25">
      <c r="A38" s="2">
        <v>31</v>
      </c>
      <c r="B38" s="2" t="s">
        <v>1</v>
      </c>
      <c r="C38" s="2" t="s">
        <v>18</v>
      </c>
      <c r="D38" s="2">
        <f>StartX+2*ConcreteExtrusionSpacing+BridgeSupportWidth+2*PlasticExtrusionSpacing</f>
        <v>290.7</v>
      </c>
      <c r="E38" s="2">
        <f>StartY</f>
        <v>100</v>
      </c>
      <c r="F38" s="2" t="s">
        <v>100</v>
      </c>
      <c r="G38" s="2" t="str">
        <f>CONCATENATE("R-", Length+2*BridgeSupportWidth+4*ConcreteExtrusionSpacing+4*PlasticExtrusionSpacing)</f>
        <v>R-161.4</v>
      </c>
      <c r="H38" s="2" t="s">
        <v>100</v>
      </c>
      <c r="I38" s="2" t="s">
        <v>100</v>
      </c>
      <c r="J38" s="2" t="s">
        <v>19</v>
      </c>
      <c r="K38" s="2">
        <f>PlasticExtrusionWidth</f>
        <v>1.2</v>
      </c>
      <c r="L38" s="2">
        <f>PlasticExtrusionHeight</f>
        <v>470.20311383399996</v>
      </c>
      <c r="M38" s="2" t="str">
        <f>CONCATENATE("F=", PlasticPrintSpeedStraight)</f>
        <v>F=1250</v>
      </c>
      <c r="N38" s="2"/>
      <c r="O38" s="2"/>
      <c r="P38" s="2"/>
      <c r="Q38" s="2"/>
      <c r="R38" s="29"/>
      <c r="S38" s="75" t="s">
        <v>780</v>
      </c>
      <c r="T38" s="75">
        <v>1.35</v>
      </c>
      <c r="U38" s="92">
        <v>3.2</v>
      </c>
      <c r="V38" s="29"/>
      <c r="W38" s="29"/>
      <c r="X38" s="29"/>
      <c r="Y38" s="29"/>
      <c r="Z38" s="29"/>
      <c r="AA38" s="29"/>
      <c r="AB38" s="29"/>
      <c r="AC38" s="29"/>
      <c r="AD38" s="29"/>
      <c r="AE38" s="29"/>
      <c r="AF38" s="29"/>
      <c r="AG38" s="29"/>
      <c r="AH38" s="29"/>
      <c r="AI38" s="29"/>
      <c r="AJ38" s="29"/>
      <c r="AK38" s="29"/>
      <c r="AL38" s="29"/>
      <c r="AM38" s="29"/>
      <c r="AN38" s="29"/>
    </row>
    <row r="39" spans="1:40" x14ac:dyDescent="0.25">
      <c r="A39" s="2">
        <v>32</v>
      </c>
      <c r="B39" s="2" t="s">
        <v>1</v>
      </c>
      <c r="C39" s="2" t="s">
        <v>18</v>
      </c>
      <c r="D39" s="2" t="s">
        <v>100</v>
      </c>
      <c r="E39" s="2" t="s">
        <v>100</v>
      </c>
      <c r="F39" s="2" t="s">
        <v>100</v>
      </c>
      <c r="G39" s="2" t="s">
        <v>100</v>
      </c>
      <c r="H39" s="2" t="str">
        <f>CONCATENATE("R-", PlasticExtrusionSpacing)</f>
        <v>R-1.35</v>
      </c>
      <c r="I39" s="2" t="s">
        <v>100</v>
      </c>
      <c r="J39" s="2" t="s">
        <v>19</v>
      </c>
      <c r="K39" s="2">
        <f>PlasticExtrusionWidth</f>
        <v>1.2</v>
      </c>
      <c r="L39" s="2">
        <f>PlasticExtrusionHeight</f>
        <v>470.20311383399996</v>
      </c>
      <c r="M39" s="2" t="str">
        <f>CONCATENATE("F=", PlasticPrintSpeedCurves)</f>
        <v>F=1000</v>
      </c>
      <c r="N39" s="2"/>
      <c r="O39" s="2"/>
      <c r="P39" s="2"/>
      <c r="Q39" s="2"/>
      <c r="S39" s="92" t="s">
        <v>697</v>
      </c>
      <c r="T39" s="92">
        <v>3.75</v>
      </c>
      <c r="U39" s="92" t="s">
        <v>109</v>
      </c>
    </row>
    <row r="40" spans="1:40" x14ac:dyDescent="0.25">
      <c r="A40" s="2">
        <v>33</v>
      </c>
      <c r="B40" s="2" t="s">
        <v>1</v>
      </c>
      <c r="C40" s="2" t="s">
        <v>18</v>
      </c>
      <c r="D40" s="2" t="s">
        <v>100</v>
      </c>
      <c r="E40" s="2" t="s">
        <v>100</v>
      </c>
      <c r="F40" s="2" t="s">
        <v>100</v>
      </c>
      <c r="G40" s="2" t="str">
        <f>CONCATENATE("R", Length+2*BridgeSupportWidth+4*ConcreteExtrusionSpacing+4*PlasticExtrusionSpacing)</f>
        <v>R161.4</v>
      </c>
      <c r="H40" s="2" t="s">
        <v>100</v>
      </c>
      <c r="I40" s="2" t="s">
        <v>100</v>
      </c>
      <c r="J40" s="2" t="s">
        <v>19</v>
      </c>
      <c r="K40" s="2">
        <f>PlasticExtrusionWidth</f>
        <v>1.2</v>
      </c>
      <c r="L40" s="2">
        <f>PlasticExtrusionHeight</f>
        <v>470.20311383399996</v>
      </c>
      <c r="M40" s="2" t="str">
        <f>CONCATENATE("F=", PlasticPrintSpeedStraight)</f>
        <v>F=1250</v>
      </c>
      <c r="N40" s="2"/>
      <c r="O40" s="2"/>
      <c r="P40" s="2"/>
      <c r="Q40" s="2"/>
      <c r="S40" s="92" t="s">
        <v>781</v>
      </c>
      <c r="T40" s="92">
        <v>1.2</v>
      </c>
      <c r="U40" s="92" t="s">
        <v>109</v>
      </c>
    </row>
    <row r="41" spans="1:40" x14ac:dyDescent="0.25">
      <c r="A41" s="2">
        <v>34</v>
      </c>
      <c r="B41" s="2" t="s">
        <v>1</v>
      </c>
      <c r="C41" s="2" t="s">
        <v>18</v>
      </c>
      <c r="D41" s="2" t="s">
        <v>100</v>
      </c>
      <c r="E41" s="2" t="s">
        <v>100</v>
      </c>
      <c r="F41" s="2" t="s">
        <v>100</v>
      </c>
      <c r="G41" s="2" t="s">
        <v>100</v>
      </c>
      <c r="H41" s="2" t="str">
        <f>CONCATENATE("R-", PlasticExtrusionSpacing)</f>
        <v>R-1.35</v>
      </c>
      <c r="I41" s="2" t="s">
        <v>100</v>
      </c>
      <c r="J41" s="2" t="s">
        <v>19</v>
      </c>
      <c r="K41" s="2">
        <f>PlasticExtrusionWidth</f>
        <v>1.2</v>
      </c>
      <c r="L41" s="2">
        <f>PlasticExtrusionHeight</f>
        <v>470.20311383399996</v>
      </c>
      <c r="M41" s="2" t="str">
        <f>CONCATENATE("F=", PlasticPrintSpeedCurves)</f>
        <v>F=1000</v>
      </c>
      <c r="N41" s="2"/>
      <c r="O41" s="2"/>
      <c r="P41" s="2"/>
      <c r="Q41" s="2"/>
      <c r="S41" s="92" t="s">
        <v>698</v>
      </c>
      <c r="T41" s="92">
        <v>2.95</v>
      </c>
      <c r="U41" s="92" t="s">
        <v>109</v>
      </c>
    </row>
    <row r="42" spans="1:40" x14ac:dyDescent="0.25">
      <c r="A42" s="2">
        <v>35</v>
      </c>
      <c r="B42" s="2" t="s">
        <v>55</v>
      </c>
      <c r="C42" s="98" t="s">
        <v>1112</v>
      </c>
      <c r="D42" s="2">
        <v>0</v>
      </c>
      <c r="E42" s="2">
        <f>-2*PlasticExtrusionSpacing</f>
        <v>-2.7</v>
      </c>
      <c r="F42" s="2">
        <v>0</v>
      </c>
      <c r="G42" s="2">
        <f>FLOOR(RebarWidth/(2*PlasticExtrusionSpacing),1)-1</f>
        <v>8</v>
      </c>
      <c r="H42" s="2"/>
      <c r="I42" s="2"/>
      <c r="J42" s="2"/>
      <c r="K42" s="2"/>
      <c r="L42" s="2"/>
      <c r="M42" s="2"/>
      <c r="N42" s="2"/>
      <c r="O42" s="2"/>
      <c r="P42" s="2"/>
      <c r="Q42" s="2"/>
      <c r="S42" s="92" t="s">
        <v>782</v>
      </c>
      <c r="T42" s="75">
        <f>0.9*522.44790426</f>
        <v>470.20311383399996</v>
      </c>
      <c r="U42" s="92" t="s">
        <v>109</v>
      </c>
    </row>
    <row r="43" spans="1:40" x14ac:dyDescent="0.25">
      <c r="A43" s="2">
        <v>36</v>
      </c>
      <c r="B43" s="2" t="s">
        <v>55</v>
      </c>
      <c r="C43" s="98" t="s">
        <v>1113</v>
      </c>
      <c r="D43" s="2">
        <v>0</v>
      </c>
      <c r="E43" s="2">
        <v>0</v>
      </c>
      <c r="F43" s="2">
        <f>PlasticLayerHeight</f>
        <v>0.9</v>
      </c>
      <c r="G43" s="2">
        <f>FLOOR((RebarHeight-2*PlasticLayerHeight)/(2*PlasticLayerHeight),1)-1</f>
        <v>3</v>
      </c>
      <c r="H43" s="2"/>
      <c r="I43" s="2"/>
      <c r="J43" s="2"/>
      <c r="K43" s="2"/>
      <c r="L43" s="2"/>
      <c r="M43" s="2"/>
      <c r="N43" s="2"/>
      <c r="O43" s="2"/>
      <c r="P43" s="2"/>
      <c r="Q43" s="2"/>
      <c r="S43" s="75" t="s">
        <v>644</v>
      </c>
      <c r="T43" s="75" t="s">
        <v>467</v>
      </c>
      <c r="U43" s="92" t="s">
        <v>109</v>
      </c>
    </row>
    <row r="44" spans="1:40" x14ac:dyDescent="0.25">
      <c r="A44" s="2">
        <v>37</v>
      </c>
      <c r="B44" s="2"/>
      <c r="C44" s="98"/>
      <c r="D44" s="2"/>
      <c r="E44" s="2"/>
      <c r="F44" s="2"/>
      <c r="G44" s="2"/>
      <c r="H44" s="2"/>
      <c r="I44" s="2"/>
      <c r="J44" s="2"/>
      <c r="K44" s="2"/>
      <c r="L44" s="2"/>
      <c r="M44" s="2"/>
      <c r="N44" s="2"/>
      <c r="O44" s="2"/>
      <c r="P44" s="2"/>
      <c r="Q44" s="2"/>
      <c r="S44" s="75" t="s">
        <v>699</v>
      </c>
      <c r="T44" s="75">
        <v>2.7</v>
      </c>
      <c r="U44" s="92" t="s">
        <v>109</v>
      </c>
    </row>
    <row r="45" spans="1:40" x14ac:dyDescent="0.25">
      <c r="A45" s="2">
        <v>38</v>
      </c>
      <c r="B45" s="2"/>
      <c r="C45" s="2"/>
      <c r="D45" s="2"/>
      <c r="E45" s="2"/>
      <c r="F45" s="2"/>
      <c r="G45" s="2"/>
      <c r="H45" s="2"/>
      <c r="I45" s="2"/>
      <c r="J45" s="2"/>
      <c r="K45" s="2"/>
      <c r="L45" s="2"/>
      <c r="M45" s="2"/>
      <c r="N45" s="2"/>
      <c r="O45" s="2"/>
      <c r="P45" s="2"/>
      <c r="Q45" s="2"/>
      <c r="S45" s="75" t="s">
        <v>783</v>
      </c>
      <c r="T45" s="75">
        <v>0.9</v>
      </c>
      <c r="U45" s="92" t="s">
        <v>109</v>
      </c>
    </row>
    <row r="46" spans="1:40" x14ac:dyDescent="0.25">
      <c r="A46" s="2">
        <v>39</v>
      </c>
      <c r="B46" s="2"/>
      <c r="C46" s="2"/>
      <c r="D46" s="2"/>
      <c r="E46" s="2"/>
      <c r="F46" s="2"/>
      <c r="G46" s="2"/>
      <c r="H46" s="2"/>
      <c r="I46" s="2"/>
      <c r="J46" s="2"/>
      <c r="K46" s="2"/>
      <c r="L46" s="2"/>
      <c r="M46" s="2"/>
      <c r="N46" s="2"/>
      <c r="O46" s="2"/>
      <c r="P46" s="2"/>
      <c r="Q46" s="2"/>
      <c r="S46" s="75" t="s">
        <v>677</v>
      </c>
      <c r="T46" s="75">
        <v>130</v>
      </c>
      <c r="U46" s="92" t="s">
        <v>109</v>
      </c>
    </row>
    <row r="47" spans="1:40" x14ac:dyDescent="0.25">
      <c r="A47" s="2">
        <v>40</v>
      </c>
      <c r="B47" s="143"/>
      <c r="C47" s="2"/>
      <c r="D47" s="2"/>
      <c r="E47" s="2"/>
      <c r="F47" s="2"/>
      <c r="G47" s="2"/>
      <c r="H47" s="2"/>
      <c r="I47" s="2"/>
      <c r="J47" s="2"/>
      <c r="K47" s="2"/>
      <c r="L47" s="2"/>
      <c r="M47" s="2"/>
      <c r="N47" s="2"/>
      <c r="O47" s="2"/>
      <c r="P47" s="2"/>
      <c r="Q47" s="2"/>
      <c r="S47" s="75" t="s">
        <v>179</v>
      </c>
      <c r="T47" s="75">
        <v>40</v>
      </c>
      <c r="U47" s="92" t="s">
        <v>109</v>
      </c>
    </row>
    <row r="48" spans="1:40" x14ac:dyDescent="0.25">
      <c r="A48" s="2">
        <v>41</v>
      </c>
      <c r="B48" s="143"/>
      <c r="C48" s="2"/>
      <c r="D48" s="2"/>
      <c r="E48" s="2"/>
      <c r="F48" s="2"/>
      <c r="G48" s="2"/>
      <c r="H48" s="2"/>
      <c r="I48" s="2"/>
      <c r="J48" s="2"/>
      <c r="K48" s="2"/>
      <c r="L48" s="2"/>
      <c r="M48" s="2"/>
      <c r="N48" s="2"/>
      <c r="O48" s="2"/>
      <c r="P48" s="2"/>
      <c r="Q48" s="2"/>
      <c r="S48" s="75" t="s">
        <v>180</v>
      </c>
      <c r="T48" s="75">
        <v>30</v>
      </c>
      <c r="U48" s="92" t="s">
        <v>109</v>
      </c>
    </row>
    <row r="49" spans="1:21" x14ac:dyDescent="0.25">
      <c r="A49" s="2">
        <v>42</v>
      </c>
      <c r="B49" s="143"/>
      <c r="C49" s="2"/>
      <c r="D49" s="2"/>
      <c r="E49" s="2"/>
      <c r="F49" s="2"/>
      <c r="G49" s="2"/>
      <c r="H49" s="2"/>
      <c r="I49" s="2"/>
      <c r="J49" s="2"/>
      <c r="K49" s="2"/>
      <c r="L49" s="2"/>
      <c r="M49" s="2"/>
      <c r="N49" s="2"/>
      <c r="O49" s="2"/>
      <c r="P49" s="2"/>
      <c r="Q49" s="2"/>
      <c r="S49" s="75" t="s">
        <v>271</v>
      </c>
      <c r="T49" s="75">
        <f>275</f>
        <v>275</v>
      </c>
      <c r="U49" s="92" t="s">
        <v>109</v>
      </c>
    </row>
    <row r="50" spans="1:21" x14ac:dyDescent="0.25">
      <c r="A50" s="2">
        <v>43</v>
      </c>
      <c r="B50" s="143"/>
      <c r="C50" s="2"/>
      <c r="D50" s="2"/>
      <c r="E50" s="2"/>
      <c r="F50" s="2"/>
      <c r="G50" s="2"/>
      <c r="H50" s="2"/>
      <c r="I50" s="2"/>
      <c r="J50" s="2"/>
      <c r="K50" s="2"/>
      <c r="L50" s="2"/>
      <c r="M50" s="2"/>
      <c r="N50" s="2"/>
      <c r="O50" s="2"/>
      <c r="P50" s="2"/>
      <c r="Q50" s="2"/>
      <c r="S50" s="75" t="s">
        <v>272</v>
      </c>
      <c r="T50" s="75">
        <v>100</v>
      </c>
      <c r="U50" s="92" t="s">
        <v>109</v>
      </c>
    </row>
    <row r="51" spans="1:21" x14ac:dyDescent="0.25">
      <c r="A51" s="2">
        <v>44</v>
      </c>
      <c r="B51" s="143"/>
      <c r="C51" s="98"/>
      <c r="D51" s="2"/>
      <c r="E51" s="2"/>
      <c r="F51" s="2"/>
      <c r="G51" s="2"/>
      <c r="H51" s="2"/>
      <c r="I51" s="2"/>
      <c r="J51" s="2"/>
      <c r="K51" s="2"/>
      <c r="L51" s="2"/>
      <c r="M51" s="2"/>
      <c r="N51" s="2"/>
      <c r="O51" s="2"/>
      <c r="P51" s="2"/>
      <c r="Q51" s="2"/>
      <c r="S51" s="75" t="s">
        <v>700</v>
      </c>
      <c r="T51" s="75">
        <f>StartX-ConcretePrimeLength</f>
        <v>125</v>
      </c>
      <c r="U51" s="92" t="s">
        <v>109</v>
      </c>
    </row>
    <row r="52" spans="1:21" x14ac:dyDescent="0.25">
      <c r="A52" s="2">
        <v>45</v>
      </c>
      <c r="B52" s="143"/>
      <c r="C52" s="2"/>
      <c r="D52" s="2"/>
      <c r="E52" s="2"/>
      <c r="F52" s="2"/>
      <c r="G52" s="2"/>
      <c r="H52" s="2"/>
      <c r="I52" s="2"/>
      <c r="J52" s="2"/>
      <c r="K52" s="2"/>
      <c r="L52" s="2"/>
      <c r="M52" s="2"/>
      <c r="N52" s="2"/>
      <c r="O52" s="2"/>
      <c r="P52" s="2"/>
      <c r="Q52" s="2"/>
      <c r="S52" s="92" t="s">
        <v>701</v>
      </c>
      <c r="T52" s="92">
        <v>125</v>
      </c>
      <c r="U52" s="92" t="s">
        <v>109</v>
      </c>
    </row>
    <row r="53" spans="1:21" x14ac:dyDescent="0.25">
      <c r="A53" s="2">
        <v>46</v>
      </c>
      <c r="B53" s="143"/>
      <c r="C53" s="2"/>
      <c r="D53" s="2"/>
      <c r="E53" s="2"/>
      <c r="F53" s="2"/>
      <c r="G53" s="2"/>
      <c r="H53" s="2"/>
      <c r="I53" s="2"/>
      <c r="J53" s="2"/>
      <c r="K53" s="2"/>
      <c r="L53" s="2"/>
      <c r="M53" s="2"/>
      <c r="N53" s="2"/>
      <c r="O53" s="2"/>
      <c r="P53" s="2"/>
      <c r="Q53" s="2"/>
      <c r="S53" s="92" t="s">
        <v>702</v>
      </c>
      <c r="T53" s="92">
        <v>150</v>
      </c>
      <c r="U53" s="92" t="s">
        <v>109</v>
      </c>
    </row>
    <row r="54" spans="1:21" x14ac:dyDescent="0.25">
      <c r="A54" s="2">
        <v>47</v>
      </c>
      <c r="B54" s="143"/>
      <c r="C54" s="98"/>
      <c r="D54" s="2"/>
      <c r="E54" s="2"/>
      <c r="F54" s="2"/>
      <c r="G54" s="2"/>
      <c r="H54" s="2"/>
      <c r="I54" s="2"/>
      <c r="J54" s="2"/>
      <c r="K54" s="2"/>
      <c r="L54" s="2"/>
      <c r="M54" s="2"/>
      <c r="N54" s="2"/>
      <c r="O54" s="2"/>
      <c r="P54" s="2"/>
      <c r="Q54" s="2"/>
      <c r="S54" s="92" t="s">
        <v>784</v>
      </c>
      <c r="T54" s="92">
        <v>1250</v>
      </c>
      <c r="U54" s="92">
        <v>1000</v>
      </c>
    </row>
    <row r="55" spans="1:21" x14ac:dyDescent="0.25">
      <c r="A55" s="2">
        <v>48</v>
      </c>
      <c r="B55" s="143"/>
      <c r="C55" s="98"/>
      <c r="D55" s="2"/>
      <c r="E55" s="2"/>
      <c r="F55" s="2"/>
      <c r="G55" s="2"/>
      <c r="H55" s="2"/>
      <c r="I55" s="2"/>
      <c r="J55" s="2"/>
      <c r="K55" s="2"/>
      <c r="L55" s="2"/>
      <c r="M55" s="2"/>
      <c r="N55" s="2"/>
      <c r="O55" s="2"/>
      <c r="P55" s="2"/>
      <c r="Q55" s="2"/>
      <c r="S55" s="92" t="s">
        <v>785</v>
      </c>
      <c r="T55" s="92">
        <v>5</v>
      </c>
      <c r="U55" s="92" t="s">
        <v>109</v>
      </c>
    </row>
    <row r="56" spans="1:21" x14ac:dyDescent="0.25">
      <c r="A56" s="2">
        <v>49</v>
      </c>
      <c r="B56" s="143"/>
      <c r="C56" s="98"/>
      <c r="D56" s="2"/>
      <c r="E56" s="2"/>
      <c r="F56" s="2"/>
      <c r="G56" s="2"/>
      <c r="H56" s="2"/>
      <c r="I56" s="2"/>
      <c r="J56" s="2"/>
      <c r="K56" s="2"/>
      <c r="L56" s="2"/>
      <c r="M56" s="2"/>
      <c r="N56" s="2"/>
      <c r="O56" s="2"/>
      <c r="P56" s="2"/>
      <c r="Q56" s="2"/>
      <c r="S56" s="92" t="s">
        <v>786</v>
      </c>
      <c r="T56" s="92">
        <v>2</v>
      </c>
      <c r="U56" s="92" t="s">
        <v>109</v>
      </c>
    </row>
    <row r="57" spans="1:21" x14ac:dyDescent="0.25">
      <c r="A57" s="2">
        <v>50</v>
      </c>
      <c r="B57" s="143"/>
      <c r="C57" s="2"/>
      <c r="D57" s="2"/>
      <c r="E57" s="2"/>
      <c r="F57" s="2"/>
      <c r="G57" s="2"/>
      <c r="H57" s="2"/>
      <c r="I57" s="2"/>
      <c r="J57" s="2"/>
      <c r="K57" s="2"/>
      <c r="L57" s="2"/>
      <c r="M57" s="2"/>
      <c r="N57" s="2"/>
      <c r="O57" s="2"/>
      <c r="P57" s="2"/>
      <c r="Q57" s="2"/>
      <c r="S57" s="92" t="s">
        <v>787</v>
      </c>
      <c r="T57" s="92">
        <f>FLOOR(Length/(BarbSpacing+PlasticExtrusionSpacing),1)</f>
        <v>20</v>
      </c>
      <c r="U57" s="92" t="s">
        <v>109</v>
      </c>
    </row>
    <row r="58" spans="1:21" x14ac:dyDescent="0.25">
      <c r="A58" s="2">
        <v>51</v>
      </c>
      <c r="B58" s="143"/>
      <c r="C58" s="98"/>
      <c r="D58" s="2"/>
      <c r="E58" s="2"/>
      <c r="F58" s="2"/>
      <c r="G58" s="2"/>
      <c r="H58" s="2"/>
      <c r="I58" s="2"/>
      <c r="J58" s="2"/>
      <c r="K58" s="2"/>
      <c r="L58" s="2"/>
      <c r="M58" s="2"/>
      <c r="N58" s="2"/>
      <c r="O58" s="2"/>
      <c r="P58" s="2"/>
      <c r="Q58" s="2"/>
      <c r="S58" s="75" t="s">
        <v>856</v>
      </c>
      <c r="T58" s="75">
        <v>25</v>
      </c>
      <c r="U58" s="92" t="s">
        <v>109</v>
      </c>
    </row>
    <row r="59" spans="1:21" x14ac:dyDescent="0.25">
      <c r="S59" s="75" t="s">
        <v>857</v>
      </c>
      <c r="T59" s="75">
        <v>10</v>
      </c>
      <c r="U59" s="92" t="s">
        <v>109</v>
      </c>
    </row>
    <row r="60" spans="1:21" x14ac:dyDescent="0.25">
      <c r="S60" s="75" t="s">
        <v>858</v>
      </c>
      <c r="T60" s="75">
        <v>5</v>
      </c>
      <c r="U60" s="92" t="s">
        <v>109</v>
      </c>
    </row>
    <row r="61" spans="1:21" x14ac:dyDescent="0.25">
      <c r="S61" s="75" t="s">
        <v>859</v>
      </c>
      <c r="T61" s="75">
        <v>5</v>
      </c>
      <c r="U61" s="92" t="s">
        <v>109</v>
      </c>
    </row>
    <row r="62" spans="1:21" x14ac:dyDescent="0.25">
      <c r="S62" s="92" t="s">
        <v>896</v>
      </c>
      <c r="T62" s="92">
        <v>1500</v>
      </c>
      <c r="U62" s="92" t="s">
        <v>109</v>
      </c>
    </row>
    <row r="63" spans="1:21" x14ac:dyDescent="0.25">
      <c r="S63" s="92" t="s">
        <v>920</v>
      </c>
      <c r="T63" s="92">
        <f>Length+2*BridgeSupportWidth+4*ConcreteExtrusionSpacing+4*PlasticExtrusionSpacing</f>
        <v>161.4</v>
      </c>
      <c r="U63" s="92" t="s">
        <v>109</v>
      </c>
    </row>
    <row r="64" spans="1:21" x14ac:dyDescent="0.25">
      <c r="S64" s="92" t="s">
        <v>921</v>
      </c>
      <c r="T64" s="92">
        <f>FLOOR(RebarWidth/(2*PlasticExtrusionSpacing),1)</f>
        <v>9</v>
      </c>
      <c r="U64" s="92" t="s">
        <v>109</v>
      </c>
    </row>
    <row r="65" spans="19:21" x14ac:dyDescent="0.25">
      <c r="S65" s="92"/>
      <c r="T65" s="92" t="s">
        <v>109</v>
      </c>
      <c r="U65" s="92" t="s">
        <v>109</v>
      </c>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82:W1048576 W1:W5">
    <cfRule type="aboveAverage" dxfId="5" priority="256"/>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3:AT155"/>
  <sheetViews>
    <sheetView zoomScale="85" zoomScaleNormal="85" workbookViewId="0">
      <selection activeCell="B39" sqref="B39:Q78"/>
    </sheetView>
  </sheetViews>
  <sheetFormatPr defaultRowHeight="15" x14ac:dyDescent="0.25"/>
  <cols>
    <col min="2" max="2" width="21.140625" customWidth="1"/>
    <col min="3" max="3" width="12.42578125" customWidth="1"/>
    <col min="19" max="19" width="31.7109375" bestFit="1" customWidth="1"/>
  </cols>
  <sheetData>
    <row r="3" spans="1:46" x14ac:dyDescent="0.25">
      <c r="A3" s="58" t="s">
        <v>129</v>
      </c>
      <c r="B3" s="2" t="s">
        <v>648</v>
      </c>
      <c r="C3" s="58" t="s">
        <v>128</v>
      </c>
      <c r="D3" s="2" t="s">
        <v>617</v>
      </c>
      <c r="U3" s="89"/>
      <c r="AO3" t="s">
        <v>130</v>
      </c>
      <c r="AP3" t="s">
        <v>631</v>
      </c>
      <c r="AQ3" t="s">
        <v>129</v>
      </c>
      <c r="AR3" t="s">
        <v>615</v>
      </c>
      <c r="AS3" t="s">
        <v>128</v>
      </c>
      <c r="AT3" t="s">
        <v>617</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0.55000000000000004</v>
      </c>
      <c r="U6" s="5" t="s">
        <v>44</v>
      </c>
    </row>
    <row r="7" spans="1:46" x14ac:dyDescent="0.25">
      <c r="A7" s="2">
        <v>3</v>
      </c>
      <c r="B7" s="2" t="s">
        <v>616</v>
      </c>
      <c r="C7" s="2"/>
      <c r="D7" s="2"/>
      <c r="E7" s="2"/>
      <c r="F7" s="2"/>
      <c r="G7" s="2"/>
      <c r="H7" s="2"/>
      <c r="I7" s="2"/>
      <c r="J7" s="2"/>
      <c r="K7" s="2"/>
      <c r="L7" s="2"/>
      <c r="M7" s="2"/>
      <c r="N7" s="2"/>
      <c r="O7" s="2"/>
      <c r="P7" s="2"/>
      <c r="Q7" s="2"/>
      <c r="S7" s="5" t="s">
        <v>87</v>
      </c>
      <c r="T7" s="5">
        <v>0.83</v>
      </c>
      <c r="U7" s="5" t="s">
        <v>89</v>
      </c>
    </row>
    <row r="8" spans="1:46" x14ac:dyDescent="0.25">
      <c r="A8" s="2">
        <v>4</v>
      </c>
      <c r="B8" s="2"/>
      <c r="C8" s="2"/>
      <c r="D8" s="2"/>
      <c r="E8" s="2"/>
      <c r="F8" s="2"/>
      <c r="G8" s="2"/>
      <c r="H8" s="2"/>
      <c r="I8" s="2"/>
      <c r="J8" s="2"/>
      <c r="K8" s="2"/>
      <c r="L8" s="2"/>
      <c r="M8" s="2"/>
      <c r="N8" s="2"/>
      <c r="O8" s="2"/>
      <c r="P8" s="2"/>
      <c r="Q8" s="2"/>
      <c r="S8" s="5" t="s">
        <v>88</v>
      </c>
      <c r="T8" s="5">
        <v>0.5</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1500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v>33</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10000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678</v>
      </c>
      <c r="C37" s="58" t="s">
        <v>128</v>
      </c>
      <c r="D37" s="2" t="s">
        <v>617</v>
      </c>
      <c r="U37" s="89"/>
      <c r="AO37" t="s">
        <v>130</v>
      </c>
      <c r="AP37" t="s">
        <v>679</v>
      </c>
      <c r="AQ37" t="s">
        <v>129</v>
      </c>
      <c r="AR37" t="s">
        <v>678</v>
      </c>
      <c r="AS37" t="s">
        <v>128</v>
      </c>
      <c r="AT37" t="s">
        <v>617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42" t="s">
        <v>658</v>
      </c>
      <c r="C39" s="2" t="s">
        <v>18</v>
      </c>
      <c r="D39" s="2" t="s">
        <v>3</v>
      </c>
      <c r="E39" s="2" t="s">
        <v>4</v>
      </c>
      <c r="F39" s="2" t="s">
        <v>33</v>
      </c>
      <c r="G39" s="2" t="s">
        <v>5</v>
      </c>
      <c r="H39" s="2" t="s">
        <v>6</v>
      </c>
      <c r="I39" s="2" t="s">
        <v>34</v>
      </c>
      <c r="J39" s="2" t="s">
        <v>77</v>
      </c>
      <c r="K39" s="2" t="s">
        <v>15</v>
      </c>
      <c r="L39" s="2" t="s">
        <v>11</v>
      </c>
      <c r="M39" s="2" t="s">
        <v>181</v>
      </c>
      <c r="N39" s="2"/>
      <c r="O39" s="2"/>
      <c r="P39" s="2"/>
      <c r="Q39" s="2"/>
      <c r="S39" s="95" t="s">
        <v>40</v>
      </c>
      <c r="T39" s="3"/>
      <c r="U39" s="5"/>
    </row>
    <row r="40" spans="1:46" x14ac:dyDescent="0.25">
      <c r="A40" s="2">
        <v>2</v>
      </c>
      <c r="B40" s="142" t="s">
        <v>664</v>
      </c>
      <c r="C40" s="2" t="s">
        <v>203</v>
      </c>
      <c r="D40" s="2">
        <v>0</v>
      </c>
      <c r="E40" s="2"/>
      <c r="F40" s="2"/>
      <c r="G40" s="2"/>
      <c r="H40" s="2"/>
      <c r="I40" s="2"/>
      <c r="J40" s="2"/>
      <c r="K40" s="2"/>
      <c r="L40" s="2"/>
      <c r="M40" s="2"/>
      <c r="N40" s="2"/>
      <c r="O40" s="2"/>
      <c r="P40" s="2"/>
      <c r="Q40" s="2" t="s">
        <v>660</v>
      </c>
      <c r="S40" s="5" t="s">
        <v>98</v>
      </c>
      <c r="T40" s="5">
        <v>0.55000000000000004</v>
      </c>
      <c r="U40" s="5" t="s">
        <v>44</v>
      </c>
    </row>
    <row r="41" spans="1:46" x14ac:dyDescent="0.25">
      <c r="A41" s="2">
        <v>3</v>
      </c>
      <c r="B41" s="142" t="s">
        <v>658</v>
      </c>
      <c r="C41" s="2" t="s">
        <v>18</v>
      </c>
      <c r="D41" s="2" t="s">
        <v>100</v>
      </c>
      <c r="E41" s="2" t="s">
        <v>100</v>
      </c>
      <c r="F41" s="2" t="s">
        <v>100</v>
      </c>
      <c r="G41" s="2">
        <v>50</v>
      </c>
      <c r="H41" s="2">
        <v>50</v>
      </c>
      <c r="I41" s="2">
        <v>0.55000000000000004</v>
      </c>
      <c r="J41" s="2" t="s">
        <v>23</v>
      </c>
      <c r="K41" s="2"/>
      <c r="L41" s="2"/>
      <c r="M41" s="2"/>
      <c r="N41" s="2"/>
      <c r="O41" s="2"/>
      <c r="P41" s="2"/>
      <c r="Q41" s="2"/>
      <c r="S41" s="5" t="s">
        <v>87</v>
      </c>
      <c r="T41" s="5">
        <v>0.83</v>
      </c>
      <c r="U41" s="5" t="s">
        <v>89</v>
      </c>
    </row>
    <row r="42" spans="1:46" x14ac:dyDescent="0.25">
      <c r="A42" s="2">
        <v>4</v>
      </c>
      <c r="B42" s="2" t="s">
        <v>1</v>
      </c>
      <c r="C42" s="2" t="s">
        <v>18</v>
      </c>
      <c r="D42" s="2" cm="1">
        <f t="array" ref="D42">StartX</f>
        <v>275</v>
      </c>
      <c r="E42" s="2">
        <f>StartY</f>
        <v>100</v>
      </c>
      <c r="F42" s="2">
        <v>0</v>
      </c>
      <c r="G42" s="2" t="e">
        <f>CONCATENATE("R", 3*ExtrusionSpacing_L1)</f>
        <v>#NAME?</v>
      </c>
      <c r="H42" s="2" t="s">
        <v>100</v>
      </c>
      <c r="I42" s="2" t="s">
        <v>100</v>
      </c>
      <c r="J42" s="2" t="s">
        <v>19</v>
      </c>
      <c r="K42" s="2" t="e">
        <f>ExtrusionWidth</f>
        <v>#NAME?</v>
      </c>
      <c r="L42" s="2" t="e">
        <f>ExtrusionHeight</f>
        <v>#NAME?</v>
      </c>
      <c r="M42" s="2"/>
      <c r="N42" s="2"/>
      <c r="O42" s="2"/>
      <c r="P42" s="2"/>
      <c r="Q42" s="2"/>
      <c r="S42" s="5" t="s">
        <v>88</v>
      </c>
      <c r="T42" s="5">
        <v>0.85</v>
      </c>
      <c r="U42" s="5" t="s">
        <v>89</v>
      </c>
    </row>
    <row r="43" spans="1:46" x14ac:dyDescent="0.25">
      <c r="A43" s="2">
        <v>5</v>
      </c>
      <c r="B43" s="2" t="s">
        <v>1</v>
      </c>
      <c r="C43" s="2" t="s">
        <v>18</v>
      </c>
      <c r="D43" s="2" t="s">
        <v>100</v>
      </c>
      <c r="E43" s="2" t="s">
        <v>100</v>
      </c>
      <c r="F43" s="2" t="s">
        <v>100</v>
      </c>
      <c r="G43" s="2" t="s">
        <v>100</v>
      </c>
      <c r="H43" s="2" t="str" cm="1">
        <f t="array" ref="H43">CONCATENATE("R", Length)</f>
        <v>R130</v>
      </c>
      <c r="I43" s="2" t="s">
        <v>100</v>
      </c>
      <c r="J43" s="2" t="s">
        <v>19</v>
      </c>
      <c r="K43" s="2" t="e">
        <f>ExtrusionWidth</f>
        <v>#NAME?</v>
      </c>
      <c r="L43" s="2" t="e">
        <f>ExtrusionHeight</f>
        <v>#NAME?</v>
      </c>
      <c r="M43" s="2"/>
      <c r="N43" s="2"/>
      <c r="O43" s="2"/>
      <c r="P43" s="2"/>
      <c r="Q43" s="2"/>
      <c r="S43" s="5" t="s">
        <v>193</v>
      </c>
      <c r="T43" s="5" t="s">
        <v>204</v>
      </c>
      <c r="U43" s="5"/>
      <c r="V43" s="5" t="s">
        <v>204</v>
      </c>
      <c r="W43" s="5" t="s">
        <v>204</v>
      </c>
      <c r="X43" s="5" t="s">
        <v>204</v>
      </c>
      <c r="Y43" s="5" t="s">
        <v>204</v>
      </c>
      <c r="Z43" s="5" t="s">
        <v>204</v>
      </c>
      <c r="AA43" s="5" t="s">
        <v>204</v>
      </c>
      <c r="AB43" s="127" t="s">
        <v>466</v>
      </c>
      <c r="AC43" s="128" t="s">
        <v>483</v>
      </c>
      <c r="AD43" s="5" t="s">
        <v>204</v>
      </c>
      <c r="AE43" s="5" t="s">
        <v>204</v>
      </c>
      <c r="AF43" s="5" t="s">
        <v>204</v>
      </c>
      <c r="AG43" s="5" t="s">
        <v>204</v>
      </c>
      <c r="AH43" s="5" t="s">
        <v>204</v>
      </c>
    </row>
    <row r="44" spans="1:46" x14ac:dyDescent="0.25">
      <c r="A44" s="2">
        <v>6</v>
      </c>
      <c r="B44" s="2" t="s">
        <v>1</v>
      </c>
      <c r="C44" s="2" t="s">
        <v>18</v>
      </c>
      <c r="D44" s="2" t="s">
        <v>100</v>
      </c>
      <c r="E44" s="2" t="s">
        <v>100</v>
      </c>
      <c r="F44" s="2" t="s">
        <v>100</v>
      </c>
      <c r="G44" s="2" t="e">
        <f>CONCATENATE("R", ExtrusionSpacing_L1)</f>
        <v>#NAME?</v>
      </c>
      <c r="H44" s="2" t="s">
        <v>100</v>
      </c>
      <c r="I44" s="2" t="s">
        <v>100</v>
      </c>
      <c r="J44" s="2" t="s">
        <v>19</v>
      </c>
      <c r="K44" s="2" t="e">
        <f>ExtrusionWidth</f>
        <v>#NAME?</v>
      </c>
      <c r="L44" s="2" t="e">
        <f>ExtrusionHeight</f>
        <v>#NAME?</v>
      </c>
      <c r="M44" s="2"/>
      <c r="N44" s="2"/>
      <c r="O44" s="2"/>
      <c r="P44" s="2"/>
      <c r="Q44" s="2"/>
      <c r="S44" s="5" t="s">
        <v>194</v>
      </c>
      <c r="T44" s="5">
        <v>0</v>
      </c>
      <c r="U44" s="5"/>
    </row>
    <row r="45" spans="1:46" x14ac:dyDescent="0.25">
      <c r="A45" s="2">
        <v>7</v>
      </c>
      <c r="B45" s="2" t="s">
        <v>1</v>
      </c>
      <c r="C45" s="2" t="s">
        <v>18</v>
      </c>
      <c r="D45" s="2" t="s">
        <v>100</v>
      </c>
      <c r="E45" s="2" t="s">
        <v>100</v>
      </c>
      <c r="F45" s="2" t="s">
        <v>100</v>
      </c>
      <c r="G45" s="2" t="s">
        <v>100</v>
      </c>
      <c r="H45" s="2" t="str">
        <f>CONCATENATE("R-", Length)</f>
        <v>R-130</v>
      </c>
      <c r="I45" s="2" t="s">
        <v>100</v>
      </c>
      <c r="J45" s="2" t="s">
        <v>19</v>
      </c>
      <c r="K45" s="2" t="e">
        <f>ExtrusionWidth</f>
        <v>#NAME?</v>
      </c>
      <c r="L45" s="2" t="e">
        <f>ExtrusionHeight</f>
        <v>#NAME?</v>
      </c>
      <c r="M45" s="2"/>
      <c r="N45" s="2"/>
      <c r="O45" s="2"/>
      <c r="P45" s="2"/>
      <c r="Q45" s="2"/>
      <c r="S45" s="57"/>
      <c r="T45" s="57"/>
      <c r="U45" s="90"/>
    </row>
    <row r="46" spans="1:46" x14ac:dyDescent="0.25">
      <c r="A46" s="2">
        <v>8</v>
      </c>
      <c r="B46" s="2" t="s">
        <v>55</v>
      </c>
      <c r="C46" s="98" t="s">
        <v>666</v>
      </c>
      <c r="D46" s="2" t="e">
        <f>4*ExtrusionSpacing_L1</f>
        <v>#NAME?</v>
      </c>
      <c r="E46" s="2">
        <v>0</v>
      </c>
      <c r="F46" s="2">
        <v>0</v>
      </c>
      <c r="G46" s="2">
        <v>20</v>
      </c>
      <c r="H46" s="2"/>
      <c r="I46" s="2"/>
      <c r="J46" s="2"/>
      <c r="K46" s="2"/>
      <c r="L46" s="2"/>
      <c r="M46" s="2"/>
      <c r="N46" s="2"/>
      <c r="O46" s="2"/>
      <c r="P46" s="2"/>
      <c r="Q46" s="2"/>
      <c r="S46" s="5" t="s">
        <v>338</v>
      </c>
      <c r="T46" s="122">
        <v>65</v>
      </c>
      <c r="U46" s="5" t="s">
        <v>43</v>
      </c>
      <c r="V46" s="122">
        <v>60</v>
      </c>
      <c r="W46" s="123">
        <v>60</v>
      </c>
      <c r="X46" s="137">
        <v>60</v>
      </c>
      <c r="Y46" s="124">
        <v>60</v>
      </c>
      <c r="Z46" s="126">
        <v>60</v>
      </c>
      <c r="AA46" s="127">
        <v>60</v>
      </c>
      <c r="AB46" s="127">
        <v>60</v>
      </c>
      <c r="AC46" s="134">
        <v>60</v>
      </c>
      <c r="AD46" s="135">
        <v>60</v>
      </c>
      <c r="AE46" s="136">
        <v>60</v>
      </c>
      <c r="AF46" s="138">
        <v>60</v>
      </c>
      <c r="AG46" s="132">
        <v>60</v>
      </c>
      <c r="AH46" s="139">
        <v>60</v>
      </c>
    </row>
    <row r="47" spans="1:46" x14ac:dyDescent="0.25">
      <c r="A47" s="2">
        <v>9</v>
      </c>
      <c r="B47" s="143" t="s">
        <v>49</v>
      </c>
      <c r="C47" s="2" t="s">
        <v>674</v>
      </c>
      <c r="D47" s="2"/>
      <c r="E47" s="2"/>
      <c r="F47" s="2"/>
      <c r="G47" s="2"/>
      <c r="H47" s="2"/>
      <c r="I47" s="2"/>
      <c r="J47" s="2"/>
      <c r="K47" s="2"/>
      <c r="L47" s="2"/>
      <c r="M47" s="2"/>
      <c r="N47" s="2"/>
      <c r="O47" s="2"/>
      <c r="P47" s="2"/>
      <c r="Q47" s="2"/>
      <c r="S47" s="5" t="s">
        <v>85</v>
      </c>
      <c r="T47" s="5">
        <v>1500</v>
      </c>
      <c r="U47" s="5" t="s">
        <v>45</v>
      </c>
    </row>
    <row r="48" spans="1:46" x14ac:dyDescent="0.25">
      <c r="A48" s="2">
        <v>10</v>
      </c>
      <c r="B48" s="143" t="s">
        <v>49</v>
      </c>
      <c r="C48" s="2" t="s">
        <v>203</v>
      </c>
      <c r="D48" s="2">
        <v>1</v>
      </c>
      <c r="E48" s="2"/>
      <c r="F48" s="2"/>
      <c r="G48" s="2"/>
      <c r="H48" s="2"/>
      <c r="I48" s="2"/>
      <c r="J48" s="2"/>
      <c r="K48" s="2"/>
      <c r="L48" s="2"/>
      <c r="M48" s="2"/>
      <c r="N48" s="2"/>
      <c r="O48" s="2"/>
      <c r="P48" s="2"/>
      <c r="Q48" s="2"/>
      <c r="S48" s="5" t="s">
        <v>86</v>
      </c>
      <c r="T48" s="5">
        <v>48000</v>
      </c>
      <c r="U48" s="5" t="s">
        <v>45</v>
      </c>
    </row>
    <row r="49" spans="1:34" x14ac:dyDescent="0.25">
      <c r="A49" s="2">
        <v>11</v>
      </c>
      <c r="B49" s="143" t="s">
        <v>49</v>
      </c>
      <c r="C49" s="2" t="s">
        <v>634</v>
      </c>
      <c r="D49" s="2"/>
      <c r="E49" s="2"/>
      <c r="F49" s="143"/>
      <c r="G49" s="2"/>
      <c r="H49" s="2"/>
      <c r="I49" s="2"/>
      <c r="J49" s="2"/>
      <c r="K49" s="2"/>
      <c r="L49" s="2"/>
      <c r="M49" s="2"/>
      <c r="N49" s="2"/>
      <c r="O49" s="2"/>
      <c r="P49" s="2"/>
      <c r="Q49" s="2"/>
      <c r="S49" s="5" t="s">
        <v>41</v>
      </c>
      <c r="T49" s="122">
        <v>220</v>
      </c>
      <c r="U49" s="5" t="s">
        <v>43</v>
      </c>
      <c r="V49" s="122">
        <v>210</v>
      </c>
      <c r="W49" s="123">
        <v>210</v>
      </c>
      <c r="X49" s="137">
        <v>210</v>
      </c>
      <c r="Y49" s="124">
        <v>215</v>
      </c>
      <c r="Z49" s="126">
        <v>220</v>
      </c>
      <c r="AA49" s="127">
        <v>210</v>
      </c>
      <c r="AB49" s="127">
        <v>210</v>
      </c>
      <c r="AC49" s="134">
        <v>210</v>
      </c>
      <c r="AD49" s="135">
        <v>210</v>
      </c>
      <c r="AE49" s="136">
        <v>210</v>
      </c>
      <c r="AF49" s="138">
        <v>210</v>
      </c>
      <c r="AG49" s="132">
        <v>210</v>
      </c>
      <c r="AH49" s="139">
        <v>210</v>
      </c>
    </row>
    <row r="50" spans="1:34" x14ac:dyDescent="0.25">
      <c r="A50" s="2">
        <v>12</v>
      </c>
      <c r="B50" s="142" t="s">
        <v>658</v>
      </c>
      <c r="C50" s="2" t="s">
        <v>18</v>
      </c>
      <c r="D50" s="2" t="s">
        <v>100</v>
      </c>
      <c r="E50" s="2" t="s">
        <v>100</v>
      </c>
      <c r="F50" s="2" t="s">
        <v>100</v>
      </c>
      <c r="G50" s="2" t="e">
        <f>50+ExtrusionSpacing_L1</f>
        <v>#NAME?</v>
      </c>
      <c r="H50" s="2" t="e">
        <f>50+Length+ExtrusionSpacing_L1</f>
        <v>#NAME?</v>
      </c>
      <c r="I50" s="2">
        <v>0.55000000000000004</v>
      </c>
      <c r="J50" s="2" t="s">
        <v>23</v>
      </c>
      <c r="K50" s="2"/>
      <c r="L50" s="2"/>
      <c r="M50" s="2"/>
      <c r="N50" s="2"/>
      <c r="O50" s="2"/>
      <c r="P50" s="2"/>
      <c r="Q50" s="2"/>
      <c r="S50" s="5" t="s">
        <v>42</v>
      </c>
      <c r="T50" s="122">
        <v>1.75</v>
      </c>
      <c r="U50" s="5" t="s">
        <v>44</v>
      </c>
      <c r="V50" s="122">
        <v>2.85</v>
      </c>
      <c r="W50" s="123">
        <v>1.75</v>
      </c>
      <c r="X50" s="137">
        <v>1.75</v>
      </c>
      <c r="Y50" s="125">
        <v>1.75</v>
      </c>
      <c r="Z50" s="126">
        <v>1.75</v>
      </c>
      <c r="AA50" s="127">
        <v>1.75</v>
      </c>
      <c r="AB50" s="127">
        <v>1.75</v>
      </c>
      <c r="AC50" s="134">
        <v>1.75</v>
      </c>
      <c r="AD50" s="135">
        <v>1.75</v>
      </c>
      <c r="AE50" s="136">
        <v>1.75</v>
      </c>
      <c r="AF50" s="138">
        <v>1.75</v>
      </c>
      <c r="AG50" s="132">
        <v>2.85</v>
      </c>
      <c r="AH50" s="139">
        <v>1.75</v>
      </c>
    </row>
    <row r="51" spans="1:34" x14ac:dyDescent="0.25">
      <c r="A51" s="2">
        <v>13</v>
      </c>
      <c r="B51" s="143" t="s">
        <v>1</v>
      </c>
      <c r="C51" s="2" t="s">
        <v>18</v>
      </c>
      <c r="D51" s="2" t="e">
        <f>StartX+ExtrusionSpacing_L1</f>
        <v>#NAME?</v>
      </c>
      <c r="E51" s="2" t="e">
        <f>StartY+Length+ExtrusionSpacing_L1</f>
        <v>#NAME?</v>
      </c>
      <c r="F51" s="2">
        <v>1E-4</v>
      </c>
      <c r="G51" s="2" t="s">
        <v>100</v>
      </c>
      <c r="H51" s="2" t="str">
        <f>CONCATENATE("R-", Length)</f>
        <v>R-130</v>
      </c>
      <c r="I51" s="2" t="s">
        <v>100</v>
      </c>
      <c r="J51" s="2" t="s">
        <v>19</v>
      </c>
      <c r="K51" s="2" t="e">
        <f>ExtrusionWidth</f>
        <v>#NAME?</v>
      </c>
      <c r="L51" s="2" t="e">
        <f>ExtrusionHeight</f>
        <v>#NAME?</v>
      </c>
      <c r="M51" s="2"/>
      <c r="N51" s="2"/>
      <c r="O51" s="2"/>
      <c r="P51" s="2"/>
      <c r="Q51" s="2"/>
      <c r="S51" s="5" t="s">
        <v>46</v>
      </c>
      <c r="T51" s="122">
        <v>33</v>
      </c>
      <c r="U51" s="5" t="s">
        <v>90</v>
      </c>
      <c r="V51" s="122" t="s">
        <v>82</v>
      </c>
      <c r="W51" s="123" t="s">
        <v>44</v>
      </c>
      <c r="X51" s="137" t="s">
        <v>44</v>
      </c>
      <c r="Y51" s="125" t="s">
        <v>44</v>
      </c>
      <c r="Z51" s="126" t="s">
        <v>44</v>
      </c>
      <c r="AA51" s="127" t="s">
        <v>44</v>
      </c>
      <c r="AB51" s="127" t="s">
        <v>44</v>
      </c>
      <c r="AC51" s="134" t="s">
        <v>44</v>
      </c>
      <c r="AD51" s="135" t="s">
        <v>44</v>
      </c>
      <c r="AE51" s="136" t="s">
        <v>44</v>
      </c>
      <c r="AF51" s="138" t="s">
        <v>44</v>
      </c>
      <c r="AG51" s="132" t="s">
        <v>82</v>
      </c>
      <c r="AH51" s="139" t="s">
        <v>44</v>
      </c>
    </row>
    <row r="52" spans="1:34" x14ac:dyDescent="0.25">
      <c r="A52" s="2">
        <v>14</v>
      </c>
      <c r="B52" s="143" t="s">
        <v>1</v>
      </c>
      <c r="C52" s="2" t="s">
        <v>18</v>
      </c>
      <c r="D52" s="2" t="s">
        <v>100</v>
      </c>
      <c r="E52" s="2" t="s">
        <v>100</v>
      </c>
      <c r="F52" s="2" t="s">
        <v>100</v>
      </c>
      <c r="G52" s="2" t="e">
        <f>CONCATENATE("R", ExtrusionSpacing_L1)</f>
        <v>#NAME?</v>
      </c>
      <c r="H52" s="2" t="s">
        <v>100</v>
      </c>
      <c r="I52" s="2" t="s">
        <v>100</v>
      </c>
      <c r="J52" s="2" t="s">
        <v>19</v>
      </c>
      <c r="K52" s="2" t="e">
        <f>ExtrusionWidth</f>
        <v>#NAME?</v>
      </c>
      <c r="L52" s="2" t="e">
        <f>ExtrusionHeight</f>
        <v>#NAME?</v>
      </c>
      <c r="M52" s="2"/>
      <c r="N52" s="2"/>
      <c r="O52" s="2"/>
      <c r="P52" s="2"/>
      <c r="Q52" s="2"/>
      <c r="S52" s="5" t="s">
        <v>108</v>
      </c>
      <c r="T52" s="122" t="s">
        <v>635</v>
      </c>
      <c r="U52" s="5"/>
      <c r="V52" s="122" t="s">
        <v>153</v>
      </c>
      <c r="W52" s="123" t="s">
        <v>394</v>
      </c>
      <c r="X52" s="137" t="s">
        <v>393</v>
      </c>
      <c r="Y52" s="24" t="s">
        <v>455</v>
      </c>
      <c r="Z52" s="126" t="s">
        <v>425</v>
      </c>
      <c r="AA52" s="127" t="s">
        <v>465</v>
      </c>
      <c r="AB52" s="127" t="s">
        <v>466</v>
      </c>
      <c r="AC52" s="134" t="s">
        <v>489</v>
      </c>
      <c r="AD52" s="135" t="s">
        <v>504</v>
      </c>
      <c r="AE52" s="136" t="s">
        <v>554</v>
      </c>
      <c r="AF52" s="138" t="s">
        <v>558</v>
      </c>
      <c r="AG52" s="132" t="s">
        <v>591</v>
      </c>
      <c r="AH52" s="139" t="s">
        <v>592</v>
      </c>
    </row>
    <row r="53" spans="1:34" x14ac:dyDescent="0.25">
      <c r="A53" s="2">
        <v>15</v>
      </c>
      <c r="B53" s="143" t="s">
        <v>1</v>
      </c>
      <c r="C53" s="2" t="s">
        <v>18</v>
      </c>
      <c r="D53" s="2" t="s">
        <v>100</v>
      </c>
      <c r="E53" s="2" t="s">
        <v>100</v>
      </c>
      <c r="F53" s="2" t="s">
        <v>100</v>
      </c>
      <c r="G53" s="2" t="s">
        <v>100</v>
      </c>
      <c r="H53" s="2" t="str" cm="1">
        <f t="array" ref="H53">CONCATENATE("R", Length)</f>
        <v>R130</v>
      </c>
      <c r="I53" s="2" t="s">
        <v>100</v>
      </c>
      <c r="J53" s="2" t="s">
        <v>19</v>
      </c>
      <c r="K53" s="2" t="e">
        <f>ExtrusionWidth</f>
        <v>#NAME?</v>
      </c>
      <c r="L53" s="2" t="e">
        <f>ExtrusionHeight</f>
        <v>#NAME?</v>
      </c>
      <c r="M53" s="2"/>
      <c r="N53" s="2"/>
      <c r="O53" s="2"/>
      <c r="P53" s="2"/>
      <c r="Q53" s="2"/>
      <c r="S53" s="5" t="s">
        <v>152</v>
      </c>
      <c r="T53" s="122" t="s">
        <v>635</v>
      </c>
      <c r="U53" s="5"/>
      <c r="V53" s="122" t="s">
        <v>125</v>
      </c>
      <c r="W53" s="123" t="s">
        <v>394</v>
      </c>
      <c r="X53" s="137" t="s">
        <v>393</v>
      </c>
      <c r="Y53" s="24" t="s">
        <v>455</v>
      </c>
      <c r="Z53" s="126" t="s">
        <v>425</v>
      </c>
      <c r="AA53" s="127" t="s">
        <v>465</v>
      </c>
      <c r="AB53" s="127" t="s">
        <v>466</v>
      </c>
      <c r="AC53" s="134" t="s">
        <v>489</v>
      </c>
      <c r="AD53" s="135" t="s">
        <v>504</v>
      </c>
      <c r="AE53" s="136" t="s">
        <v>554</v>
      </c>
      <c r="AF53" s="138" t="s">
        <v>558</v>
      </c>
      <c r="AG53" s="132" t="s">
        <v>591</v>
      </c>
      <c r="AH53" s="139" t="s">
        <v>592</v>
      </c>
    </row>
    <row r="54" spans="1:34" x14ac:dyDescent="0.25">
      <c r="A54" s="2">
        <v>16</v>
      </c>
      <c r="B54" s="143" t="s">
        <v>1</v>
      </c>
      <c r="C54" s="2" t="s">
        <v>18</v>
      </c>
      <c r="D54" s="2" t="s">
        <v>100</v>
      </c>
      <c r="E54" s="2" t="s">
        <v>100</v>
      </c>
      <c r="F54" s="2" t="s">
        <v>100</v>
      </c>
      <c r="G54" s="2" t="e">
        <f>CONCATENATE("R", 3*ExtrusionSpacing_L1)</f>
        <v>#NAME?</v>
      </c>
      <c r="H54" s="2" t="s">
        <v>100</v>
      </c>
      <c r="I54" s="2" t="s">
        <v>100</v>
      </c>
      <c r="J54" s="2" t="s">
        <v>19</v>
      </c>
      <c r="K54" s="2" t="e">
        <f>ExtrusionWidth</f>
        <v>#NAME?</v>
      </c>
      <c r="L54" s="2" t="e">
        <f>ExtrusionHeight</f>
        <v>#NAME?</v>
      </c>
      <c r="M54" s="2"/>
      <c r="N54" s="2"/>
      <c r="O54" s="2"/>
      <c r="P54" s="2"/>
      <c r="Q54" s="2"/>
      <c r="S54" s="5" t="s">
        <v>167</v>
      </c>
      <c r="T54" s="5">
        <v>20</v>
      </c>
      <c r="U54" s="5" t="s">
        <v>44</v>
      </c>
    </row>
    <row r="55" spans="1:34" x14ac:dyDescent="0.25">
      <c r="A55" s="2">
        <v>17</v>
      </c>
      <c r="B55" s="143" t="s">
        <v>55</v>
      </c>
      <c r="C55" s="98" t="s">
        <v>665</v>
      </c>
      <c r="D55" s="2" t="e">
        <f>4*ExtrusionSpacing_L1</f>
        <v>#NAME?</v>
      </c>
      <c r="E55" s="2">
        <v>0</v>
      </c>
      <c r="F55" s="2">
        <v>0</v>
      </c>
      <c r="G55" s="2">
        <v>20</v>
      </c>
      <c r="H55" s="2"/>
      <c r="I55" s="2"/>
      <c r="J55" s="2"/>
      <c r="K55" s="2"/>
      <c r="L55" s="2"/>
      <c r="M55" s="2"/>
      <c r="N55" s="2"/>
      <c r="O55" s="2"/>
      <c r="P55" s="2"/>
      <c r="Q55" s="2"/>
      <c r="S55" s="5" t="s">
        <v>168</v>
      </c>
      <c r="T55" s="5">
        <v>10</v>
      </c>
      <c r="U55" s="5" t="s">
        <v>44</v>
      </c>
    </row>
    <row r="56" spans="1:34" x14ac:dyDescent="0.25">
      <c r="A56" s="2">
        <v>18</v>
      </c>
      <c r="B56" s="143" t="s">
        <v>39</v>
      </c>
      <c r="C56" s="2">
        <v>1.25</v>
      </c>
      <c r="D56" s="2">
        <v>2100</v>
      </c>
      <c r="E56" s="2" t="e">
        <f>LayerHeight</f>
        <v>#NAME?</v>
      </c>
      <c r="F56" s="2">
        <v>10000</v>
      </c>
      <c r="G56" s="2"/>
      <c r="H56" s="2"/>
      <c r="I56" s="2"/>
      <c r="J56" s="2"/>
      <c r="K56" s="2"/>
      <c r="L56" s="2"/>
      <c r="M56" s="2"/>
      <c r="N56" s="2"/>
      <c r="O56" s="2"/>
      <c r="P56" s="2"/>
      <c r="Q56" s="2"/>
      <c r="S56" s="5" t="s">
        <v>169</v>
      </c>
      <c r="T56" s="5">
        <v>0.3</v>
      </c>
      <c r="U56" s="5" t="s">
        <v>44</v>
      </c>
    </row>
    <row r="57" spans="1:34" x14ac:dyDescent="0.25">
      <c r="A57" s="2">
        <v>19</v>
      </c>
      <c r="B57" s="142" t="s">
        <v>658</v>
      </c>
      <c r="C57" s="2" t="s">
        <v>18</v>
      </c>
      <c r="D57" s="2" t="s">
        <v>100</v>
      </c>
      <c r="E57" s="2" t="s">
        <v>100</v>
      </c>
      <c r="F57" s="2" t="s">
        <v>100</v>
      </c>
      <c r="G57" s="2" t="e">
        <f>50+ExtrusionSpacing_L1</f>
        <v>#NAME?</v>
      </c>
      <c r="H57" s="2" t="e">
        <f>50+Length+ExtrusionSpacing_L1</f>
        <v>#NAME?</v>
      </c>
      <c r="I57" s="2"/>
      <c r="J57" s="2" t="s">
        <v>23</v>
      </c>
      <c r="K57" s="2"/>
      <c r="L57" s="2"/>
      <c r="M57" s="2"/>
      <c r="N57" s="2"/>
      <c r="O57" s="2"/>
      <c r="P57" s="2"/>
      <c r="Q57" s="2"/>
      <c r="S57" s="78" t="s">
        <v>339</v>
      </c>
      <c r="T57" s="5">
        <v>0</v>
      </c>
      <c r="U57" s="5"/>
      <c r="V57" s="1"/>
    </row>
    <row r="58" spans="1:34" x14ac:dyDescent="0.25">
      <c r="A58" s="2">
        <v>20</v>
      </c>
      <c r="B58" s="143" t="s">
        <v>1</v>
      </c>
      <c r="C58" s="2" t="s">
        <v>18</v>
      </c>
      <c r="D58" s="2" t="e">
        <f>StartX+ExtrusionSpacing_L1</f>
        <v>#NAME?</v>
      </c>
      <c r="E58" s="2" t="e">
        <f>StartY+Length+ExtrusionSpacing_L1</f>
        <v>#NAME?</v>
      </c>
      <c r="F58" s="2" t="s">
        <v>100</v>
      </c>
      <c r="G58" s="2" t="s">
        <v>100</v>
      </c>
      <c r="H58" s="2" t="str">
        <f>CONCATENATE("R-", Length)</f>
        <v>R-130</v>
      </c>
      <c r="I58" s="2" t="s">
        <v>100</v>
      </c>
      <c r="J58" s="2" t="s">
        <v>19</v>
      </c>
      <c r="K58" s="2" t="e">
        <f>ExtrusionWidth</f>
        <v>#NAME?</v>
      </c>
      <c r="L58" s="2" t="e">
        <f>ExtrusionHeight</f>
        <v>#NAME?</v>
      </c>
      <c r="M58" s="2"/>
      <c r="N58" s="2"/>
      <c r="O58" s="2"/>
      <c r="P58" s="2"/>
      <c r="Q58" s="2"/>
      <c r="S58" s="5" t="s">
        <v>154</v>
      </c>
      <c r="T58" s="5" t="s">
        <v>166</v>
      </c>
      <c r="U58" s="5" t="s">
        <v>158</v>
      </c>
    </row>
    <row r="59" spans="1:34" x14ac:dyDescent="0.25">
      <c r="A59" s="2">
        <v>21</v>
      </c>
      <c r="B59" s="143" t="s">
        <v>1</v>
      </c>
      <c r="C59" s="2" t="s">
        <v>18</v>
      </c>
      <c r="D59" s="2" t="s">
        <v>100</v>
      </c>
      <c r="E59" s="2" t="s">
        <v>100</v>
      </c>
      <c r="F59" s="2" t="s">
        <v>100</v>
      </c>
      <c r="G59" s="2" t="e">
        <f>CONCATENATE("R", ExtrusionSpacing_L1)</f>
        <v>#NAME?</v>
      </c>
      <c r="H59" s="2" t="s">
        <v>100</v>
      </c>
      <c r="I59" s="2" t="s">
        <v>100</v>
      </c>
      <c r="J59" s="2" t="s">
        <v>19</v>
      </c>
      <c r="K59" s="2" t="e">
        <f>ExtrusionWidth</f>
        <v>#NAME?</v>
      </c>
      <c r="L59" s="2" t="e">
        <f>ExtrusionHeight</f>
        <v>#NAME?</v>
      </c>
      <c r="M59" s="2"/>
      <c r="N59" s="2"/>
      <c r="O59" s="2"/>
      <c r="P59" s="2"/>
      <c r="Q59" s="2"/>
      <c r="S59" s="5" t="s">
        <v>159</v>
      </c>
      <c r="T59" s="5">
        <v>2</v>
      </c>
      <c r="U59" s="5" t="s">
        <v>44</v>
      </c>
      <c r="V59" s="1"/>
    </row>
    <row r="60" spans="1:34" x14ac:dyDescent="0.25">
      <c r="A60" s="2">
        <v>22</v>
      </c>
      <c r="B60" s="143" t="s">
        <v>1</v>
      </c>
      <c r="C60" s="2" t="s">
        <v>18</v>
      </c>
      <c r="D60" s="2" t="s">
        <v>100</v>
      </c>
      <c r="E60" s="2" t="s">
        <v>100</v>
      </c>
      <c r="F60" s="2" t="s">
        <v>100</v>
      </c>
      <c r="G60" s="2" t="s">
        <v>100</v>
      </c>
      <c r="H60" s="2" t="str" cm="1">
        <f t="array" ref="H60">CONCATENATE("R", Length)</f>
        <v>R130</v>
      </c>
      <c r="I60" s="2" t="s">
        <v>100</v>
      </c>
      <c r="J60" s="2" t="s">
        <v>19</v>
      </c>
      <c r="K60" s="2" t="e">
        <f>ExtrusionWidth</f>
        <v>#NAME?</v>
      </c>
      <c r="L60" s="2" t="e">
        <f>ExtrusionHeight</f>
        <v>#NAME?</v>
      </c>
      <c r="M60" s="2"/>
      <c r="N60" s="2"/>
      <c r="O60" s="2"/>
      <c r="P60" s="2"/>
      <c r="Q60" s="2"/>
      <c r="S60" s="5" t="s">
        <v>160</v>
      </c>
      <c r="T60" s="5">
        <v>1.25</v>
      </c>
      <c r="U60" s="5" t="s">
        <v>90</v>
      </c>
    </row>
    <row r="61" spans="1:34" x14ac:dyDescent="0.25">
      <c r="A61" s="2">
        <v>23</v>
      </c>
      <c r="B61" s="143" t="s">
        <v>1</v>
      </c>
      <c r="C61" s="2" t="s">
        <v>18</v>
      </c>
      <c r="D61" s="2" t="s">
        <v>100</v>
      </c>
      <c r="E61" s="2" t="s">
        <v>100</v>
      </c>
      <c r="F61" s="2" t="s">
        <v>100</v>
      </c>
      <c r="G61" s="2" t="e">
        <f>CONCATENATE("R", 3*ExtrusionSpacing_L1)</f>
        <v>#NAME?</v>
      </c>
      <c r="H61" s="2" t="s">
        <v>100</v>
      </c>
      <c r="I61" s="2" t="s">
        <v>100</v>
      </c>
      <c r="J61" s="2" t="s">
        <v>19</v>
      </c>
      <c r="K61" s="2" t="e">
        <f>ExtrusionWidth</f>
        <v>#NAME?</v>
      </c>
      <c r="L61" s="2" t="e">
        <f>ExtrusionHeight</f>
        <v>#NAME?</v>
      </c>
      <c r="M61" s="2"/>
      <c r="N61" s="2"/>
      <c r="O61" s="2"/>
      <c r="P61" s="2"/>
      <c r="Q61" s="2"/>
      <c r="S61" s="5" t="s">
        <v>161</v>
      </c>
      <c r="T61" s="5">
        <v>2500</v>
      </c>
      <c r="U61" s="5" t="s">
        <v>45</v>
      </c>
    </row>
    <row r="62" spans="1:34" x14ac:dyDescent="0.25">
      <c r="A62" s="2">
        <v>24</v>
      </c>
      <c r="B62" s="143" t="s">
        <v>55</v>
      </c>
      <c r="C62" s="98" t="s">
        <v>673</v>
      </c>
      <c r="D62" s="2" t="e">
        <f>4*ExtrusionSpacing_L1</f>
        <v>#NAME?</v>
      </c>
      <c r="E62" s="2">
        <v>0</v>
      </c>
      <c r="F62" s="2">
        <v>0</v>
      </c>
      <c r="G62" s="2">
        <v>20</v>
      </c>
      <c r="H62" s="2"/>
      <c r="I62" s="2"/>
      <c r="J62" s="2"/>
      <c r="K62" s="2"/>
      <c r="L62" s="2"/>
      <c r="M62" s="2"/>
      <c r="N62" s="2"/>
      <c r="O62" s="2"/>
      <c r="P62" s="2"/>
      <c r="Q62" s="2"/>
      <c r="S62" s="5" t="s">
        <v>162</v>
      </c>
      <c r="T62" s="5">
        <v>0</v>
      </c>
      <c r="U62" s="5" t="s">
        <v>90</v>
      </c>
    </row>
    <row r="63" spans="1:34" x14ac:dyDescent="0.25">
      <c r="A63" s="2">
        <v>25</v>
      </c>
      <c r="B63" s="143" t="s">
        <v>49</v>
      </c>
      <c r="C63" s="2" t="s">
        <v>674</v>
      </c>
      <c r="D63" s="2"/>
      <c r="E63" s="2"/>
      <c r="F63" s="2"/>
      <c r="G63" s="2"/>
      <c r="H63" s="2"/>
      <c r="I63" s="2"/>
      <c r="J63" s="2"/>
      <c r="K63" s="2"/>
      <c r="L63" s="2"/>
      <c r="M63" s="2"/>
      <c r="N63" s="2"/>
      <c r="O63" s="2"/>
      <c r="P63" s="2"/>
      <c r="Q63" s="2"/>
      <c r="S63" s="3" t="s">
        <v>163</v>
      </c>
      <c r="T63" s="3">
        <f>T61</f>
        <v>2500</v>
      </c>
      <c r="U63" s="5" t="s">
        <v>45</v>
      </c>
    </row>
    <row r="64" spans="1:34" x14ac:dyDescent="0.25">
      <c r="A64" s="2">
        <v>26</v>
      </c>
      <c r="B64" s="143" t="s">
        <v>49</v>
      </c>
      <c r="C64" s="2" t="s">
        <v>203</v>
      </c>
      <c r="D64" s="2">
        <v>0</v>
      </c>
      <c r="E64" s="2"/>
      <c r="F64" s="2"/>
      <c r="G64" s="2"/>
      <c r="H64" s="143"/>
      <c r="I64" s="2"/>
      <c r="J64" s="2"/>
      <c r="K64" s="2"/>
      <c r="L64" s="2"/>
      <c r="M64" s="2"/>
      <c r="N64" s="2"/>
      <c r="O64" s="2"/>
      <c r="P64" s="2"/>
      <c r="Q64" s="2"/>
      <c r="S64" s="3" t="s">
        <v>164</v>
      </c>
      <c r="T64" s="3">
        <v>0.65</v>
      </c>
      <c r="U64" s="5" t="s">
        <v>44</v>
      </c>
    </row>
    <row r="65" spans="1:46" x14ac:dyDescent="0.25">
      <c r="A65" s="2">
        <v>27</v>
      </c>
      <c r="B65" s="143" t="s">
        <v>49</v>
      </c>
      <c r="C65" s="2" t="s">
        <v>634</v>
      </c>
      <c r="D65" s="2"/>
      <c r="E65" s="2"/>
      <c r="F65" s="2"/>
      <c r="G65" s="2"/>
      <c r="H65" s="2"/>
      <c r="I65" s="2"/>
      <c r="J65" s="2"/>
      <c r="K65" s="2"/>
      <c r="L65" s="2"/>
      <c r="M65" s="2"/>
      <c r="N65" s="2"/>
      <c r="O65" s="2"/>
      <c r="P65" s="2"/>
      <c r="Q65" s="2"/>
      <c r="S65" s="3" t="s">
        <v>165</v>
      </c>
      <c r="T65" s="3">
        <v>10000</v>
      </c>
      <c r="U65" s="5" t="s">
        <v>45</v>
      </c>
    </row>
    <row r="66" spans="1:46" x14ac:dyDescent="0.25">
      <c r="A66" s="2">
        <v>28</v>
      </c>
      <c r="B66" s="142" t="s">
        <v>658</v>
      </c>
      <c r="C66" s="2" t="s">
        <v>18</v>
      </c>
      <c r="D66" s="2" t="s">
        <v>100</v>
      </c>
      <c r="E66" s="2" t="s">
        <v>100</v>
      </c>
      <c r="F66" s="2" t="s">
        <v>100</v>
      </c>
      <c r="G66" s="2">
        <v>50</v>
      </c>
      <c r="H66" s="2">
        <v>50</v>
      </c>
      <c r="I66" s="2" t="e">
        <f>LayerHeight</f>
        <v>#NAME?</v>
      </c>
      <c r="J66" s="2" t="s">
        <v>23</v>
      </c>
      <c r="K66" s="2"/>
      <c r="L66" s="2"/>
      <c r="M66" s="2"/>
      <c r="N66" s="2"/>
      <c r="O66" s="2"/>
      <c r="P66" s="2"/>
      <c r="Q66" s="2"/>
      <c r="S66" s="29"/>
      <c r="T66" s="29"/>
      <c r="U66" s="91"/>
      <c r="V66" s="29"/>
      <c r="W66" s="29"/>
      <c r="X66" s="29"/>
      <c r="Y66" s="29"/>
      <c r="Z66" s="29"/>
      <c r="AA66" s="29"/>
      <c r="AB66" s="29"/>
      <c r="AC66" s="29"/>
      <c r="AD66" s="29"/>
      <c r="AE66" s="29"/>
      <c r="AF66" s="29"/>
    </row>
    <row r="67" spans="1:46" x14ac:dyDescent="0.25">
      <c r="A67" s="2">
        <v>29</v>
      </c>
      <c r="B67" s="2" t="s">
        <v>1</v>
      </c>
      <c r="C67" s="2" t="s">
        <v>18</v>
      </c>
      <c r="D67" s="2">
        <f>StartX</f>
        <v>275</v>
      </c>
      <c r="E67" s="2">
        <f>StartY</f>
        <v>100</v>
      </c>
      <c r="F67" s="2" t="e">
        <f>LayerHeight</f>
        <v>#NAME?</v>
      </c>
      <c r="G67" s="2" t="e">
        <f>CONCATENATE("R", 3*ExtrusionSpacing_L1)</f>
        <v>#NAME?</v>
      </c>
      <c r="H67" s="2" t="s">
        <v>100</v>
      </c>
      <c r="I67" s="2" t="s">
        <v>100</v>
      </c>
      <c r="J67" s="2" t="s">
        <v>19</v>
      </c>
      <c r="K67" s="2" t="e">
        <f>ExtrusionWidth</f>
        <v>#NAME?</v>
      </c>
      <c r="L67" s="2" t="e">
        <f>ExtrusionHeight</f>
        <v>#NAME?</v>
      </c>
      <c r="M67" s="2"/>
      <c r="N67" s="2"/>
      <c r="O67" s="143"/>
      <c r="P67" s="2"/>
      <c r="Q67" s="2"/>
      <c r="S67" s="96" t="s">
        <v>292</v>
      </c>
      <c r="T67" s="96" t="s">
        <v>293</v>
      </c>
      <c r="U67" s="97" t="s">
        <v>331</v>
      </c>
      <c r="V67" s="29"/>
      <c r="W67" s="29"/>
      <c r="X67" s="29"/>
      <c r="Y67" s="29"/>
      <c r="Z67" s="29"/>
      <c r="AA67" s="29"/>
      <c r="AB67" s="29"/>
      <c r="AC67" s="29"/>
      <c r="AD67" s="29"/>
      <c r="AE67" s="29"/>
      <c r="AF67" s="29"/>
    </row>
    <row r="68" spans="1:46" x14ac:dyDescent="0.25">
      <c r="A68" s="2">
        <v>30</v>
      </c>
      <c r="B68" s="2" t="s">
        <v>1</v>
      </c>
      <c r="C68" s="2" t="s">
        <v>18</v>
      </c>
      <c r="D68" s="2" t="s">
        <v>100</v>
      </c>
      <c r="E68" s="2" t="s">
        <v>100</v>
      </c>
      <c r="F68" s="2" t="s">
        <v>100</v>
      </c>
      <c r="G68" s="2" t="s">
        <v>100</v>
      </c>
      <c r="H68" s="2" t="str" cm="1">
        <f t="array" ref="H68">CONCATENATE("R", Length)</f>
        <v>R130</v>
      </c>
      <c r="I68" s="2" t="s">
        <v>100</v>
      </c>
      <c r="J68" s="2" t="s">
        <v>19</v>
      </c>
      <c r="K68" s="2" t="e">
        <f>ExtrusionWidth</f>
        <v>#NAME?</v>
      </c>
      <c r="L68" s="2" t="e">
        <f>ExtrusionHeight</f>
        <v>#NAME?</v>
      </c>
      <c r="M68" s="2"/>
      <c r="N68" s="2"/>
      <c r="O68" s="2"/>
      <c r="P68" s="2"/>
      <c r="Q68" s="2"/>
      <c r="R68" s="29"/>
      <c r="S68" s="75" t="s">
        <v>662</v>
      </c>
      <c r="T68" s="75">
        <v>1.35</v>
      </c>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
        <v>31</v>
      </c>
      <c r="B69" s="2" t="s">
        <v>1</v>
      </c>
      <c r="C69" s="2" t="s">
        <v>18</v>
      </c>
      <c r="D69" s="2" t="s">
        <v>100</v>
      </c>
      <c r="E69" s="2" t="s">
        <v>100</v>
      </c>
      <c r="F69" s="2" t="s">
        <v>100</v>
      </c>
      <c r="G69" s="2" t="e">
        <f>CONCATENATE("R", ExtrusionSpacing_L1)</f>
        <v>#NAME?</v>
      </c>
      <c r="H69" s="2" t="s">
        <v>100</v>
      </c>
      <c r="I69" s="2" t="s">
        <v>100</v>
      </c>
      <c r="J69" s="2" t="s">
        <v>19</v>
      </c>
      <c r="K69" s="2" t="e">
        <f>ExtrusionWidth</f>
        <v>#NAME?</v>
      </c>
      <c r="L69" s="2" t="e">
        <f>ExtrusionHeight</f>
        <v>#NAME?</v>
      </c>
      <c r="M69" s="2"/>
      <c r="N69" s="2"/>
      <c r="O69" s="2"/>
      <c r="P69" s="2"/>
      <c r="Q69" s="2"/>
      <c r="R69" s="29"/>
      <c r="S69" s="75" t="s">
        <v>661</v>
      </c>
      <c r="T69" s="75">
        <v>1.1000000000000001</v>
      </c>
      <c r="U69" s="92" t="s">
        <v>109</v>
      </c>
      <c r="V69" s="29"/>
      <c r="W69" s="29"/>
      <c r="X69" s="29"/>
      <c r="Y69" s="29"/>
      <c r="Z69" s="29"/>
      <c r="AA69" s="29"/>
      <c r="AB69" s="29"/>
      <c r="AC69" s="29"/>
      <c r="AD69" s="29"/>
      <c r="AE69" s="29"/>
      <c r="AF69" s="29"/>
      <c r="AG69" s="29"/>
      <c r="AH69" s="29"/>
      <c r="AI69" s="29"/>
      <c r="AJ69" s="29"/>
      <c r="AK69" s="29"/>
      <c r="AL69" s="29"/>
      <c r="AM69" s="29"/>
      <c r="AN69" s="29"/>
    </row>
    <row r="70" spans="1:46" x14ac:dyDescent="0.25">
      <c r="A70" s="2">
        <v>32</v>
      </c>
      <c r="B70" s="2" t="s">
        <v>1</v>
      </c>
      <c r="C70" s="2" t="s">
        <v>18</v>
      </c>
      <c r="D70" s="2" t="s">
        <v>100</v>
      </c>
      <c r="E70" s="2" t="s">
        <v>100</v>
      </c>
      <c r="F70" s="2" t="s">
        <v>100</v>
      </c>
      <c r="G70" s="2" t="s">
        <v>100</v>
      </c>
      <c r="H70" s="2" t="str">
        <f>CONCATENATE("R-", Length)</f>
        <v>R-130</v>
      </c>
      <c r="I70" s="2" t="s">
        <v>100</v>
      </c>
      <c r="J70" s="2" t="s">
        <v>19</v>
      </c>
      <c r="K70" s="2" t="e">
        <f>ExtrusionWidth</f>
        <v>#NAME?</v>
      </c>
      <c r="L70" s="2" t="e">
        <f>ExtrusionHeight</f>
        <v>#NAME?</v>
      </c>
      <c r="M70" s="2"/>
      <c r="N70" s="2"/>
      <c r="O70" s="2"/>
      <c r="P70" s="2"/>
      <c r="Q70" s="2"/>
      <c r="S70" s="75" t="s">
        <v>671</v>
      </c>
      <c r="T70" s="75">
        <v>1.2</v>
      </c>
      <c r="U70" s="92" t="s">
        <v>109</v>
      </c>
    </row>
    <row r="71" spans="1:46" x14ac:dyDescent="0.25">
      <c r="A71" s="2">
        <v>33</v>
      </c>
      <c r="B71" s="2" t="s">
        <v>55</v>
      </c>
      <c r="C71" s="98" t="s">
        <v>675</v>
      </c>
      <c r="D71" s="2" t="e">
        <f>4*ExtrusionSpacing_L1</f>
        <v>#NAME?</v>
      </c>
      <c r="E71" s="2">
        <v>0</v>
      </c>
      <c r="F71" s="2">
        <v>0</v>
      </c>
      <c r="G71" s="2">
        <v>20</v>
      </c>
      <c r="H71" s="2"/>
      <c r="I71" s="2"/>
      <c r="J71" s="2"/>
      <c r="K71" s="2"/>
      <c r="L71" s="2"/>
      <c r="M71" s="2"/>
      <c r="N71" s="2"/>
      <c r="O71" s="2"/>
      <c r="P71" s="2"/>
      <c r="Q71" s="2"/>
      <c r="S71" s="75" t="s">
        <v>672</v>
      </c>
      <c r="T71" s="75">
        <v>0.9</v>
      </c>
      <c r="U71" s="92" t="s">
        <v>109</v>
      </c>
      <c r="AO71" t="s">
        <v>130</v>
      </c>
      <c r="AP71" t="s">
        <v>668</v>
      </c>
      <c r="AQ71" t="s">
        <v>129</v>
      </c>
      <c r="AR71" t="s">
        <v>667</v>
      </c>
      <c r="AS71" t="s">
        <v>128</v>
      </c>
      <c r="AT71" t="s">
        <v>617</v>
      </c>
    </row>
    <row r="72" spans="1:46" x14ac:dyDescent="0.25">
      <c r="A72" s="2">
        <v>34</v>
      </c>
      <c r="B72" s="143" t="s">
        <v>39</v>
      </c>
      <c r="C72" s="2">
        <v>1.25</v>
      </c>
      <c r="D72" s="2">
        <v>2100</v>
      </c>
      <c r="E72" s="2" t="e">
        <f>LayerHeight</f>
        <v>#NAME?</v>
      </c>
      <c r="F72" s="2">
        <v>10000</v>
      </c>
      <c r="G72" s="2"/>
      <c r="H72" s="2"/>
      <c r="I72" s="2"/>
      <c r="J72" s="2"/>
      <c r="K72" s="2"/>
      <c r="L72" s="2"/>
      <c r="M72" s="2"/>
      <c r="N72" s="2"/>
      <c r="O72" s="2"/>
      <c r="P72" s="2"/>
      <c r="Q72" s="2"/>
      <c r="S72" s="75" t="s">
        <v>644</v>
      </c>
      <c r="T72" s="75" t="s">
        <v>467</v>
      </c>
      <c r="U72" s="92" t="s">
        <v>109</v>
      </c>
    </row>
    <row r="73" spans="1:46" x14ac:dyDescent="0.25">
      <c r="A73" s="2">
        <v>35</v>
      </c>
      <c r="B73" s="143" t="s">
        <v>55</v>
      </c>
      <c r="C73" s="2" t="s">
        <v>676</v>
      </c>
      <c r="D73" s="2">
        <v>0</v>
      </c>
      <c r="E73" s="2">
        <v>0</v>
      </c>
      <c r="F73" s="2" t="e">
        <f>2*LayerHeight</f>
        <v>#NAME?</v>
      </c>
      <c r="G73" s="2">
        <v>20</v>
      </c>
      <c r="H73" s="2"/>
      <c r="I73" s="2"/>
      <c r="J73" s="2"/>
      <c r="K73" s="2"/>
      <c r="L73" s="2"/>
      <c r="M73" s="2"/>
      <c r="N73" s="2"/>
      <c r="O73" s="2"/>
      <c r="P73" s="2"/>
      <c r="Q73" s="2"/>
      <c r="R73" s="80"/>
      <c r="S73" s="75" t="s">
        <v>309</v>
      </c>
      <c r="T73" s="75">
        <v>0.9</v>
      </c>
      <c r="U73" s="92" t="s">
        <v>109</v>
      </c>
      <c r="V73" s="80"/>
      <c r="W73" s="80"/>
      <c r="X73" s="80"/>
      <c r="Y73" s="80"/>
      <c r="Z73" s="80"/>
      <c r="AA73" s="80"/>
      <c r="AB73" s="80"/>
      <c r="AC73" s="80"/>
      <c r="AD73" s="80"/>
      <c r="AE73" s="80"/>
      <c r="AF73" s="80"/>
      <c r="AG73" s="80"/>
      <c r="AH73" s="80"/>
      <c r="AI73" s="80"/>
      <c r="AJ73" s="80"/>
      <c r="AK73" s="80"/>
      <c r="AL73" s="80"/>
      <c r="AM73" s="80"/>
      <c r="AN73" s="80"/>
    </row>
    <row r="74" spans="1:46" x14ac:dyDescent="0.25">
      <c r="A74" s="2">
        <v>36</v>
      </c>
      <c r="B74" s="143"/>
      <c r="C74" s="2"/>
      <c r="D74" s="2"/>
      <c r="E74" s="2"/>
      <c r="F74" s="2"/>
      <c r="G74" s="2"/>
      <c r="H74" s="2"/>
      <c r="I74" s="2"/>
      <c r="J74" s="2"/>
      <c r="K74" s="2"/>
      <c r="L74" s="2"/>
      <c r="M74" s="2"/>
      <c r="N74" s="2"/>
      <c r="O74" s="2"/>
      <c r="P74" s="2"/>
      <c r="Q74" s="2"/>
      <c r="R74" s="80"/>
      <c r="S74" s="75" t="s">
        <v>677</v>
      </c>
      <c r="T74" s="75">
        <v>50</v>
      </c>
      <c r="U74" s="92" t="s">
        <v>109</v>
      </c>
      <c r="V74" s="80"/>
      <c r="W74" s="80"/>
      <c r="X74" s="80"/>
      <c r="Y74" s="80"/>
      <c r="Z74" s="80"/>
      <c r="AA74" s="80"/>
      <c r="AB74" s="80"/>
      <c r="AC74" s="80"/>
      <c r="AD74" s="80"/>
      <c r="AE74" s="80"/>
      <c r="AF74" s="80"/>
      <c r="AG74" s="80"/>
      <c r="AH74" s="80"/>
      <c r="AI74" s="80"/>
      <c r="AJ74" s="80"/>
      <c r="AK74" s="80"/>
      <c r="AL74" s="80"/>
      <c r="AM74" s="80"/>
      <c r="AN74" s="80"/>
    </row>
    <row r="75" spans="1:46" x14ac:dyDescent="0.25">
      <c r="A75" s="2">
        <v>37</v>
      </c>
      <c r="B75" s="143"/>
      <c r="C75" s="2"/>
      <c r="D75" s="2"/>
      <c r="E75" s="2"/>
      <c r="F75" s="2"/>
      <c r="G75" s="2"/>
      <c r="H75" s="2"/>
      <c r="I75" s="2"/>
      <c r="J75" s="2"/>
      <c r="K75" s="2"/>
      <c r="L75" s="2"/>
      <c r="M75" s="2"/>
      <c r="N75" s="2"/>
      <c r="O75" s="2"/>
      <c r="P75" s="2"/>
      <c r="Q75" s="2"/>
      <c r="R75" s="80"/>
      <c r="S75" s="75" t="s">
        <v>271</v>
      </c>
      <c r="T75" s="75">
        <v>50</v>
      </c>
      <c r="U75" s="92" t="s">
        <v>109</v>
      </c>
      <c r="V75" s="80"/>
      <c r="W75" s="80"/>
      <c r="X75" s="80"/>
      <c r="Y75" s="80"/>
      <c r="Z75" s="80"/>
      <c r="AA75" s="80"/>
      <c r="AB75" s="80"/>
      <c r="AC75" s="80"/>
      <c r="AD75" s="80"/>
      <c r="AE75" s="80"/>
      <c r="AF75" s="80"/>
      <c r="AG75" s="80"/>
      <c r="AH75" s="80"/>
      <c r="AI75" s="80"/>
      <c r="AJ75" s="80"/>
      <c r="AK75" s="80"/>
      <c r="AL75" s="80"/>
      <c r="AM75" s="80"/>
      <c r="AN75" s="80"/>
    </row>
    <row r="76" spans="1:46" x14ac:dyDescent="0.25">
      <c r="A76" s="2">
        <v>38</v>
      </c>
      <c r="B76" s="143"/>
      <c r="C76" s="2"/>
      <c r="D76" s="2"/>
      <c r="E76" s="2"/>
      <c r="F76" s="2"/>
      <c r="G76" s="2"/>
      <c r="H76" s="2"/>
      <c r="I76" s="2"/>
      <c r="J76" s="2"/>
      <c r="K76" s="2"/>
      <c r="L76" s="2"/>
      <c r="M76" s="2"/>
      <c r="N76" s="2"/>
      <c r="O76" s="2"/>
      <c r="P76" s="2"/>
      <c r="Q76" s="2"/>
      <c r="R76" s="80"/>
      <c r="S76" s="75" t="s">
        <v>272</v>
      </c>
      <c r="T76" s="75">
        <v>75</v>
      </c>
      <c r="U76" s="92" t="s">
        <v>109</v>
      </c>
      <c r="V76" s="80"/>
      <c r="W76" s="80"/>
      <c r="X76" s="80"/>
      <c r="Y76" s="80"/>
      <c r="Z76" s="80"/>
      <c r="AA76" s="80"/>
      <c r="AB76" s="80"/>
      <c r="AC76" s="80"/>
      <c r="AD76" s="80"/>
      <c r="AE76" s="80"/>
      <c r="AF76" s="80"/>
      <c r="AG76" s="80"/>
      <c r="AH76" s="80"/>
      <c r="AI76" s="80"/>
      <c r="AJ76" s="80"/>
      <c r="AK76" s="80"/>
      <c r="AL76" s="80"/>
      <c r="AM76" s="80"/>
      <c r="AN76" s="80"/>
    </row>
    <row r="77" spans="1:46" x14ac:dyDescent="0.25">
      <c r="A77" s="2">
        <v>39</v>
      </c>
      <c r="B77" s="143"/>
      <c r="C77" s="2"/>
      <c r="D77" s="2"/>
      <c r="E77" s="2"/>
      <c r="F77" s="2"/>
      <c r="G77" s="2"/>
      <c r="H77" s="2"/>
      <c r="I77" s="2"/>
      <c r="J77" s="2"/>
      <c r="K77" s="2"/>
      <c r="L77" s="2"/>
      <c r="M77" s="2"/>
      <c r="N77" s="2"/>
      <c r="O77" s="2"/>
      <c r="P77" s="2"/>
      <c r="Q77" s="2"/>
      <c r="R77" s="80"/>
      <c r="S77" s="80"/>
      <c r="T77" s="80"/>
      <c r="U77" s="80"/>
      <c r="V77" s="80"/>
      <c r="W77" s="80"/>
      <c r="X77" s="80"/>
      <c r="Y77" s="80"/>
      <c r="Z77" s="80"/>
      <c r="AA77" s="80"/>
      <c r="AB77" s="80"/>
      <c r="AC77" s="80"/>
      <c r="AD77" s="80"/>
      <c r="AE77" s="80"/>
      <c r="AF77" s="80"/>
      <c r="AG77" s="80"/>
      <c r="AH77" s="80"/>
      <c r="AI77" s="80"/>
      <c r="AJ77" s="80"/>
      <c r="AK77" s="80"/>
      <c r="AL77" s="80"/>
      <c r="AM77" s="80"/>
      <c r="AN77" s="80"/>
    </row>
    <row r="78" spans="1:46" x14ac:dyDescent="0.25">
      <c r="A78" s="2">
        <v>40</v>
      </c>
      <c r="B78" s="143"/>
      <c r="C78" s="2"/>
      <c r="D78" s="2"/>
      <c r="E78" s="2"/>
      <c r="F78" s="2"/>
      <c r="G78" s="2"/>
      <c r="H78" s="2"/>
      <c r="I78" s="2"/>
      <c r="J78" s="2"/>
      <c r="K78" s="2"/>
      <c r="L78" s="2"/>
      <c r="M78" s="2"/>
      <c r="N78" s="2"/>
      <c r="O78" s="2"/>
      <c r="P78" s="2"/>
      <c r="Q78" s="2"/>
      <c r="R78" s="80"/>
      <c r="S78" s="80"/>
      <c r="T78" s="80"/>
      <c r="U78" s="80"/>
      <c r="V78" s="80"/>
      <c r="W78" s="80"/>
      <c r="X78" s="80"/>
      <c r="Y78" s="80"/>
      <c r="Z78" s="80"/>
      <c r="AA78" s="80"/>
      <c r="AB78" s="80"/>
      <c r="AC78" s="80"/>
      <c r="AD78" s="80"/>
      <c r="AE78" s="80"/>
      <c r="AF78" s="80"/>
      <c r="AG78" s="80"/>
      <c r="AH78" s="80"/>
      <c r="AI78" s="80"/>
      <c r="AJ78" s="80"/>
      <c r="AK78" s="80"/>
      <c r="AL78" s="80"/>
      <c r="AM78" s="80"/>
      <c r="AN78" s="80"/>
    </row>
    <row r="80" spans="1:46" x14ac:dyDescent="0.25">
      <c r="A80" s="58" t="s">
        <v>129</v>
      </c>
      <c r="B80" s="2" t="s">
        <v>680</v>
      </c>
      <c r="C80" s="58" t="s">
        <v>128</v>
      </c>
      <c r="D80" s="2" t="s">
        <v>617</v>
      </c>
      <c r="U80" s="89"/>
      <c r="AO80" t="s">
        <v>130</v>
      </c>
      <c r="AP80" t="s">
        <v>681</v>
      </c>
      <c r="AQ80" t="s">
        <v>129</v>
      </c>
      <c r="AR80" t="s">
        <v>680</v>
      </c>
      <c r="AS80" t="s">
        <v>128</v>
      </c>
      <c r="AT80" t="s">
        <v>617</v>
      </c>
    </row>
    <row r="81" spans="1:34" x14ac:dyDescent="0.25">
      <c r="A81" s="40" t="s">
        <v>0</v>
      </c>
      <c r="B81" s="2"/>
      <c r="C81" s="2"/>
      <c r="D81" s="2"/>
      <c r="E81" s="2"/>
      <c r="F81" s="2"/>
      <c r="G81" s="2"/>
      <c r="H81" s="2"/>
      <c r="I81" s="2"/>
      <c r="J81" s="2"/>
      <c r="K81" s="2"/>
      <c r="L81" s="2"/>
      <c r="M81" s="2"/>
      <c r="N81" s="2"/>
      <c r="O81" s="2"/>
      <c r="P81" s="2"/>
      <c r="Q81" s="58" t="s">
        <v>289</v>
      </c>
      <c r="U81" s="89"/>
    </row>
    <row r="82" spans="1:34" x14ac:dyDescent="0.25">
      <c r="A82" s="2">
        <v>1</v>
      </c>
      <c r="B82" s="142" t="s">
        <v>658</v>
      </c>
      <c r="C82" s="2" t="s">
        <v>18</v>
      </c>
      <c r="D82" s="2" t="s">
        <v>3</v>
      </c>
      <c r="E82" s="2" t="s">
        <v>4</v>
      </c>
      <c r="F82" s="2" t="s">
        <v>33</v>
      </c>
      <c r="G82" s="2" t="s">
        <v>5</v>
      </c>
      <c r="H82" s="2" t="s">
        <v>6</v>
      </c>
      <c r="I82" s="2" t="s">
        <v>34</v>
      </c>
      <c r="J82" s="2" t="s">
        <v>77</v>
      </c>
      <c r="K82" s="2" t="s">
        <v>15</v>
      </c>
      <c r="L82" s="2" t="s">
        <v>11</v>
      </c>
      <c r="M82" s="2" t="s">
        <v>181</v>
      </c>
      <c r="N82" s="2"/>
      <c r="O82" s="2"/>
      <c r="P82" s="2"/>
      <c r="Q82" s="2"/>
      <c r="S82" s="95" t="s">
        <v>40</v>
      </c>
      <c r="T82" s="3"/>
      <c r="U82" s="5"/>
    </row>
    <row r="83" spans="1:34" x14ac:dyDescent="0.25">
      <c r="A83" s="2">
        <v>2</v>
      </c>
      <c r="B83" s="142" t="s">
        <v>664</v>
      </c>
      <c r="C83" s="2" t="s">
        <v>203</v>
      </c>
      <c r="D83" s="2">
        <v>0</v>
      </c>
      <c r="E83" s="2"/>
      <c r="F83" s="2"/>
      <c r="G83" s="2"/>
      <c r="H83" s="2"/>
      <c r="I83" s="2"/>
      <c r="J83" s="2"/>
      <c r="K83" s="2"/>
      <c r="L83" s="2"/>
      <c r="M83" s="2"/>
      <c r="N83" s="2"/>
      <c r="O83" s="2"/>
      <c r="P83" s="2"/>
      <c r="Q83" s="2" t="s">
        <v>660</v>
      </c>
      <c r="S83" s="5" t="s">
        <v>98</v>
      </c>
      <c r="T83" s="5">
        <v>0.55000000000000004</v>
      </c>
      <c r="U83" s="5" t="s">
        <v>44</v>
      </c>
    </row>
    <row r="84" spans="1:34" x14ac:dyDescent="0.25">
      <c r="A84" s="2">
        <v>3</v>
      </c>
      <c r="B84" s="142" t="s">
        <v>658</v>
      </c>
      <c r="C84" s="2" t="s">
        <v>18</v>
      </c>
      <c r="D84" s="2" t="s">
        <v>100</v>
      </c>
      <c r="E84" s="2" t="s">
        <v>100</v>
      </c>
      <c r="F84" s="2" t="s">
        <v>100</v>
      </c>
      <c r="G84" s="2">
        <v>50</v>
      </c>
      <c r="H84" s="2">
        <v>50</v>
      </c>
      <c r="I84" s="2">
        <v>0.55000000000000004</v>
      </c>
      <c r="J84" s="2" t="s">
        <v>23</v>
      </c>
      <c r="K84" s="2"/>
      <c r="L84" s="2"/>
      <c r="M84" s="2"/>
      <c r="N84" s="2"/>
      <c r="O84" s="2"/>
      <c r="P84" s="2"/>
      <c r="Q84" s="2"/>
      <c r="S84" s="5" t="s">
        <v>87</v>
      </c>
      <c r="T84" s="5">
        <v>0.83</v>
      </c>
      <c r="U84" s="5" t="s">
        <v>89</v>
      </c>
    </row>
    <row r="85" spans="1:34" x14ac:dyDescent="0.25">
      <c r="A85" s="2">
        <v>4</v>
      </c>
      <c r="B85" s="2" t="s">
        <v>1</v>
      </c>
      <c r="C85" s="2" t="s">
        <v>18</v>
      </c>
      <c r="D85" s="2" cm="1">
        <f t="array" ref="D85">StartX</f>
        <v>275</v>
      </c>
      <c r="E85" s="2">
        <f>StartY</f>
        <v>100</v>
      </c>
      <c r="F85" s="2">
        <v>0</v>
      </c>
      <c r="G85" s="2" t="e">
        <f>CONCATENATE("R", 3*ExtrusionSpacing_L1)</f>
        <v>#NAME?</v>
      </c>
      <c r="H85" s="2" t="s">
        <v>100</v>
      </c>
      <c r="I85" s="2" t="s">
        <v>100</v>
      </c>
      <c r="J85" s="2" t="s">
        <v>19</v>
      </c>
      <c r="K85" s="2" t="e">
        <f>ExtrusionWidth</f>
        <v>#NAME?</v>
      </c>
      <c r="L85" s="2" t="e">
        <f>ExtrusionHeight</f>
        <v>#NAME?</v>
      </c>
      <c r="M85" s="2"/>
      <c r="N85" s="2"/>
      <c r="O85" s="2"/>
      <c r="P85" s="2"/>
      <c r="Q85" s="2"/>
      <c r="S85" s="5" t="s">
        <v>88</v>
      </c>
      <c r="T85" s="5">
        <v>0.85</v>
      </c>
      <c r="U85" s="5" t="s">
        <v>89</v>
      </c>
    </row>
    <row r="86" spans="1:34" x14ac:dyDescent="0.25">
      <c r="A86" s="2">
        <v>5</v>
      </c>
      <c r="B86" s="2" t="s">
        <v>1</v>
      </c>
      <c r="C86" s="2" t="s">
        <v>18</v>
      </c>
      <c r="D86" s="2" t="s">
        <v>100</v>
      </c>
      <c r="E86" s="2" t="s">
        <v>100</v>
      </c>
      <c r="F86" s="2" t="s">
        <v>100</v>
      </c>
      <c r="G86" s="2" t="s">
        <v>100</v>
      </c>
      <c r="H86" s="2" t="str" cm="1">
        <f t="array" ref="H86">CONCATENATE("R", Length)</f>
        <v>R130</v>
      </c>
      <c r="I86" s="2" t="s">
        <v>100</v>
      </c>
      <c r="J86" s="2" t="s">
        <v>19</v>
      </c>
      <c r="K86" s="2" t="e">
        <f>ExtrusionWidth</f>
        <v>#NAME?</v>
      </c>
      <c r="L86" s="2" t="e">
        <f>ExtrusionHeight</f>
        <v>#NAME?</v>
      </c>
      <c r="M86" s="2"/>
      <c r="N86" s="2"/>
      <c r="O86" s="2"/>
      <c r="P86" s="2"/>
      <c r="Q86" s="2"/>
      <c r="S86" s="5" t="s">
        <v>193</v>
      </c>
      <c r="T86" s="5" t="s">
        <v>204</v>
      </c>
      <c r="U86" s="5"/>
      <c r="V86" s="5" t="s">
        <v>204</v>
      </c>
      <c r="W86" s="5" t="s">
        <v>204</v>
      </c>
      <c r="X86" s="5" t="s">
        <v>204</v>
      </c>
      <c r="Y86" s="5" t="s">
        <v>204</v>
      </c>
      <c r="Z86" s="5" t="s">
        <v>204</v>
      </c>
      <c r="AA86" s="5" t="s">
        <v>204</v>
      </c>
      <c r="AB86" s="127" t="s">
        <v>466</v>
      </c>
      <c r="AC86" s="128" t="s">
        <v>483</v>
      </c>
      <c r="AD86" s="5" t="s">
        <v>204</v>
      </c>
      <c r="AE86" s="5" t="s">
        <v>204</v>
      </c>
      <c r="AF86" s="5" t="s">
        <v>204</v>
      </c>
      <c r="AG86" s="5" t="s">
        <v>204</v>
      </c>
      <c r="AH86" s="5" t="s">
        <v>204</v>
      </c>
    </row>
    <row r="87" spans="1:34" x14ac:dyDescent="0.25">
      <c r="A87" s="2">
        <v>6</v>
      </c>
      <c r="B87" s="2" t="s">
        <v>1</v>
      </c>
      <c r="C87" s="2" t="s">
        <v>18</v>
      </c>
      <c r="D87" s="2" t="s">
        <v>100</v>
      </c>
      <c r="E87" s="2" t="s">
        <v>100</v>
      </c>
      <c r="F87" s="2" t="s">
        <v>100</v>
      </c>
      <c r="G87" s="2" t="e">
        <f>CONCATENATE("R", ExtrusionSpacing_L1)</f>
        <v>#NAME?</v>
      </c>
      <c r="H87" s="2" t="s">
        <v>100</v>
      </c>
      <c r="I87" s="2" t="s">
        <v>100</v>
      </c>
      <c r="J87" s="2" t="s">
        <v>19</v>
      </c>
      <c r="K87" s="2" t="e">
        <f>ExtrusionWidth</f>
        <v>#NAME?</v>
      </c>
      <c r="L87" s="2" t="e">
        <f>ExtrusionHeight</f>
        <v>#NAME?</v>
      </c>
      <c r="M87" s="2"/>
      <c r="N87" s="2"/>
      <c r="O87" s="2"/>
      <c r="P87" s="2"/>
      <c r="Q87" s="2"/>
      <c r="S87" s="5" t="s">
        <v>194</v>
      </c>
      <c r="T87" s="5">
        <v>0</v>
      </c>
      <c r="U87" s="5"/>
    </row>
    <row r="88" spans="1:34" x14ac:dyDescent="0.25">
      <c r="A88" s="2">
        <v>7</v>
      </c>
      <c r="B88" s="2" t="s">
        <v>1</v>
      </c>
      <c r="C88" s="2" t="s">
        <v>18</v>
      </c>
      <c r="D88" s="2" t="s">
        <v>100</v>
      </c>
      <c r="E88" s="2" t="s">
        <v>100</v>
      </c>
      <c r="F88" s="2" t="s">
        <v>100</v>
      </c>
      <c r="G88" s="2" t="s">
        <v>100</v>
      </c>
      <c r="H88" s="2" t="str">
        <f>CONCATENATE("R-", Length)</f>
        <v>R-130</v>
      </c>
      <c r="I88" s="2" t="s">
        <v>100</v>
      </c>
      <c r="J88" s="2" t="s">
        <v>19</v>
      </c>
      <c r="K88" s="2" t="e">
        <f>ExtrusionWidth</f>
        <v>#NAME?</v>
      </c>
      <c r="L88" s="2" t="e">
        <f>ExtrusionHeight</f>
        <v>#NAME?</v>
      </c>
      <c r="M88" s="2"/>
      <c r="N88" s="2"/>
      <c r="O88" s="2"/>
      <c r="P88" s="2"/>
      <c r="Q88" s="2"/>
      <c r="S88" s="57"/>
      <c r="T88" s="57"/>
      <c r="U88" s="90"/>
    </row>
    <row r="89" spans="1:34" x14ac:dyDescent="0.25">
      <c r="A89" s="2">
        <v>8</v>
      </c>
      <c r="B89" s="2" t="s">
        <v>55</v>
      </c>
      <c r="C89" s="98" t="s">
        <v>666</v>
      </c>
      <c r="D89" s="2" t="e">
        <f>4*ExtrusionSpacing_L1</f>
        <v>#NAME?</v>
      </c>
      <c r="E89" s="2">
        <v>0</v>
      </c>
      <c r="F89" s="2">
        <v>0</v>
      </c>
      <c r="G89" s="2">
        <v>20</v>
      </c>
      <c r="H89" s="2"/>
      <c r="I89" s="2"/>
      <c r="J89" s="2"/>
      <c r="K89" s="2"/>
      <c r="L89" s="2"/>
      <c r="M89" s="2"/>
      <c r="N89" s="2"/>
      <c r="O89" s="2"/>
      <c r="P89" s="2"/>
      <c r="Q89" s="2"/>
      <c r="S89" s="5" t="s">
        <v>338</v>
      </c>
      <c r="T89" s="122">
        <v>65</v>
      </c>
      <c r="U89" s="5" t="s">
        <v>43</v>
      </c>
      <c r="V89" s="122">
        <v>60</v>
      </c>
      <c r="W89" s="123">
        <v>60</v>
      </c>
      <c r="X89" s="137">
        <v>60</v>
      </c>
      <c r="Y89" s="124">
        <v>60</v>
      </c>
      <c r="Z89" s="126">
        <v>60</v>
      </c>
      <c r="AA89" s="127">
        <v>60</v>
      </c>
      <c r="AB89" s="127">
        <v>60</v>
      </c>
      <c r="AC89" s="134">
        <v>60</v>
      </c>
      <c r="AD89" s="135">
        <v>60</v>
      </c>
      <c r="AE89" s="136">
        <v>60</v>
      </c>
      <c r="AF89" s="138">
        <v>60</v>
      </c>
      <c r="AG89" s="132">
        <v>60</v>
      </c>
      <c r="AH89" s="139">
        <v>60</v>
      </c>
    </row>
    <row r="90" spans="1:34" x14ac:dyDescent="0.25">
      <c r="A90" s="2">
        <v>9</v>
      </c>
      <c r="B90" s="143" t="s">
        <v>49</v>
      </c>
      <c r="C90" s="2" t="s">
        <v>674</v>
      </c>
      <c r="D90" s="2"/>
      <c r="E90" s="2"/>
      <c r="F90" s="2"/>
      <c r="G90" s="2"/>
      <c r="H90" s="2"/>
      <c r="I90" s="2"/>
      <c r="J90" s="2"/>
      <c r="K90" s="2"/>
      <c r="L90" s="2"/>
      <c r="M90" s="2"/>
      <c r="N90" s="2"/>
      <c r="O90" s="2"/>
      <c r="P90" s="2"/>
      <c r="Q90" s="2"/>
      <c r="S90" s="5" t="s">
        <v>85</v>
      </c>
      <c r="T90" s="5">
        <v>1500</v>
      </c>
      <c r="U90" s="5" t="s">
        <v>45</v>
      </c>
    </row>
    <row r="91" spans="1:34" x14ac:dyDescent="0.25">
      <c r="A91" s="2">
        <v>10</v>
      </c>
      <c r="B91" s="143" t="s">
        <v>49</v>
      </c>
      <c r="C91" s="2" t="s">
        <v>203</v>
      </c>
      <c r="D91" s="2">
        <v>1</v>
      </c>
      <c r="E91" s="2"/>
      <c r="F91" s="2"/>
      <c r="G91" s="2"/>
      <c r="H91" s="2"/>
      <c r="I91" s="2"/>
      <c r="J91" s="2"/>
      <c r="K91" s="2"/>
      <c r="L91" s="2"/>
      <c r="M91" s="2"/>
      <c r="N91" s="2"/>
      <c r="O91" s="2"/>
      <c r="P91" s="2"/>
      <c r="Q91" s="2"/>
      <c r="S91" s="5" t="s">
        <v>86</v>
      </c>
      <c r="T91" s="5">
        <v>48000</v>
      </c>
      <c r="U91" s="5" t="s">
        <v>45</v>
      </c>
    </row>
    <row r="92" spans="1:34" x14ac:dyDescent="0.25">
      <c r="A92" s="2">
        <v>11</v>
      </c>
      <c r="B92" s="143" t="s">
        <v>49</v>
      </c>
      <c r="C92" s="2" t="s">
        <v>634</v>
      </c>
      <c r="D92" s="2"/>
      <c r="E92" s="2"/>
      <c r="F92" s="143"/>
      <c r="G92" s="2"/>
      <c r="H92" s="2"/>
      <c r="I92" s="2"/>
      <c r="J92" s="2"/>
      <c r="K92" s="2"/>
      <c r="L92" s="2"/>
      <c r="M92" s="2"/>
      <c r="N92" s="2"/>
      <c r="O92" s="2"/>
      <c r="P92" s="2"/>
      <c r="Q92" s="2"/>
      <c r="S92" s="5" t="s">
        <v>41</v>
      </c>
      <c r="T92" s="122">
        <v>220</v>
      </c>
      <c r="U92" s="5" t="s">
        <v>43</v>
      </c>
      <c r="V92" s="122">
        <v>210</v>
      </c>
      <c r="W92" s="123">
        <v>210</v>
      </c>
      <c r="X92" s="137">
        <v>210</v>
      </c>
      <c r="Y92" s="124">
        <v>215</v>
      </c>
      <c r="Z92" s="126">
        <v>220</v>
      </c>
      <c r="AA92" s="127">
        <v>210</v>
      </c>
      <c r="AB92" s="127">
        <v>210</v>
      </c>
      <c r="AC92" s="134">
        <v>210</v>
      </c>
      <c r="AD92" s="135">
        <v>210</v>
      </c>
      <c r="AE92" s="136">
        <v>210</v>
      </c>
      <c r="AF92" s="138">
        <v>210</v>
      </c>
      <c r="AG92" s="132">
        <v>210</v>
      </c>
      <c r="AH92" s="139">
        <v>210</v>
      </c>
    </row>
    <row r="93" spans="1:34" x14ac:dyDescent="0.25">
      <c r="A93" s="2">
        <v>12</v>
      </c>
      <c r="B93" s="142" t="s">
        <v>658</v>
      </c>
      <c r="C93" s="2" t="s">
        <v>18</v>
      </c>
      <c r="D93" s="2" t="s">
        <v>100</v>
      </c>
      <c r="E93" s="2" t="s">
        <v>100</v>
      </c>
      <c r="F93" s="2" t="s">
        <v>100</v>
      </c>
      <c r="G93" s="2" t="e">
        <f>50+ExtrusionSpacing_L1</f>
        <v>#NAME?</v>
      </c>
      <c r="H93" s="2" t="e">
        <f>50+Length+ExtrusionSpacing_L1</f>
        <v>#NAME?</v>
      </c>
      <c r="I93" s="2">
        <v>0.55000000000000004</v>
      </c>
      <c r="J93" s="2" t="s">
        <v>23</v>
      </c>
      <c r="K93" s="2"/>
      <c r="L93" s="2"/>
      <c r="M93" s="2"/>
      <c r="N93" s="2"/>
      <c r="O93" s="2"/>
      <c r="P93" s="2"/>
      <c r="Q93" s="2"/>
      <c r="S93" s="5" t="s">
        <v>42</v>
      </c>
      <c r="T93" s="122">
        <v>1.75</v>
      </c>
      <c r="U93" s="5" t="s">
        <v>44</v>
      </c>
      <c r="V93" s="122">
        <v>2.85</v>
      </c>
      <c r="W93" s="123">
        <v>1.75</v>
      </c>
      <c r="X93" s="137">
        <v>1.75</v>
      </c>
      <c r="Y93" s="125">
        <v>1.75</v>
      </c>
      <c r="Z93" s="126">
        <v>1.75</v>
      </c>
      <c r="AA93" s="127">
        <v>1.75</v>
      </c>
      <c r="AB93" s="127">
        <v>1.75</v>
      </c>
      <c r="AC93" s="134">
        <v>1.75</v>
      </c>
      <c r="AD93" s="135">
        <v>1.75</v>
      </c>
      <c r="AE93" s="136">
        <v>1.75</v>
      </c>
      <c r="AF93" s="138">
        <v>1.75</v>
      </c>
      <c r="AG93" s="132">
        <v>2.85</v>
      </c>
      <c r="AH93" s="139">
        <v>1.75</v>
      </c>
    </row>
    <row r="94" spans="1:34" x14ac:dyDescent="0.25">
      <c r="A94" s="2">
        <v>13</v>
      </c>
      <c r="B94" s="143" t="s">
        <v>1</v>
      </c>
      <c r="C94" s="2" t="s">
        <v>18</v>
      </c>
      <c r="D94" s="2" t="e">
        <f>StartX+ExtrusionSpacing_L1</f>
        <v>#NAME?</v>
      </c>
      <c r="E94" s="2" t="e">
        <f>StartY+Length+ExtrusionSpacing_L1</f>
        <v>#NAME?</v>
      </c>
      <c r="F94" s="2">
        <v>1E-4</v>
      </c>
      <c r="G94" s="2" t="s">
        <v>100</v>
      </c>
      <c r="H94" s="2" t="str">
        <f>CONCATENATE("R-", Length)</f>
        <v>R-130</v>
      </c>
      <c r="I94" s="2" t="s">
        <v>100</v>
      </c>
      <c r="J94" s="2" t="s">
        <v>19</v>
      </c>
      <c r="K94" s="2" t="e">
        <f>ExtrusionWidth</f>
        <v>#NAME?</v>
      </c>
      <c r="L94" s="2" t="e">
        <f>ExtrusionHeight</f>
        <v>#NAME?</v>
      </c>
      <c r="M94" s="2"/>
      <c r="N94" s="2"/>
      <c r="O94" s="2"/>
      <c r="P94" s="2"/>
      <c r="Q94" s="2"/>
      <c r="S94" s="5" t="s">
        <v>46</v>
      </c>
      <c r="T94" s="122">
        <v>33</v>
      </c>
      <c r="U94" s="5" t="s">
        <v>90</v>
      </c>
      <c r="V94" s="122" t="s">
        <v>82</v>
      </c>
      <c r="W94" s="123" t="s">
        <v>44</v>
      </c>
      <c r="X94" s="137" t="s">
        <v>44</v>
      </c>
      <c r="Y94" s="125" t="s">
        <v>44</v>
      </c>
      <c r="Z94" s="126" t="s">
        <v>44</v>
      </c>
      <c r="AA94" s="127" t="s">
        <v>44</v>
      </c>
      <c r="AB94" s="127" t="s">
        <v>44</v>
      </c>
      <c r="AC94" s="134" t="s">
        <v>44</v>
      </c>
      <c r="AD94" s="135" t="s">
        <v>44</v>
      </c>
      <c r="AE94" s="136" t="s">
        <v>44</v>
      </c>
      <c r="AF94" s="138" t="s">
        <v>44</v>
      </c>
      <c r="AG94" s="132" t="s">
        <v>82</v>
      </c>
      <c r="AH94" s="139" t="s">
        <v>44</v>
      </c>
    </row>
    <row r="95" spans="1:34" x14ac:dyDescent="0.25">
      <c r="A95" s="2">
        <v>14</v>
      </c>
      <c r="B95" s="143" t="s">
        <v>1</v>
      </c>
      <c r="C95" s="2" t="s">
        <v>18</v>
      </c>
      <c r="D95" s="2" t="s">
        <v>100</v>
      </c>
      <c r="E95" s="2" t="s">
        <v>100</v>
      </c>
      <c r="F95" s="2" t="s">
        <v>100</v>
      </c>
      <c r="G95" s="2" t="e">
        <f>CONCATENATE("R", ExtrusionSpacing_L1)</f>
        <v>#NAME?</v>
      </c>
      <c r="H95" s="2" t="s">
        <v>100</v>
      </c>
      <c r="I95" s="2" t="s">
        <v>100</v>
      </c>
      <c r="J95" s="2" t="s">
        <v>19</v>
      </c>
      <c r="K95" s="2" t="e">
        <f>ExtrusionWidth</f>
        <v>#NAME?</v>
      </c>
      <c r="L95" s="2" t="e">
        <f>ExtrusionHeight</f>
        <v>#NAME?</v>
      </c>
      <c r="M95" s="2"/>
      <c r="N95" s="2"/>
      <c r="O95" s="2"/>
      <c r="P95" s="2"/>
      <c r="Q95" s="2"/>
      <c r="S95" s="5" t="s">
        <v>108</v>
      </c>
      <c r="T95" s="122" t="s">
        <v>635</v>
      </c>
      <c r="U95" s="5"/>
      <c r="V95" s="122" t="s">
        <v>153</v>
      </c>
      <c r="W95" s="123" t="s">
        <v>394</v>
      </c>
      <c r="X95" s="137" t="s">
        <v>393</v>
      </c>
      <c r="Y95" s="24" t="s">
        <v>455</v>
      </c>
      <c r="Z95" s="126" t="s">
        <v>425</v>
      </c>
      <c r="AA95" s="127" t="s">
        <v>465</v>
      </c>
      <c r="AB95" s="127" t="s">
        <v>466</v>
      </c>
      <c r="AC95" s="134" t="s">
        <v>489</v>
      </c>
      <c r="AD95" s="135" t="s">
        <v>504</v>
      </c>
      <c r="AE95" s="136" t="s">
        <v>554</v>
      </c>
      <c r="AF95" s="138" t="s">
        <v>558</v>
      </c>
      <c r="AG95" s="132" t="s">
        <v>591</v>
      </c>
      <c r="AH95" s="139" t="s">
        <v>592</v>
      </c>
    </row>
    <row r="96" spans="1:34" x14ac:dyDescent="0.25">
      <c r="A96" s="2">
        <v>15</v>
      </c>
      <c r="B96" s="143" t="s">
        <v>1</v>
      </c>
      <c r="C96" s="2" t="s">
        <v>18</v>
      </c>
      <c r="D96" s="2" t="s">
        <v>100</v>
      </c>
      <c r="E96" s="2" t="s">
        <v>100</v>
      </c>
      <c r="F96" s="2" t="s">
        <v>100</v>
      </c>
      <c r="G96" s="2" t="s">
        <v>100</v>
      </c>
      <c r="H96" s="2" t="str" cm="1">
        <f t="array" ref="H96">CONCATENATE("R", Length)</f>
        <v>R130</v>
      </c>
      <c r="I96" s="2" t="s">
        <v>100</v>
      </c>
      <c r="J96" s="2" t="s">
        <v>19</v>
      </c>
      <c r="K96" s="2" t="e">
        <f>ExtrusionWidth</f>
        <v>#NAME?</v>
      </c>
      <c r="L96" s="2" t="e">
        <f>ExtrusionHeight</f>
        <v>#NAME?</v>
      </c>
      <c r="M96" s="2"/>
      <c r="N96" s="2"/>
      <c r="O96" s="2"/>
      <c r="P96" s="2"/>
      <c r="Q96" s="2"/>
      <c r="S96" s="5" t="s">
        <v>152</v>
      </c>
      <c r="T96" s="122" t="s">
        <v>635</v>
      </c>
      <c r="U96" s="5"/>
      <c r="V96" s="122" t="s">
        <v>125</v>
      </c>
      <c r="W96" s="123" t="s">
        <v>394</v>
      </c>
      <c r="X96" s="137" t="s">
        <v>393</v>
      </c>
      <c r="Y96" s="24" t="s">
        <v>455</v>
      </c>
      <c r="Z96" s="126" t="s">
        <v>425</v>
      </c>
      <c r="AA96" s="127" t="s">
        <v>465</v>
      </c>
      <c r="AB96" s="127" t="s">
        <v>466</v>
      </c>
      <c r="AC96" s="134" t="s">
        <v>489</v>
      </c>
      <c r="AD96" s="135" t="s">
        <v>504</v>
      </c>
      <c r="AE96" s="136" t="s">
        <v>554</v>
      </c>
      <c r="AF96" s="138" t="s">
        <v>558</v>
      </c>
      <c r="AG96" s="132" t="s">
        <v>591</v>
      </c>
      <c r="AH96" s="139" t="s">
        <v>592</v>
      </c>
    </row>
    <row r="97" spans="1:40" x14ac:dyDescent="0.25">
      <c r="A97" s="2">
        <v>16</v>
      </c>
      <c r="B97" s="143" t="s">
        <v>1</v>
      </c>
      <c r="C97" s="2" t="s">
        <v>18</v>
      </c>
      <c r="D97" s="2" t="s">
        <v>100</v>
      </c>
      <c r="E97" s="2" t="s">
        <v>100</v>
      </c>
      <c r="F97" s="2" t="s">
        <v>100</v>
      </c>
      <c r="G97" s="2" t="e">
        <f>CONCATENATE("R", 3*ExtrusionSpacing_L1)</f>
        <v>#NAME?</v>
      </c>
      <c r="H97" s="2" t="s">
        <v>100</v>
      </c>
      <c r="I97" s="2" t="s">
        <v>100</v>
      </c>
      <c r="J97" s="2" t="s">
        <v>19</v>
      </c>
      <c r="K97" s="2" t="e">
        <f>ExtrusionWidth</f>
        <v>#NAME?</v>
      </c>
      <c r="L97" s="2" t="e">
        <f>ExtrusionHeight</f>
        <v>#NAME?</v>
      </c>
      <c r="M97" s="2"/>
      <c r="N97" s="2"/>
      <c r="O97" s="2"/>
      <c r="P97" s="2"/>
      <c r="Q97" s="2"/>
      <c r="S97" s="5" t="s">
        <v>167</v>
      </c>
      <c r="T97" s="5">
        <v>20</v>
      </c>
      <c r="U97" s="5" t="s">
        <v>44</v>
      </c>
    </row>
    <row r="98" spans="1:40" x14ac:dyDescent="0.25">
      <c r="A98" s="2">
        <v>17</v>
      </c>
      <c r="B98" s="143" t="s">
        <v>55</v>
      </c>
      <c r="C98" s="98" t="s">
        <v>665</v>
      </c>
      <c r="D98" s="2" t="e">
        <f>4*ExtrusionSpacing_L1</f>
        <v>#NAME?</v>
      </c>
      <c r="E98" s="2">
        <v>0</v>
      </c>
      <c r="F98" s="2">
        <v>0</v>
      </c>
      <c r="G98" s="2">
        <v>20</v>
      </c>
      <c r="H98" s="2"/>
      <c r="I98" s="2"/>
      <c r="J98" s="2"/>
      <c r="K98" s="2"/>
      <c r="L98" s="2"/>
      <c r="M98" s="2"/>
      <c r="N98" s="2"/>
      <c r="O98" s="2"/>
      <c r="P98" s="2"/>
      <c r="Q98" s="2"/>
      <c r="S98" s="5" t="s">
        <v>168</v>
      </c>
      <c r="T98" s="5">
        <v>10</v>
      </c>
      <c r="U98" s="5" t="s">
        <v>44</v>
      </c>
    </row>
    <row r="99" spans="1:40" x14ac:dyDescent="0.25">
      <c r="A99" s="2">
        <v>18</v>
      </c>
      <c r="B99" s="143" t="s">
        <v>39</v>
      </c>
      <c r="C99" s="2">
        <v>1.25</v>
      </c>
      <c r="D99" s="2">
        <v>2100</v>
      </c>
      <c r="E99" s="2" t="e">
        <f>LayerHeight</f>
        <v>#NAME?</v>
      </c>
      <c r="F99" s="2">
        <v>10000</v>
      </c>
      <c r="G99" s="2"/>
      <c r="H99" s="2"/>
      <c r="I99" s="2"/>
      <c r="J99" s="2"/>
      <c r="K99" s="2"/>
      <c r="L99" s="2"/>
      <c r="M99" s="2"/>
      <c r="N99" s="2"/>
      <c r="O99" s="2"/>
      <c r="P99" s="2"/>
      <c r="Q99" s="2"/>
      <c r="S99" s="5" t="s">
        <v>169</v>
      </c>
      <c r="T99" s="5">
        <v>0.3</v>
      </c>
      <c r="U99" s="5" t="s">
        <v>44</v>
      </c>
    </row>
    <row r="100" spans="1:40" x14ac:dyDescent="0.25">
      <c r="A100" s="2">
        <v>19</v>
      </c>
      <c r="B100" s="142" t="s">
        <v>658</v>
      </c>
      <c r="C100" s="2" t="s">
        <v>18</v>
      </c>
      <c r="D100" s="2" t="s">
        <v>100</v>
      </c>
      <c r="E100" s="2" t="s">
        <v>100</v>
      </c>
      <c r="F100" s="2" t="s">
        <v>100</v>
      </c>
      <c r="G100" s="2" t="e">
        <f>50+ExtrusionSpacing_L1</f>
        <v>#NAME?</v>
      </c>
      <c r="H100" s="2" t="e">
        <f>50+Length+ExtrusionSpacing_L1</f>
        <v>#NAME?</v>
      </c>
      <c r="I100" s="2"/>
      <c r="J100" s="2" t="s">
        <v>23</v>
      </c>
      <c r="K100" s="2"/>
      <c r="L100" s="2"/>
      <c r="M100" s="2"/>
      <c r="N100" s="2"/>
      <c r="O100" s="2"/>
      <c r="P100" s="2"/>
      <c r="Q100" s="2"/>
      <c r="S100" s="78" t="s">
        <v>339</v>
      </c>
      <c r="T100" s="5">
        <v>0</v>
      </c>
      <c r="U100" s="5"/>
      <c r="V100" s="1"/>
    </row>
    <row r="101" spans="1:40" x14ac:dyDescent="0.25">
      <c r="A101" s="2">
        <v>20</v>
      </c>
      <c r="B101" s="2" t="s">
        <v>1</v>
      </c>
      <c r="C101" s="2" t="s">
        <v>18</v>
      </c>
      <c r="D101" s="2" cm="1">
        <f t="array" ref="D101">StartX</f>
        <v>275</v>
      </c>
      <c r="E101" s="2">
        <f>StartY</f>
        <v>100</v>
      </c>
      <c r="F101" s="2" t="s">
        <v>100</v>
      </c>
      <c r="G101" s="2" t="e">
        <f>CONCATENATE("R", 3*ExtrusionSpacing_L1)</f>
        <v>#NAME?</v>
      </c>
      <c r="H101" s="2" t="s">
        <v>100</v>
      </c>
      <c r="I101" s="2" t="s">
        <v>100</v>
      </c>
      <c r="J101" s="2" t="s">
        <v>19</v>
      </c>
      <c r="K101" s="2" t="e">
        <f>ExtrusionWidth</f>
        <v>#NAME?</v>
      </c>
      <c r="L101" s="2" t="e">
        <f>ExtrusionHeight</f>
        <v>#NAME?</v>
      </c>
      <c r="M101" s="2"/>
      <c r="N101" s="2"/>
      <c r="O101" s="2"/>
      <c r="P101" s="2"/>
      <c r="Q101" s="2"/>
      <c r="S101" s="5" t="s">
        <v>154</v>
      </c>
      <c r="T101" s="5" t="s">
        <v>166</v>
      </c>
      <c r="U101" s="5" t="s">
        <v>158</v>
      </c>
    </row>
    <row r="102" spans="1:40" x14ac:dyDescent="0.25">
      <c r="A102" s="2">
        <v>21</v>
      </c>
      <c r="B102" s="2" t="s">
        <v>1</v>
      </c>
      <c r="C102" s="2" t="s">
        <v>18</v>
      </c>
      <c r="D102" s="2" t="s">
        <v>100</v>
      </c>
      <c r="E102" s="2" t="s">
        <v>100</v>
      </c>
      <c r="F102" s="2" t="s">
        <v>100</v>
      </c>
      <c r="G102" s="2" t="s">
        <v>100</v>
      </c>
      <c r="H102" s="2" t="str" cm="1">
        <f t="array" ref="H102">CONCATENATE("R", Length)</f>
        <v>R130</v>
      </c>
      <c r="I102" s="2" t="s">
        <v>100</v>
      </c>
      <c r="J102" s="2" t="s">
        <v>19</v>
      </c>
      <c r="K102" s="2" t="e">
        <f>ExtrusionWidth</f>
        <v>#NAME?</v>
      </c>
      <c r="L102" s="2" t="e">
        <f>ExtrusionHeight</f>
        <v>#NAME?</v>
      </c>
      <c r="M102" s="2"/>
      <c r="N102" s="2"/>
      <c r="O102" s="2"/>
      <c r="P102" s="2"/>
      <c r="Q102" s="2"/>
      <c r="S102" s="5" t="s">
        <v>159</v>
      </c>
      <c r="T102" s="5">
        <v>2</v>
      </c>
      <c r="U102" s="5" t="s">
        <v>44</v>
      </c>
      <c r="V102" s="1"/>
    </row>
    <row r="103" spans="1:40" x14ac:dyDescent="0.25">
      <c r="A103" s="2">
        <v>22</v>
      </c>
      <c r="B103" s="2" t="s">
        <v>1</v>
      </c>
      <c r="C103" s="2" t="s">
        <v>18</v>
      </c>
      <c r="D103" s="2" t="s">
        <v>100</v>
      </c>
      <c r="E103" s="2" t="s">
        <v>100</v>
      </c>
      <c r="F103" s="2" t="s">
        <v>100</v>
      </c>
      <c r="G103" s="2" t="e">
        <f>CONCATENATE("R", ExtrusionSpacing_L1)</f>
        <v>#NAME?</v>
      </c>
      <c r="H103" s="2" t="s">
        <v>100</v>
      </c>
      <c r="I103" s="2" t="s">
        <v>100</v>
      </c>
      <c r="J103" s="2" t="s">
        <v>19</v>
      </c>
      <c r="K103" s="2" t="e">
        <f>ExtrusionWidth</f>
        <v>#NAME?</v>
      </c>
      <c r="L103" s="2" t="e">
        <f>ExtrusionHeight</f>
        <v>#NAME?</v>
      </c>
      <c r="M103" s="2"/>
      <c r="N103" s="2"/>
      <c r="O103" s="2"/>
      <c r="P103" s="2"/>
      <c r="Q103" s="2"/>
      <c r="S103" s="5" t="s">
        <v>160</v>
      </c>
      <c r="T103" s="5">
        <v>1.25</v>
      </c>
      <c r="U103" s="5" t="s">
        <v>90</v>
      </c>
    </row>
    <row r="104" spans="1:40" x14ac:dyDescent="0.25">
      <c r="A104" s="2">
        <v>23</v>
      </c>
      <c r="B104" s="2" t="s">
        <v>1</v>
      </c>
      <c r="C104" s="2" t="s">
        <v>18</v>
      </c>
      <c r="D104" s="2" t="s">
        <v>100</v>
      </c>
      <c r="E104" s="2" t="s">
        <v>100</v>
      </c>
      <c r="F104" s="2" t="s">
        <v>100</v>
      </c>
      <c r="G104" s="2" t="s">
        <v>100</v>
      </c>
      <c r="H104" s="2" t="str">
        <f>CONCATENATE("R-", Length)</f>
        <v>R-130</v>
      </c>
      <c r="I104" s="2" t="s">
        <v>100</v>
      </c>
      <c r="J104" s="2" t="s">
        <v>19</v>
      </c>
      <c r="K104" s="2" t="e">
        <f>ExtrusionWidth</f>
        <v>#NAME?</v>
      </c>
      <c r="L104" s="2" t="e">
        <f>ExtrusionHeight</f>
        <v>#NAME?</v>
      </c>
      <c r="M104" s="2"/>
      <c r="N104" s="2"/>
      <c r="O104" s="2"/>
      <c r="P104" s="2"/>
      <c r="Q104" s="2"/>
      <c r="S104" s="5" t="s">
        <v>161</v>
      </c>
      <c r="T104" s="5">
        <v>2500</v>
      </c>
      <c r="U104" s="5" t="s">
        <v>45</v>
      </c>
    </row>
    <row r="105" spans="1:40" x14ac:dyDescent="0.25">
      <c r="A105" s="2">
        <v>24</v>
      </c>
      <c r="B105" s="143" t="s">
        <v>55</v>
      </c>
      <c r="C105" s="98" t="s">
        <v>673</v>
      </c>
      <c r="D105" s="2" t="e">
        <f>4*ExtrusionSpacing_L1</f>
        <v>#NAME?</v>
      </c>
      <c r="E105" s="2">
        <v>0</v>
      </c>
      <c r="F105" s="2">
        <v>0</v>
      </c>
      <c r="G105" s="2">
        <v>20</v>
      </c>
      <c r="H105" s="2"/>
      <c r="I105" s="2"/>
      <c r="J105" s="2"/>
      <c r="K105" s="2"/>
      <c r="L105" s="2"/>
      <c r="M105" s="2"/>
      <c r="N105" s="2"/>
      <c r="O105" s="2"/>
      <c r="P105" s="2"/>
      <c r="Q105" s="2"/>
      <c r="S105" s="5" t="s">
        <v>162</v>
      </c>
      <c r="T105" s="5">
        <v>0</v>
      </c>
      <c r="U105" s="5" t="s">
        <v>90</v>
      </c>
    </row>
    <row r="106" spans="1:40" x14ac:dyDescent="0.25">
      <c r="A106" s="2">
        <v>25</v>
      </c>
      <c r="B106" s="143" t="s">
        <v>49</v>
      </c>
      <c r="C106" s="2" t="s">
        <v>674</v>
      </c>
      <c r="D106" s="2"/>
      <c r="E106" s="2"/>
      <c r="F106" s="2"/>
      <c r="G106" s="2"/>
      <c r="H106" s="2"/>
      <c r="I106" s="2"/>
      <c r="J106" s="2"/>
      <c r="K106" s="2"/>
      <c r="L106" s="2"/>
      <c r="M106" s="2"/>
      <c r="N106" s="2"/>
      <c r="O106" s="2"/>
      <c r="P106" s="2"/>
      <c r="Q106" s="2"/>
      <c r="S106" s="3" t="s">
        <v>163</v>
      </c>
      <c r="T106" s="3">
        <f>T104</f>
        <v>2500</v>
      </c>
      <c r="U106" s="5" t="s">
        <v>45</v>
      </c>
    </row>
    <row r="107" spans="1:40" x14ac:dyDescent="0.25">
      <c r="A107" s="2">
        <v>26</v>
      </c>
      <c r="B107" s="143" t="s">
        <v>49</v>
      </c>
      <c r="C107" s="2" t="s">
        <v>203</v>
      </c>
      <c r="D107" s="2">
        <v>0</v>
      </c>
      <c r="E107" s="2"/>
      <c r="F107" s="2"/>
      <c r="G107" s="2"/>
      <c r="H107" s="143"/>
      <c r="I107" s="2"/>
      <c r="J107" s="2"/>
      <c r="K107" s="2"/>
      <c r="L107" s="2"/>
      <c r="M107" s="2"/>
      <c r="N107" s="2"/>
      <c r="O107" s="2"/>
      <c r="P107" s="2"/>
      <c r="Q107" s="2"/>
      <c r="S107" s="3" t="s">
        <v>164</v>
      </c>
      <c r="T107" s="3">
        <v>0.65</v>
      </c>
      <c r="U107" s="5" t="s">
        <v>44</v>
      </c>
    </row>
    <row r="108" spans="1:40" x14ac:dyDescent="0.25">
      <c r="A108" s="2">
        <v>27</v>
      </c>
      <c r="B108" s="143" t="s">
        <v>49</v>
      </c>
      <c r="C108" s="2" t="s">
        <v>634</v>
      </c>
      <c r="D108" s="2"/>
      <c r="E108" s="2"/>
      <c r="F108" s="2"/>
      <c r="G108" s="2"/>
      <c r="H108" s="2"/>
      <c r="I108" s="2"/>
      <c r="J108" s="2"/>
      <c r="K108" s="2"/>
      <c r="L108" s="2"/>
      <c r="M108" s="2"/>
      <c r="N108" s="2"/>
      <c r="O108" s="2"/>
      <c r="P108" s="2"/>
      <c r="Q108" s="2"/>
      <c r="S108" s="3" t="s">
        <v>165</v>
      </c>
      <c r="T108" s="3">
        <v>10000</v>
      </c>
      <c r="U108" s="5" t="s">
        <v>45</v>
      </c>
    </row>
    <row r="109" spans="1:40" x14ac:dyDescent="0.25">
      <c r="A109" s="2">
        <v>28</v>
      </c>
      <c r="B109" s="142" t="s">
        <v>658</v>
      </c>
      <c r="C109" s="2" t="s">
        <v>18</v>
      </c>
      <c r="D109" s="2" t="s">
        <v>100</v>
      </c>
      <c r="E109" s="2" t="s">
        <v>100</v>
      </c>
      <c r="F109" s="2" t="s">
        <v>100</v>
      </c>
      <c r="G109" s="2">
        <v>50</v>
      </c>
      <c r="H109" s="2">
        <v>50</v>
      </c>
      <c r="I109" s="2" t="e">
        <f>LayerHeight</f>
        <v>#NAME?</v>
      </c>
      <c r="J109" s="2" t="s">
        <v>23</v>
      </c>
      <c r="K109" s="2"/>
      <c r="L109" s="2"/>
      <c r="M109" s="2"/>
      <c r="N109" s="2"/>
      <c r="O109" s="2"/>
      <c r="P109" s="2"/>
      <c r="Q109" s="2"/>
      <c r="S109" s="29"/>
      <c r="T109" s="29"/>
      <c r="U109" s="91"/>
      <c r="V109" s="29"/>
      <c r="W109" s="29"/>
      <c r="X109" s="29"/>
      <c r="Y109" s="29"/>
      <c r="Z109" s="29"/>
      <c r="AA109" s="29"/>
      <c r="AB109" s="29"/>
      <c r="AC109" s="29"/>
      <c r="AD109" s="29"/>
      <c r="AE109" s="29"/>
      <c r="AF109" s="29"/>
    </row>
    <row r="110" spans="1:40" x14ac:dyDescent="0.25">
      <c r="A110" s="2">
        <v>29</v>
      </c>
      <c r="B110" s="143" t="s">
        <v>1</v>
      </c>
      <c r="C110" s="2" t="s">
        <v>18</v>
      </c>
      <c r="D110" s="2" t="e">
        <f>StartX+ExtrusionSpacing_L1</f>
        <v>#NAME?</v>
      </c>
      <c r="E110" s="2" t="e">
        <f>StartY+Length+ExtrusionSpacing_L1</f>
        <v>#NAME?</v>
      </c>
      <c r="F110" s="2">
        <v>0.9</v>
      </c>
      <c r="G110" s="2" t="s">
        <v>100</v>
      </c>
      <c r="H110" s="2" t="str">
        <f>CONCATENATE("R-", Length)</f>
        <v>R-130</v>
      </c>
      <c r="I110" s="2" t="s">
        <v>100</v>
      </c>
      <c r="J110" s="2" t="s">
        <v>19</v>
      </c>
      <c r="K110" s="2" t="e">
        <f>ExtrusionWidth</f>
        <v>#NAME?</v>
      </c>
      <c r="L110" s="2" t="e">
        <f>ExtrusionHeight</f>
        <v>#NAME?</v>
      </c>
      <c r="M110" s="2"/>
      <c r="N110" s="2"/>
      <c r="O110" s="143"/>
      <c r="P110" s="2"/>
      <c r="Q110" s="2"/>
      <c r="S110" s="96" t="s">
        <v>292</v>
      </c>
      <c r="T110" s="96" t="s">
        <v>293</v>
      </c>
      <c r="U110" s="97" t="s">
        <v>331</v>
      </c>
      <c r="V110" s="29"/>
      <c r="W110" s="29"/>
      <c r="X110" s="29"/>
      <c r="Y110" s="29"/>
      <c r="Z110" s="29"/>
      <c r="AA110" s="29"/>
      <c r="AB110" s="29"/>
      <c r="AC110" s="29"/>
      <c r="AD110" s="29"/>
      <c r="AE110" s="29"/>
      <c r="AF110" s="29"/>
    </row>
    <row r="111" spans="1:40" x14ac:dyDescent="0.25">
      <c r="A111" s="2">
        <v>30</v>
      </c>
      <c r="B111" s="143" t="s">
        <v>1</v>
      </c>
      <c r="C111" s="2" t="s">
        <v>18</v>
      </c>
      <c r="D111" s="2" t="s">
        <v>100</v>
      </c>
      <c r="E111" s="2" t="s">
        <v>100</v>
      </c>
      <c r="F111" s="2" t="s">
        <v>100</v>
      </c>
      <c r="G111" s="2" t="e">
        <f>CONCATENATE("R", ExtrusionSpacing_L1)</f>
        <v>#NAME?</v>
      </c>
      <c r="H111" s="2" t="s">
        <v>100</v>
      </c>
      <c r="I111" s="2" t="s">
        <v>100</v>
      </c>
      <c r="J111" s="2" t="s">
        <v>19</v>
      </c>
      <c r="K111" s="2" t="e">
        <f>ExtrusionWidth</f>
        <v>#NAME?</v>
      </c>
      <c r="L111" s="2" t="e">
        <f>ExtrusionHeight</f>
        <v>#NAME?</v>
      </c>
      <c r="M111" s="2"/>
      <c r="N111" s="2"/>
      <c r="O111" s="2"/>
      <c r="P111" s="2"/>
      <c r="Q111" s="2"/>
      <c r="R111" s="29"/>
      <c r="S111" s="75" t="s">
        <v>662</v>
      </c>
      <c r="T111" s="75">
        <v>1.35</v>
      </c>
      <c r="U111" s="92" t="s">
        <v>109</v>
      </c>
      <c r="V111" s="29"/>
      <c r="W111" s="29"/>
      <c r="X111" s="29"/>
      <c r="Y111" s="29"/>
      <c r="Z111" s="29"/>
      <c r="AA111" s="29"/>
      <c r="AB111" s="29"/>
      <c r="AC111" s="29"/>
      <c r="AD111" s="29"/>
      <c r="AE111" s="29"/>
      <c r="AF111" s="29"/>
      <c r="AG111" s="29"/>
      <c r="AH111" s="29"/>
      <c r="AI111" s="29"/>
      <c r="AJ111" s="29"/>
      <c r="AK111" s="29"/>
      <c r="AL111" s="29"/>
      <c r="AM111" s="29"/>
      <c r="AN111" s="29"/>
    </row>
    <row r="112" spans="1:40" x14ac:dyDescent="0.25">
      <c r="A112" s="2">
        <v>31</v>
      </c>
      <c r="B112" s="143" t="s">
        <v>1</v>
      </c>
      <c r="C112" s="2" t="s">
        <v>18</v>
      </c>
      <c r="D112" s="2" t="s">
        <v>100</v>
      </c>
      <c r="E112" s="2" t="s">
        <v>100</v>
      </c>
      <c r="F112" s="2" t="s">
        <v>100</v>
      </c>
      <c r="G112" s="2" t="s">
        <v>100</v>
      </c>
      <c r="H112" s="2" t="str" cm="1">
        <f t="array" ref="H112">CONCATENATE("R", Length)</f>
        <v>R130</v>
      </c>
      <c r="I112" s="2" t="s">
        <v>100</v>
      </c>
      <c r="J112" s="2" t="s">
        <v>19</v>
      </c>
      <c r="K112" s="2" t="e">
        <f>ExtrusionWidth</f>
        <v>#NAME?</v>
      </c>
      <c r="L112" s="2" t="e">
        <f>ExtrusionHeight</f>
        <v>#NAME?</v>
      </c>
      <c r="M112" s="2"/>
      <c r="N112" s="2"/>
      <c r="O112" s="2"/>
      <c r="P112" s="2"/>
      <c r="Q112" s="2"/>
      <c r="R112" s="29"/>
      <c r="S112" s="75" t="s">
        <v>661</v>
      </c>
      <c r="T112" s="75">
        <v>1.1000000000000001</v>
      </c>
      <c r="U112" s="92" t="s">
        <v>109</v>
      </c>
      <c r="V112" s="29"/>
      <c r="W112" s="29"/>
      <c r="X112" s="29"/>
      <c r="Y112" s="29"/>
      <c r="Z112" s="29"/>
      <c r="AA112" s="29"/>
      <c r="AB112" s="29"/>
      <c r="AC112" s="29"/>
      <c r="AD112" s="29"/>
      <c r="AE112" s="29"/>
      <c r="AF112" s="29"/>
      <c r="AG112" s="29"/>
      <c r="AH112" s="29"/>
      <c r="AI112" s="29"/>
      <c r="AJ112" s="29"/>
      <c r="AK112" s="29"/>
      <c r="AL112" s="29"/>
      <c r="AM112" s="29"/>
      <c r="AN112" s="29"/>
    </row>
    <row r="113" spans="1:46" x14ac:dyDescent="0.25">
      <c r="A113" s="2">
        <v>32</v>
      </c>
      <c r="B113" s="143" t="s">
        <v>1</v>
      </c>
      <c r="C113" s="2" t="s">
        <v>18</v>
      </c>
      <c r="D113" s="2" t="s">
        <v>100</v>
      </c>
      <c r="E113" s="2" t="s">
        <v>100</v>
      </c>
      <c r="F113" s="2" t="s">
        <v>100</v>
      </c>
      <c r="G113" s="2" t="e">
        <f>CONCATENATE("R", 3*ExtrusionSpacing_L1)</f>
        <v>#NAME?</v>
      </c>
      <c r="H113" s="2" t="s">
        <v>100</v>
      </c>
      <c r="I113" s="2" t="s">
        <v>100</v>
      </c>
      <c r="J113" s="2" t="s">
        <v>19</v>
      </c>
      <c r="K113" s="2" t="e">
        <f>ExtrusionWidth</f>
        <v>#NAME?</v>
      </c>
      <c r="L113" s="2" t="e">
        <f>ExtrusionHeight</f>
        <v>#NAME?</v>
      </c>
      <c r="M113" s="2"/>
      <c r="N113" s="2"/>
      <c r="O113" s="2"/>
      <c r="P113" s="2"/>
      <c r="Q113" s="2"/>
      <c r="S113" s="75" t="s">
        <v>671</v>
      </c>
      <c r="T113" s="75">
        <v>1.2</v>
      </c>
      <c r="U113" s="92" t="s">
        <v>109</v>
      </c>
    </row>
    <row r="114" spans="1:46" x14ac:dyDescent="0.25">
      <c r="A114" s="2">
        <v>33</v>
      </c>
      <c r="B114" s="2" t="s">
        <v>55</v>
      </c>
      <c r="C114" s="98" t="s">
        <v>675</v>
      </c>
      <c r="D114" s="2" t="e">
        <f>4*ExtrusionSpacing_L1</f>
        <v>#NAME?</v>
      </c>
      <c r="E114" s="2">
        <v>0</v>
      </c>
      <c r="F114" s="2">
        <v>0</v>
      </c>
      <c r="G114" s="2">
        <v>20</v>
      </c>
      <c r="H114" s="2"/>
      <c r="I114" s="2"/>
      <c r="J114" s="2"/>
      <c r="K114" s="2"/>
      <c r="L114" s="2"/>
      <c r="M114" s="2"/>
      <c r="N114" s="2"/>
      <c r="O114" s="2"/>
      <c r="P114" s="2"/>
      <c r="Q114" s="2"/>
      <c r="S114" s="75" t="s">
        <v>672</v>
      </c>
      <c r="T114" s="75">
        <v>0.9</v>
      </c>
      <c r="U114" s="92" t="s">
        <v>109</v>
      </c>
      <c r="AO114" t="s">
        <v>130</v>
      </c>
      <c r="AP114" t="s">
        <v>670</v>
      </c>
      <c r="AQ114" t="s">
        <v>129</v>
      </c>
      <c r="AR114" t="s">
        <v>669</v>
      </c>
      <c r="AS114" t="s">
        <v>128</v>
      </c>
      <c r="AT114" t="s">
        <v>617</v>
      </c>
    </row>
    <row r="115" spans="1:46" x14ac:dyDescent="0.25">
      <c r="A115" s="2">
        <v>34</v>
      </c>
      <c r="B115" s="143" t="s">
        <v>39</v>
      </c>
      <c r="C115" s="2">
        <v>1.25</v>
      </c>
      <c r="D115" s="2">
        <v>2100</v>
      </c>
      <c r="E115" s="2" t="e">
        <f>LayerHeight</f>
        <v>#NAME?</v>
      </c>
      <c r="F115" s="2">
        <v>10000</v>
      </c>
      <c r="G115" s="2"/>
      <c r="H115" s="2"/>
      <c r="I115" s="2"/>
      <c r="J115" s="2"/>
      <c r="K115" s="2"/>
      <c r="L115" s="2"/>
      <c r="M115" s="2"/>
      <c r="N115" s="2"/>
      <c r="O115" s="2"/>
      <c r="P115" s="2"/>
      <c r="Q115" s="2"/>
      <c r="S115" s="75" t="s">
        <v>644</v>
      </c>
      <c r="T115" s="75" t="s">
        <v>467</v>
      </c>
      <c r="U115" s="92" t="s">
        <v>109</v>
      </c>
    </row>
    <row r="116" spans="1:46" x14ac:dyDescent="0.25">
      <c r="A116" s="2">
        <v>35</v>
      </c>
      <c r="B116" s="143" t="s">
        <v>55</v>
      </c>
      <c r="C116" s="2" t="s">
        <v>676</v>
      </c>
      <c r="D116" s="2">
        <v>0</v>
      </c>
      <c r="E116" s="2">
        <v>0</v>
      </c>
      <c r="F116" s="2" t="e">
        <f>2*LayerHeight</f>
        <v>#NAME?</v>
      </c>
      <c r="G116" s="2">
        <v>20</v>
      </c>
      <c r="H116" s="2"/>
      <c r="I116" s="2"/>
      <c r="J116" s="2"/>
      <c r="K116" s="2"/>
      <c r="L116" s="2"/>
      <c r="M116" s="2"/>
      <c r="N116" s="2"/>
      <c r="O116" s="2"/>
      <c r="P116" s="2"/>
      <c r="Q116" s="2"/>
      <c r="R116" s="80"/>
      <c r="S116" s="75" t="s">
        <v>309</v>
      </c>
      <c r="T116" s="75">
        <v>0.9</v>
      </c>
      <c r="U116" s="92" t="s">
        <v>109</v>
      </c>
      <c r="V116" s="80"/>
      <c r="W116" s="80"/>
      <c r="X116" s="80"/>
      <c r="Y116" s="80"/>
      <c r="Z116" s="80"/>
      <c r="AA116" s="80"/>
      <c r="AB116" s="80"/>
      <c r="AC116" s="80"/>
      <c r="AD116" s="80"/>
      <c r="AE116" s="80"/>
      <c r="AF116" s="80"/>
      <c r="AG116" s="80"/>
      <c r="AH116" s="80"/>
      <c r="AI116" s="80"/>
      <c r="AJ116" s="80"/>
      <c r="AK116" s="80"/>
      <c r="AL116" s="80"/>
      <c r="AM116" s="80"/>
      <c r="AN116" s="80"/>
    </row>
    <row r="117" spans="1:46" x14ac:dyDescent="0.25">
      <c r="A117" s="2">
        <v>36</v>
      </c>
      <c r="B117" s="143"/>
      <c r="C117" s="2"/>
      <c r="D117" s="2"/>
      <c r="E117" s="2"/>
      <c r="F117" s="2"/>
      <c r="G117" s="2"/>
      <c r="H117" s="2"/>
      <c r="I117" s="2"/>
      <c r="J117" s="2"/>
      <c r="K117" s="2"/>
      <c r="L117" s="2"/>
      <c r="M117" s="2"/>
      <c r="N117" s="2"/>
      <c r="O117" s="2"/>
      <c r="P117" s="2"/>
      <c r="Q117" s="2"/>
      <c r="R117" s="80"/>
      <c r="S117" s="75" t="s">
        <v>677</v>
      </c>
      <c r="T117" s="75">
        <v>50</v>
      </c>
      <c r="U117" s="92" t="s">
        <v>109</v>
      </c>
      <c r="V117" s="80"/>
      <c r="W117" s="80"/>
      <c r="X117" s="80"/>
      <c r="Y117" s="80"/>
      <c r="Z117" s="80"/>
      <c r="AA117" s="80"/>
      <c r="AB117" s="80"/>
      <c r="AC117" s="80"/>
      <c r="AD117" s="80"/>
      <c r="AE117" s="80"/>
      <c r="AF117" s="80"/>
      <c r="AG117" s="80"/>
      <c r="AH117" s="80"/>
      <c r="AI117" s="80"/>
      <c r="AJ117" s="80"/>
      <c r="AK117" s="80"/>
      <c r="AL117" s="80"/>
      <c r="AM117" s="80"/>
      <c r="AN117" s="80"/>
    </row>
    <row r="118" spans="1:46" x14ac:dyDescent="0.25">
      <c r="A118" s="2">
        <v>37</v>
      </c>
      <c r="B118" s="143"/>
      <c r="C118" s="2"/>
      <c r="D118" s="2"/>
      <c r="E118" s="2"/>
      <c r="F118" s="2"/>
      <c r="G118" s="2"/>
      <c r="H118" s="2"/>
      <c r="I118" s="2"/>
      <c r="J118" s="2"/>
      <c r="K118" s="2"/>
      <c r="L118" s="2"/>
      <c r="M118" s="2"/>
      <c r="N118" s="2"/>
      <c r="O118" s="2"/>
      <c r="P118" s="2"/>
      <c r="Q118" s="2"/>
      <c r="R118" s="80"/>
      <c r="S118" s="75" t="s">
        <v>271</v>
      </c>
      <c r="T118" s="75">
        <v>50</v>
      </c>
      <c r="U118" s="92" t="s">
        <v>109</v>
      </c>
      <c r="V118" s="80"/>
      <c r="W118" s="80"/>
      <c r="X118" s="80"/>
      <c r="Y118" s="80"/>
      <c r="Z118" s="80"/>
      <c r="AA118" s="80"/>
      <c r="AB118" s="80"/>
      <c r="AC118" s="80"/>
      <c r="AD118" s="80"/>
      <c r="AE118" s="80"/>
      <c r="AF118" s="80"/>
      <c r="AG118" s="80"/>
      <c r="AH118" s="80"/>
      <c r="AI118" s="80"/>
      <c r="AJ118" s="80"/>
      <c r="AK118" s="80"/>
      <c r="AL118" s="80"/>
      <c r="AM118" s="80"/>
      <c r="AN118" s="80"/>
    </row>
    <row r="119" spans="1:46" x14ac:dyDescent="0.25">
      <c r="A119" s="2">
        <v>38</v>
      </c>
      <c r="B119" s="143"/>
      <c r="C119" s="2"/>
      <c r="D119" s="2"/>
      <c r="E119" s="2"/>
      <c r="F119" s="2"/>
      <c r="G119" s="2"/>
      <c r="H119" s="2"/>
      <c r="I119" s="2"/>
      <c r="J119" s="2"/>
      <c r="K119" s="2"/>
      <c r="L119" s="2"/>
      <c r="M119" s="2"/>
      <c r="N119" s="2"/>
      <c r="O119" s="2"/>
      <c r="P119" s="2"/>
      <c r="Q119" s="2"/>
      <c r="R119" s="80"/>
      <c r="S119" s="75" t="s">
        <v>272</v>
      </c>
      <c r="T119" s="75">
        <v>75</v>
      </c>
      <c r="U119" s="92" t="s">
        <v>109</v>
      </c>
      <c r="V119" s="80"/>
      <c r="W119" s="80"/>
      <c r="X119" s="80"/>
      <c r="Y119" s="80"/>
      <c r="Z119" s="80"/>
      <c r="AA119" s="80"/>
      <c r="AB119" s="80"/>
      <c r="AC119" s="80"/>
      <c r="AD119" s="80"/>
      <c r="AE119" s="80"/>
      <c r="AF119" s="80"/>
      <c r="AG119" s="80"/>
      <c r="AH119" s="80"/>
      <c r="AI119" s="80"/>
      <c r="AJ119" s="80"/>
      <c r="AK119" s="80"/>
      <c r="AL119" s="80"/>
      <c r="AM119" s="80"/>
      <c r="AN119" s="80"/>
    </row>
    <row r="120" spans="1:46" x14ac:dyDescent="0.25">
      <c r="A120" s="2">
        <v>39</v>
      </c>
      <c r="B120" s="143"/>
      <c r="C120" s="2"/>
      <c r="D120" s="2"/>
      <c r="E120" s="2"/>
      <c r="F120" s="2"/>
      <c r="G120" s="2"/>
      <c r="H120" s="2"/>
      <c r="I120" s="2"/>
      <c r="J120" s="2"/>
      <c r="K120" s="2"/>
      <c r="L120" s="2"/>
      <c r="M120" s="2"/>
      <c r="N120" s="2"/>
      <c r="O120" s="2"/>
      <c r="P120" s="2"/>
      <c r="Q120" s="2"/>
      <c r="R120" s="80"/>
      <c r="S120" s="80"/>
      <c r="T120" s="80"/>
      <c r="U120" s="80"/>
      <c r="V120" s="80"/>
      <c r="W120" s="80"/>
      <c r="X120" s="80"/>
      <c r="Y120" s="80"/>
      <c r="Z120" s="80"/>
      <c r="AA120" s="80"/>
      <c r="AB120" s="80"/>
      <c r="AC120" s="80"/>
      <c r="AD120" s="80"/>
      <c r="AE120" s="80"/>
      <c r="AF120" s="80"/>
      <c r="AG120" s="80"/>
      <c r="AH120" s="80"/>
      <c r="AI120" s="80"/>
      <c r="AJ120" s="80"/>
      <c r="AK120" s="80"/>
      <c r="AL120" s="80"/>
      <c r="AM120" s="80"/>
      <c r="AN120" s="80"/>
    </row>
    <row r="121" spans="1:46" x14ac:dyDescent="0.25">
      <c r="A121" s="2">
        <v>40</v>
      </c>
      <c r="B121" s="143"/>
      <c r="C121" s="2"/>
      <c r="D121" s="2"/>
      <c r="E121" s="2"/>
      <c r="F121" s="2"/>
      <c r="G121" s="2"/>
      <c r="H121" s="2"/>
      <c r="I121" s="2"/>
      <c r="J121" s="2"/>
      <c r="K121" s="2"/>
      <c r="L121" s="2"/>
      <c r="M121" s="2"/>
      <c r="N121" s="2"/>
      <c r="O121" s="2"/>
      <c r="P121" s="2"/>
      <c r="Q121" s="2"/>
      <c r="R121" s="80"/>
      <c r="S121" s="80"/>
      <c r="T121" s="80"/>
      <c r="U121" s="80"/>
      <c r="V121" s="80"/>
      <c r="W121" s="80"/>
      <c r="X121" s="80"/>
      <c r="Y121" s="80"/>
      <c r="Z121" s="80"/>
      <c r="AA121" s="80"/>
      <c r="AB121" s="80"/>
      <c r="AC121" s="80"/>
      <c r="AD121" s="80"/>
      <c r="AE121" s="80"/>
      <c r="AF121" s="80"/>
      <c r="AG121" s="80"/>
      <c r="AH121" s="80"/>
      <c r="AI121" s="80"/>
      <c r="AJ121" s="80"/>
      <c r="AK121" s="80"/>
      <c r="AL121" s="80"/>
      <c r="AM121" s="80"/>
      <c r="AN121" s="80"/>
    </row>
    <row r="123" spans="1:46" x14ac:dyDescent="0.25">
      <c r="C123" s="144"/>
    </row>
    <row r="132" spans="3:3" x14ac:dyDescent="0.25">
      <c r="C132" s="144"/>
    </row>
    <row r="135" spans="3:3" x14ac:dyDescent="0.25">
      <c r="C135" s="144"/>
    </row>
    <row r="139" spans="3:3" x14ac:dyDescent="0.25">
      <c r="C139" s="144"/>
    </row>
    <row r="142" spans="3:3" x14ac:dyDescent="0.25">
      <c r="C142" s="144"/>
    </row>
    <row r="145" spans="35:40" x14ac:dyDescent="0.25">
      <c r="AI145" s="29"/>
      <c r="AJ145" s="29"/>
      <c r="AK145" s="29"/>
      <c r="AL145" s="29"/>
      <c r="AM145" s="29"/>
      <c r="AN145" s="29"/>
    </row>
    <row r="146" spans="35:40" x14ac:dyDescent="0.25">
      <c r="AI146" s="29"/>
      <c r="AJ146" s="29"/>
      <c r="AK146" s="29"/>
      <c r="AL146" s="29"/>
      <c r="AM146" s="29"/>
      <c r="AN146" s="29"/>
    </row>
    <row r="150" spans="35:40" x14ac:dyDescent="0.25">
      <c r="AI150" s="80"/>
      <c r="AJ150" s="80"/>
      <c r="AK150" s="80"/>
      <c r="AL150" s="80"/>
      <c r="AM150" s="80"/>
      <c r="AN150" s="80"/>
    </row>
    <row r="151" spans="35:40" x14ac:dyDescent="0.25">
      <c r="AI151" s="80"/>
      <c r="AJ151" s="80"/>
      <c r="AK151" s="80"/>
      <c r="AL151" s="80"/>
      <c r="AM151" s="80"/>
      <c r="AN151" s="80"/>
    </row>
    <row r="152" spans="35:40" x14ac:dyDescent="0.25">
      <c r="AI152" s="80"/>
      <c r="AJ152" s="80"/>
      <c r="AK152" s="80"/>
      <c r="AL152" s="80"/>
      <c r="AM152" s="80"/>
      <c r="AN152" s="80"/>
    </row>
    <row r="153" spans="35:40" x14ac:dyDescent="0.25">
      <c r="AI153" s="80"/>
      <c r="AJ153" s="80"/>
      <c r="AK153" s="80"/>
      <c r="AL153" s="80"/>
      <c r="AM153" s="80"/>
      <c r="AN153" s="80"/>
    </row>
    <row r="154" spans="35:40" x14ac:dyDescent="0.25">
      <c r="AI154" s="80"/>
      <c r="AJ154" s="80"/>
      <c r="AK154" s="80"/>
      <c r="AL154" s="80"/>
      <c r="AM154" s="80"/>
      <c r="AN154" s="80"/>
    </row>
    <row r="155" spans="35:40" x14ac:dyDescent="0.25">
      <c r="AI155" s="80"/>
      <c r="AJ155" s="80"/>
      <c r="AK155" s="80"/>
      <c r="AL155" s="80"/>
      <c r="AM155" s="80"/>
      <c r="AN155" s="80"/>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workbookViewId="0">
      <selection activeCell="A71" sqref="A71:AN103"/>
    </sheetView>
  </sheetViews>
  <sheetFormatPr defaultRowHeight="15" x14ac:dyDescent="0.25"/>
  <sheetData>
    <row r="3" spans="1:46" x14ac:dyDescent="0.25">
      <c r="A3" s="58" t="s">
        <v>129</v>
      </c>
      <c r="B3" s="2" t="s">
        <v>346</v>
      </c>
      <c r="C3" s="58" t="s">
        <v>128</v>
      </c>
      <c r="D3" s="2" t="s">
        <v>347</v>
      </c>
      <c r="U3" s="89"/>
      <c r="AO3" t="s">
        <v>130</v>
      </c>
      <c r="AP3" t="s">
        <v>348</v>
      </c>
      <c r="AQ3" t="s">
        <v>129</v>
      </c>
      <c r="AR3" t="s">
        <v>346</v>
      </c>
      <c r="AS3" t="s">
        <v>128</v>
      </c>
      <c r="AT3" t="s">
        <v>347</v>
      </c>
    </row>
    <row r="4" spans="1:46" x14ac:dyDescent="0.25">
      <c r="A4" s="40" t="s">
        <v>0</v>
      </c>
      <c r="B4" s="2"/>
      <c r="C4" s="2"/>
      <c r="D4" s="2"/>
      <c r="E4" s="2"/>
      <c r="F4" s="2"/>
      <c r="G4" s="2"/>
      <c r="H4" s="2"/>
      <c r="I4" s="2"/>
      <c r="J4" s="2"/>
      <c r="K4" s="2"/>
      <c r="L4" s="2"/>
      <c r="M4" s="2"/>
      <c r="N4" s="2"/>
      <c r="O4" s="2"/>
      <c r="P4" s="2"/>
      <c r="Q4" s="58" t="s">
        <v>289</v>
      </c>
      <c r="U4" s="89"/>
    </row>
    <row r="5" spans="1:46" x14ac:dyDescent="0.25">
      <c r="A5" s="10">
        <v>1</v>
      </c>
      <c r="B5" s="10" t="s">
        <v>10</v>
      </c>
      <c r="C5" s="10">
        <v>50</v>
      </c>
      <c r="D5" s="10">
        <v>50</v>
      </c>
      <c r="E5" s="10">
        <v>0</v>
      </c>
      <c r="F5" s="10">
        <v>3</v>
      </c>
      <c r="G5" s="10">
        <v>0</v>
      </c>
      <c r="H5" s="10">
        <v>360</v>
      </c>
      <c r="I5" s="10" t="s">
        <v>20</v>
      </c>
      <c r="J5" s="10">
        <v>32</v>
      </c>
      <c r="K5" s="10">
        <v>0.4</v>
      </c>
      <c r="L5" s="10">
        <v>0.2</v>
      </c>
      <c r="M5" s="10"/>
      <c r="N5" s="10"/>
      <c r="O5" s="10"/>
      <c r="P5" s="10"/>
      <c r="Q5" s="10" t="s">
        <v>386</v>
      </c>
      <c r="S5" s="95" t="s">
        <v>40</v>
      </c>
      <c r="T5" s="3"/>
      <c r="U5" s="5"/>
    </row>
    <row r="6" spans="1:46" x14ac:dyDescent="0.25">
      <c r="A6" s="10">
        <v>2</v>
      </c>
      <c r="B6" s="10" t="s">
        <v>1</v>
      </c>
      <c r="C6" s="10" t="s">
        <v>18</v>
      </c>
      <c r="D6" s="10" t="s">
        <v>100</v>
      </c>
      <c r="E6" s="10" t="s">
        <v>100</v>
      </c>
      <c r="F6" s="10" t="s">
        <v>100</v>
      </c>
      <c r="G6" s="10" t="s">
        <v>345</v>
      </c>
      <c r="H6" s="10" t="s">
        <v>100</v>
      </c>
      <c r="I6" s="10" t="s">
        <v>100</v>
      </c>
      <c r="J6" s="10" t="s">
        <v>19</v>
      </c>
      <c r="K6" s="10">
        <v>0.4</v>
      </c>
      <c r="L6" s="10">
        <v>0.2</v>
      </c>
      <c r="M6" s="10"/>
      <c r="N6" s="10"/>
      <c r="O6" s="10"/>
      <c r="P6" s="10"/>
      <c r="Q6" s="10" t="s">
        <v>385</v>
      </c>
      <c r="S6" s="5" t="s">
        <v>98</v>
      </c>
      <c r="T6" s="5">
        <v>0.2</v>
      </c>
      <c r="U6" s="5" t="s">
        <v>44</v>
      </c>
    </row>
    <row r="7" spans="1:46" x14ac:dyDescent="0.25">
      <c r="A7" s="10">
        <v>3</v>
      </c>
      <c r="B7" s="10" t="s">
        <v>55</v>
      </c>
      <c r="C7" s="104" t="s">
        <v>285</v>
      </c>
      <c r="D7" s="10">
        <v>0</v>
      </c>
      <c r="E7" s="10">
        <v>0</v>
      </c>
      <c r="F7" s="10">
        <v>0.2</v>
      </c>
      <c r="G7" s="10">
        <v>150</v>
      </c>
      <c r="H7" s="10"/>
      <c r="I7" s="10"/>
      <c r="J7" s="10"/>
      <c r="K7" s="10"/>
      <c r="L7" s="10"/>
      <c r="M7" s="10"/>
      <c r="N7" s="10"/>
      <c r="O7" s="10"/>
      <c r="P7" s="10"/>
      <c r="Q7" s="10" t="s">
        <v>384</v>
      </c>
      <c r="S7" s="5" t="s">
        <v>87</v>
      </c>
      <c r="T7" s="5">
        <v>1</v>
      </c>
      <c r="U7" s="5" t="s">
        <v>89</v>
      </c>
    </row>
    <row r="8" spans="1:46" x14ac:dyDescent="0.25">
      <c r="A8" s="3">
        <v>4</v>
      </c>
      <c r="B8" s="102" t="s">
        <v>291</v>
      </c>
      <c r="C8" s="3">
        <v>3</v>
      </c>
      <c r="D8" s="103" t="s">
        <v>285</v>
      </c>
      <c r="E8" s="3">
        <v>1</v>
      </c>
      <c r="F8" s="3">
        <v>50</v>
      </c>
      <c r="G8" s="3" t="s">
        <v>26</v>
      </c>
      <c r="H8" s="3">
        <v>50</v>
      </c>
      <c r="I8" s="3">
        <v>50</v>
      </c>
      <c r="J8" s="3">
        <f>90/50</f>
        <v>1.8</v>
      </c>
      <c r="K8" s="3">
        <v>0</v>
      </c>
      <c r="L8" s="3" t="s">
        <v>118</v>
      </c>
      <c r="M8" s="3" t="s">
        <v>118</v>
      </c>
      <c r="N8" s="3"/>
      <c r="O8" s="3"/>
      <c r="P8" s="3"/>
      <c r="Q8" s="3" t="s">
        <v>381</v>
      </c>
      <c r="S8" s="5" t="s">
        <v>88</v>
      </c>
      <c r="T8" s="5">
        <v>1</v>
      </c>
      <c r="U8" s="5" t="s">
        <v>89</v>
      </c>
    </row>
    <row r="9" spans="1:46" x14ac:dyDescent="0.25">
      <c r="A9" s="3">
        <v>5</v>
      </c>
      <c r="B9" s="102" t="s">
        <v>291</v>
      </c>
      <c r="C9" s="3">
        <v>3</v>
      </c>
      <c r="D9" s="103" t="s">
        <v>285</v>
      </c>
      <c r="E9" s="3">
        <v>51</v>
      </c>
      <c r="F9" s="3">
        <v>100</v>
      </c>
      <c r="G9" s="3" t="s">
        <v>26</v>
      </c>
      <c r="H9" s="3">
        <v>50</v>
      </c>
      <c r="I9" s="3">
        <v>50</v>
      </c>
      <c r="J9" s="3">
        <f>-90/50</f>
        <v>-1.8</v>
      </c>
      <c r="K9" s="3">
        <v>0</v>
      </c>
      <c r="L9" s="3" t="s">
        <v>118</v>
      </c>
      <c r="M9" s="3" t="s">
        <v>118</v>
      </c>
      <c r="N9" s="3"/>
      <c r="O9" s="3"/>
      <c r="P9" s="3"/>
      <c r="Q9" s="3" t="s">
        <v>382</v>
      </c>
      <c r="S9" s="5" t="s">
        <v>193</v>
      </c>
      <c r="T9" s="5" t="s">
        <v>204</v>
      </c>
      <c r="U9" s="5"/>
    </row>
    <row r="10" spans="1:46" x14ac:dyDescent="0.25">
      <c r="A10" s="3">
        <v>6</v>
      </c>
      <c r="B10" s="102" t="s">
        <v>291</v>
      </c>
      <c r="C10" s="3">
        <v>3</v>
      </c>
      <c r="D10" s="103" t="s">
        <v>285</v>
      </c>
      <c r="E10" s="3">
        <v>101</v>
      </c>
      <c r="F10" s="3">
        <v>150</v>
      </c>
      <c r="G10" s="3" t="s">
        <v>26</v>
      </c>
      <c r="H10" s="3">
        <v>50</v>
      </c>
      <c r="I10" s="3">
        <v>50</v>
      </c>
      <c r="J10" s="3">
        <f>90/50</f>
        <v>1.8</v>
      </c>
      <c r="K10" s="3">
        <v>0</v>
      </c>
      <c r="L10" s="3" t="s">
        <v>118</v>
      </c>
      <c r="M10" s="3" t="s">
        <v>118</v>
      </c>
      <c r="N10" s="3"/>
      <c r="O10" s="3"/>
      <c r="P10" s="3"/>
      <c r="Q10" s="3" t="s">
        <v>383</v>
      </c>
      <c r="S10" s="5" t="s">
        <v>194</v>
      </c>
      <c r="T10" s="5">
        <v>0</v>
      </c>
      <c r="U10" s="5"/>
    </row>
    <row r="11" spans="1:46" x14ac:dyDescent="0.25">
      <c r="A11" s="14">
        <v>7</v>
      </c>
      <c r="B11" s="105" t="s">
        <v>294</v>
      </c>
      <c r="C11" s="14" t="s">
        <v>349</v>
      </c>
      <c r="D11" s="14" t="s">
        <v>25</v>
      </c>
      <c r="E11" s="14">
        <v>50</v>
      </c>
      <c r="F11" s="14">
        <v>50</v>
      </c>
      <c r="G11" s="14">
        <v>0</v>
      </c>
      <c r="H11" s="14">
        <v>0.4</v>
      </c>
      <c r="I11" s="14" t="s">
        <v>118</v>
      </c>
      <c r="J11" s="14" t="s">
        <v>118</v>
      </c>
      <c r="K11" s="14"/>
      <c r="L11" s="14"/>
      <c r="M11" s="14"/>
      <c r="N11" s="14"/>
      <c r="O11" s="14"/>
      <c r="P11" s="14"/>
      <c r="Q11" s="14" t="s">
        <v>378</v>
      </c>
      <c r="S11" s="57"/>
      <c r="T11" s="57"/>
      <c r="U11" s="90"/>
    </row>
    <row r="12" spans="1:46" x14ac:dyDescent="0.25">
      <c r="A12" s="106">
        <v>8</v>
      </c>
      <c r="B12" s="107" t="s">
        <v>291</v>
      </c>
      <c r="C12" s="106">
        <v>3</v>
      </c>
      <c r="D12" s="108" t="s">
        <v>285</v>
      </c>
      <c r="E12" s="106">
        <v>1</v>
      </c>
      <c r="F12" s="106">
        <v>150</v>
      </c>
      <c r="G12" s="106" t="s">
        <v>170</v>
      </c>
      <c r="H12" s="106">
        <v>50</v>
      </c>
      <c r="I12" s="106">
        <v>50</v>
      </c>
      <c r="J12" s="106">
        <v>0</v>
      </c>
      <c r="K12" s="106" t="s">
        <v>374</v>
      </c>
      <c r="L12" s="106">
        <v>0</v>
      </c>
      <c r="M12" s="106" t="s">
        <v>118</v>
      </c>
      <c r="N12" s="106" t="s">
        <v>118</v>
      </c>
      <c r="O12" s="106"/>
      <c r="P12" s="106"/>
      <c r="Q12" s="106" t="s">
        <v>379</v>
      </c>
      <c r="S12" s="5" t="s">
        <v>338</v>
      </c>
      <c r="T12" s="5">
        <v>60</v>
      </c>
      <c r="U12" s="5" t="s">
        <v>43</v>
      </c>
      <c r="V12" s="1"/>
    </row>
    <row r="13" spans="1:46" x14ac:dyDescent="0.25">
      <c r="A13" s="106">
        <v>9</v>
      </c>
      <c r="B13" s="107" t="s">
        <v>291</v>
      </c>
      <c r="C13" s="106">
        <v>3</v>
      </c>
      <c r="D13" s="108" t="s">
        <v>285</v>
      </c>
      <c r="E13" s="106">
        <v>1</v>
      </c>
      <c r="F13" s="106">
        <v>150</v>
      </c>
      <c r="G13" s="106" t="s">
        <v>138</v>
      </c>
      <c r="H13" s="106" t="s">
        <v>377</v>
      </c>
      <c r="I13" s="106">
        <v>0</v>
      </c>
      <c r="J13" s="106">
        <v>0</v>
      </c>
      <c r="K13" s="106" t="s">
        <v>118</v>
      </c>
      <c r="L13" s="106" t="s">
        <v>118</v>
      </c>
      <c r="M13" s="106"/>
      <c r="N13" s="106"/>
      <c r="O13" s="106"/>
      <c r="P13" s="106"/>
      <c r="Q13" s="106" t="s">
        <v>380</v>
      </c>
      <c r="S13" s="5" t="s">
        <v>85</v>
      </c>
      <c r="T13" s="5">
        <v>1000</v>
      </c>
      <c r="U13" s="5" t="s">
        <v>45</v>
      </c>
    </row>
    <row r="14" spans="1:46" x14ac:dyDescent="0.25">
      <c r="A14" s="75">
        <v>10</v>
      </c>
      <c r="B14" s="109" t="s">
        <v>291</v>
      </c>
      <c r="C14" s="75">
        <v>3</v>
      </c>
      <c r="D14" s="110" t="s">
        <v>285</v>
      </c>
      <c r="E14" s="75">
        <v>151</v>
      </c>
      <c r="F14" s="75">
        <v>200</v>
      </c>
      <c r="G14" s="75" t="s">
        <v>170</v>
      </c>
      <c r="H14" s="75">
        <v>50</v>
      </c>
      <c r="I14" s="75">
        <v>50</v>
      </c>
      <c r="J14" s="75">
        <v>0</v>
      </c>
      <c r="K14" s="75" t="s">
        <v>351</v>
      </c>
      <c r="L14" s="75">
        <v>0</v>
      </c>
      <c r="M14" s="75" t="s">
        <v>118</v>
      </c>
      <c r="N14" s="75" t="s">
        <v>118</v>
      </c>
      <c r="O14" s="75"/>
      <c r="P14" s="75"/>
      <c r="Q14" s="75"/>
      <c r="S14" s="5" t="s">
        <v>86</v>
      </c>
      <c r="T14" s="5">
        <v>9000</v>
      </c>
      <c r="U14" s="5" t="s">
        <v>45</v>
      </c>
    </row>
    <row r="15" spans="1:46" x14ac:dyDescent="0.25">
      <c r="A15" s="75">
        <v>11</v>
      </c>
      <c r="B15" s="109" t="s">
        <v>291</v>
      </c>
      <c r="C15" s="75">
        <v>3</v>
      </c>
      <c r="D15" s="110" t="s">
        <v>285</v>
      </c>
      <c r="E15" s="75">
        <v>151</v>
      </c>
      <c r="F15" s="75">
        <v>200</v>
      </c>
      <c r="G15" s="75" t="s">
        <v>138</v>
      </c>
      <c r="H15" s="75">
        <v>0</v>
      </c>
      <c r="I15" s="75">
        <v>0</v>
      </c>
      <c r="J15" s="75" t="s">
        <v>350</v>
      </c>
      <c r="K15" s="75" t="s">
        <v>118</v>
      </c>
      <c r="L15" s="75" t="s">
        <v>118</v>
      </c>
      <c r="M15" s="75"/>
      <c r="N15" s="75"/>
      <c r="O15" s="75"/>
      <c r="P15" s="75"/>
      <c r="Q15" s="75"/>
      <c r="S15" s="5" t="s">
        <v>41</v>
      </c>
      <c r="T15" s="5">
        <v>210</v>
      </c>
      <c r="U15" s="5" t="s">
        <v>43</v>
      </c>
      <c r="V15" s="1"/>
    </row>
    <row r="16" spans="1:46" x14ac:dyDescent="0.25">
      <c r="A16" s="2">
        <v>12</v>
      </c>
      <c r="B16" s="2"/>
      <c r="C16" s="2"/>
      <c r="D16" s="2"/>
      <c r="E16" s="2"/>
      <c r="F16" s="2"/>
      <c r="G16" s="2"/>
      <c r="H16" s="2"/>
      <c r="I16" s="2"/>
      <c r="J16" s="2"/>
      <c r="K16" s="2"/>
      <c r="L16" s="2"/>
      <c r="M16" s="2"/>
      <c r="N16" s="2"/>
      <c r="O16" s="2"/>
      <c r="P16" s="2"/>
      <c r="Q16" s="2"/>
      <c r="S16" s="5" t="s">
        <v>42</v>
      </c>
      <c r="T16" s="5">
        <v>2.85</v>
      </c>
      <c r="U16" s="5" t="s">
        <v>44</v>
      </c>
    </row>
    <row r="17" spans="1:32" x14ac:dyDescent="0.25">
      <c r="A17" s="2">
        <v>13</v>
      </c>
      <c r="B17" s="2"/>
      <c r="C17" s="2"/>
      <c r="D17" s="2"/>
      <c r="E17" s="2"/>
      <c r="F17" s="2"/>
      <c r="G17" s="2"/>
      <c r="H17" s="2"/>
      <c r="I17" s="2"/>
      <c r="J17" s="2"/>
      <c r="K17" s="2"/>
      <c r="L17" s="2"/>
      <c r="M17" s="2"/>
      <c r="N17" s="2"/>
      <c r="O17" s="2"/>
      <c r="P17" s="2"/>
      <c r="Q17" s="2"/>
      <c r="S17" s="5" t="s">
        <v>46</v>
      </c>
      <c r="T17" s="5" t="s">
        <v>82</v>
      </c>
      <c r="U17" s="5" t="s">
        <v>90</v>
      </c>
    </row>
    <row r="18" spans="1:32" x14ac:dyDescent="0.25">
      <c r="A18" s="2">
        <v>14</v>
      </c>
      <c r="B18" s="2"/>
      <c r="C18" s="2"/>
      <c r="D18" s="2"/>
      <c r="E18" s="2"/>
      <c r="F18" s="2"/>
      <c r="G18" s="2"/>
      <c r="H18" s="2"/>
      <c r="I18" s="2"/>
      <c r="J18" s="2"/>
      <c r="K18" s="2"/>
      <c r="L18" s="2"/>
      <c r="M18" s="2"/>
      <c r="N18" s="2"/>
      <c r="O18" s="2"/>
      <c r="P18" s="2"/>
      <c r="Q18" s="2"/>
      <c r="S18" s="5" t="s">
        <v>108</v>
      </c>
      <c r="T18" s="5" t="s">
        <v>153</v>
      </c>
      <c r="U18" s="5"/>
    </row>
    <row r="19" spans="1:32" x14ac:dyDescent="0.25">
      <c r="A19" s="2">
        <v>15</v>
      </c>
      <c r="B19" s="2"/>
      <c r="C19" s="2"/>
      <c r="D19" s="2"/>
      <c r="E19" s="2"/>
      <c r="F19" s="2"/>
      <c r="G19" s="2"/>
      <c r="H19" s="2"/>
      <c r="I19" s="2"/>
      <c r="J19" s="2"/>
      <c r="K19" s="2"/>
      <c r="L19" s="2"/>
      <c r="M19" s="2"/>
      <c r="N19" s="2"/>
      <c r="O19" s="2"/>
      <c r="P19" s="2"/>
      <c r="Q19" s="2"/>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6" spans="1:46" x14ac:dyDescent="0.25">
      <c r="A36" s="29"/>
      <c r="B36" s="29"/>
      <c r="C36" s="29"/>
      <c r="D36" s="29"/>
      <c r="E36" s="29"/>
      <c r="F36" s="29"/>
      <c r="G36" s="29"/>
      <c r="H36" s="29"/>
      <c r="I36" s="29"/>
      <c r="J36" s="29"/>
      <c r="K36" s="29"/>
      <c r="L36" s="29"/>
      <c r="M36" s="29"/>
      <c r="N36" s="29"/>
      <c r="O36" s="29"/>
      <c r="P36" s="29"/>
      <c r="Q36" s="29"/>
      <c r="R36" s="29"/>
      <c r="U36" s="89"/>
      <c r="V36" s="29"/>
      <c r="W36" s="29"/>
      <c r="X36" s="29"/>
      <c r="Y36" s="29"/>
      <c r="Z36" s="29"/>
      <c r="AA36" s="29"/>
      <c r="AB36" s="29"/>
      <c r="AC36" s="29"/>
      <c r="AD36" s="29"/>
      <c r="AE36" s="29"/>
      <c r="AF36" s="29"/>
      <c r="AG36" s="29"/>
      <c r="AH36" s="29"/>
      <c r="AI36" s="29"/>
      <c r="AJ36" s="29"/>
      <c r="AK36" s="29"/>
      <c r="AL36" s="29"/>
      <c r="AM36" s="29"/>
      <c r="AN36" s="29"/>
    </row>
    <row r="37" spans="1:46" x14ac:dyDescent="0.25">
      <c r="A37" s="58" t="s">
        <v>129</v>
      </c>
      <c r="B37" s="2" t="s">
        <v>371</v>
      </c>
      <c r="C37" s="58" t="s">
        <v>128</v>
      </c>
      <c r="D37" s="2" t="s">
        <v>347</v>
      </c>
      <c r="U37" s="89"/>
      <c r="AO37" t="s">
        <v>130</v>
      </c>
      <c r="AP37" t="s">
        <v>372</v>
      </c>
      <c r="AQ37" t="s">
        <v>129</v>
      </c>
      <c r="AR37" t="s">
        <v>371</v>
      </c>
      <c r="AS37" t="s">
        <v>128</v>
      </c>
      <c r="AT37" t="s">
        <v>347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0" t="s">
        <v>9</v>
      </c>
      <c r="C39" s="10">
        <v>50</v>
      </c>
      <c r="D39" s="10">
        <v>50</v>
      </c>
      <c r="E39" s="10" t="s">
        <v>343</v>
      </c>
      <c r="F39" s="10" t="s">
        <v>355</v>
      </c>
      <c r="G39" s="10">
        <v>0</v>
      </c>
      <c r="H39" s="10" t="s">
        <v>20</v>
      </c>
      <c r="I39" s="10">
        <v>0.4</v>
      </c>
      <c r="J39" s="10">
        <v>0.2</v>
      </c>
      <c r="K39" s="10"/>
      <c r="L39" s="10"/>
      <c r="M39" s="10"/>
      <c r="N39" s="10"/>
      <c r="O39" s="10"/>
      <c r="P39" s="10"/>
      <c r="Q39" s="10" t="s">
        <v>356</v>
      </c>
      <c r="S39" s="95" t="s">
        <v>40</v>
      </c>
      <c r="T39" s="3"/>
      <c r="U39" s="5"/>
    </row>
    <row r="40" spans="1:46" x14ac:dyDescent="0.25">
      <c r="A40" s="2">
        <v>2</v>
      </c>
      <c r="B40" s="12" t="s">
        <v>1</v>
      </c>
      <c r="C40" s="12" t="s">
        <v>18</v>
      </c>
      <c r="D40" s="12" t="s">
        <v>100</v>
      </c>
      <c r="E40" s="12" t="s">
        <v>100</v>
      </c>
      <c r="F40" s="12" t="s">
        <v>100</v>
      </c>
      <c r="G40" s="12" t="s">
        <v>364</v>
      </c>
      <c r="H40" s="12" t="s">
        <v>100</v>
      </c>
      <c r="I40" s="12" t="s">
        <v>100</v>
      </c>
      <c r="J40" s="12" t="s">
        <v>23</v>
      </c>
      <c r="K40" s="12"/>
      <c r="L40" s="12"/>
      <c r="M40" s="12"/>
      <c r="N40" s="12"/>
      <c r="O40" s="12"/>
      <c r="P40" s="12"/>
      <c r="Q40" s="2" t="s">
        <v>357</v>
      </c>
      <c r="S40" s="5" t="s">
        <v>98</v>
      </c>
      <c r="T40" s="5">
        <v>0.2</v>
      </c>
      <c r="U40" s="5" t="s">
        <v>44</v>
      </c>
    </row>
    <row r="41" spans="1:46" x14ac:dyDescent="0.25">
      <c r="A41" s="2">
        <v>3</v>
      </c>
      <c r="B41" s="15" t="s">
        <v>49</v>
      </c>
      <c r="C41" s="15" t="s">
        <v>373</v>
      </c>
      <c r="D41" s="15">
        <v>1</v>
      </c>
      <c r="E41" s="15" t="s">
        <v>363</v>
      </c>
      <c r="F41" s="15">
        <v>2000</v>
      </c>
      <c r="G41" s="15"/>
      <c r="H41" s="15"/>
      <c r="I41" s="15"/>
      <c r="J41" s="15"/>
      <c r="K41" s="15"/>
      <c r="L41" s="15"/>
      <c r="M41" s="15"/>
      <c r="N41" s="15"/>
      <c r="O41" s="15"/>
      <c r="P41" s="15"/>
      <c r="Q41" s="15"/>
      <c r="S41" s="5" t="s">
        <v>87</v>
      </c>
      <c r="T41" s="5">
        <v>1</v>
      </c>
      <c r="U41" s="5" t="s">
        <v>89</v>
      </c>
    </row>
    <row r="42" spans="1:46" x14ac:dyDescent="0.25">
      <c r="A42" s="2">
        <v>4</v>
      </c>
      <c r="B42" s="3" t="s">
        <v>1</v>
      </c>
      <c r="C42" s="3" t="s">
        <v>18</v>
      </c>
      <c r="D42" s="3" t="s">
        <v>100</v>
      </c>
      <c r="E42" s="3" t="s">
        <v>100</v>
      </c>
      <c r="F42" s="3" t="s">
        <v>100</v>
      </c>
      <c r="G42" s="3" t="s">
        <v>100</v>
      </c>
      <c r="H42" s="3" t="s">
        <v>100</v>
      </c>
      <c r="I42" s="3" t="s">
        <v>352</v>
      </c>
      <c r="J42" s="3" t="s">
        <v>23</v>
      </c>
      <c r="K42" s="3">
        <v>0</v>
      </c>
      <c r="L42" s="3">
        <v>0</v>
      </c>
      <c r="M42" s="3" t="s">
        <v>368</v>
      </c>
      <c r="N42" s="3"/>
      <c r="O42" s="3"/>
      <c r="P42" s="3"/>
      <c r="Q42" s="3" t="s">
        <v>358</v>
      </c>
      <c r="S42" s="5" t="s">
        <v>88</v>
      </c>
      <c r="T42" s="5">
        <v>1</v>
      </c>
      <c r="U42" s="5" t="s">
        <v>89</v>
      </c>
    </row>
    <row r="43" spans="1:46" x14ac:dyDescent="0.25">
      <c r="A43" s="2">
        <v>5</v>
      </c>
      <c r="B43" s="3" t="s">
        <v>1</v>
      </c>
      <c r="C43" s="3" t="s">
        <v>18</v>
      </c>
      <c r="D43" s="3" t="s">
        <v>100</v>
      </c>
      <c r="E43" s="3" t="s">
        <v>100</v>
      </c>
      <c r="F43" s="3" t="s">
        <v>100</v>
      </c>
      <c r="G43" s="3" t="s">
        <v>100</v>
      </c>
      <c r="H43" s="3" t="s">
        <v>355</v>
      </c>
      <c r="I43" s="3" t="s">
        <v>100</v>
      </c>
      <c r="J43" s="3" t="s">
        <v>23</v>
      </c>
      <c r="K43" s="3">
        <v>0</v>
      </c>
      <c r="L43" s="3">
        <v>0</v>
      </c>
      <c r="M43" s="3" t="s">
        <v>369</v>
      </c>
      <c r="N43" s="3"/>
      <c r="O43" s="3"/>
      <c r="P43" s="3"/>
      <c r="Q43" s="3" t="s">
        <v>359</v>
      </c>
      <c r="S43" s="5" t="s">
        <v>193</v>
      </c>
      <c r="T43" s="5" t="s">
        <v>204</v>
      </c>
      <c r="U43" s="5"/>
    </row>
    <row r="44" spans="1:46" x14ac:dyDescent="0.25">
      <c r="A44" s="2">
        <v>6</v>
      </c>
      <c r="B44" s="3" t="s">
        <v>1</v>
      </c>
      <c r="C44" s="48" t="s">
        <v>18</v>
      </c>
      <c r="D44" s="3" t="s">
        <v>100</v>
      </c>
      <c r="E44" s="3" t="s">
        <v>100</v>
      </c>
      <c r="F44" s="3" t="s">
        <v>100</v>
      </c>
      <c r="G44" s="3" t="s">
        <v>100</v>
      </c>
      <c r="H44" s="3" t="s">
        <v>100</v>
      </c>
      <c r="I44" s="3" t="s">
        <v>353</v>
      </c>
      <c r="J44" s="3" t="s">
        <v>23</v>
      </c>
      <c r="K44" s="3">
        <v>0</v>
      </c>
      <c r="L44" s="3">
        <v>0</v>
      </c>
      <c r="M44" s="3" t="s">
        <v>368</v>
      </c>
      <c r="N44" s="3"/>
      <c r="O44" s="3"/>
      <c r="P44" s="3"/>
      <c r="Q44" s="3" t="s">
        <v>360</v>
      </c>
      <c r="S44" s="5" t="s">
        <v>194</v>
      </c>
      <c r="T44" s="5">
        <v>0</v>
      </c>
      <c r="U44" s="5"/>
    </row>
    <row r="45" spans="1:46" x14ac:dyDescent="0.25">
      <c r="A45" s="2">
        <v>7</v>
      </c>
      <c r="B45" s="3" t="s">
        <v>1</v>
      </c>
      <c r="C45" s="48" t="s">
        <v>18</v>
      </c>
      <c r="D45" s="3" t="s">
        <v>100</v>
      </c>
      <c r="E45" s="3" t="s">
        <v>100</v>
      </c>
      <c r="F45" s="3" t="s">
        <v>100</v>
      </c>
      <c r="G45" s="3" t="s">
        <v>354</v>
      </c>
      <c r="H45" s="3" t="s">
        <v>100</v>
      </c>
      <c r="I45" s="3" t="s">
        <v>100</v>
      </c>
      <c r="J45" s="3" t="s">
        <v>23</v>
      </c>
      <c r="K45" s="3">
        <v>0</v>
      </c>
      <c r="L45" s="3">
        <v>0</v>
      </c>
      <c r="M45" s="3" t="s">
        <v>368</v>
      </c>
      <c r="N45" s="3"/>
      <c r="O45" s="3"/>
      <c r="P45" s="3"/>
      <c r="Q45" s="3" t="s">
        <v>361</v>
      </c>
      <c r="S45" s="57"/>
      <c r="T45" s="57"/>
      <c r="U45" s="90"/>
    </row>
    <row r="46" spans="1:46" x14ac:dyDescent="0.25">
      <c r="A46" s="2">
        <v>8</v>
      </c>
      <c r="B46" s="15" t="s">
        <v>49</v>
      </c>
      <c r="C46" s="15" t="s">
        <v>373</v>
      </c>
      <c r="D46" s="15">
        <v>1</v>
      </c>
      <c r="E46" s="15" t="s">
        <v>363</v>
      </c>
      <c r="F46" s="15">
        <v>2000</v>
      </c>
      <c r="G46" s="15"/>
      <c r="H46" s="15"/>
      <c r="I46" s="15"/>
      <c r="J46" s="15"/>
      <c r="K46" s="15"/>
      <c r="L46" s="15"/>
      <c r="M46" s="15"/>
      <c r="N46" s="15"/>
      <c r="O46" s="15"/>
      <c r="P46" s="15"/>
      <c r="Q46" s="15"/>
      <c r="S46" s="5" t="s">
        <v>338</v>
      </c>
      <c r="T46" s="5">
        <v>60</v>
      </c>
      <c r="U46" s="5" t="s">
        <v>43</v>
      </c>
      <c r="V46" s="1"/>
    </row>
    <row r="47" spans="1:46" x14ac:dyDescent="0.25">
      <c r="A47" s="2">
        <v>9</v>
      </c>
      <c r="B47" s="8" t="s">
        <v>1</v>
      </c>
      <c r="C47" s="8" t="s">
        <v>18</v>
      </c>
      <c r="D47" s="70" t="s">
        <v>100</v>
      </c>
      <c r="E47" s="8" t="s">
        <v>100</v>
      </c>
      <c r="F47" s="8" t="s">
        <v>100</v>
      </c>
      <c r="G47" s="8" t="s">
        <v>100</v>
      </c>
      <c r="H47" s="8" t="s">
        <v>100</v>
      </c>
      <c r="I47" s="8" t="s">
        <v>352</v>
      </c>
      <c r="J47" s="8" t="s">
        <v>23</v>
      </c>
      <c r="K47" s="8">
        <v>0</v>
      </c>
      <c r="L47" s="8">
        <v>0</v>
      </c>
      <c r="M47" s="8" t="s">
        <v>368</v>
      </c>
      <c r="N47" s="8"/>
      <c r="O47" s="8"/>
      <c r="P47" s="8"/>
      <c r="Q47" s="8" t="s">
        <v>358</v>
      </c>
      <c r="S47" s="5" t="s">
        <v>85</v>
      </c>
      <c r="T47" s="5">
        <v>1000</v>
      </c>
      <c r="U47" s="5" t="s">
        <v>45</v>
      </c>
    </row>
    <row r="48" spans="1:46" x14ac:dyDescent="0.25">
      <c r="A48" s="2">
        <v>10</v>
      </c>
      <c r="B48" s="8" t="s">
        <v>1</v>
      </c>
      <c r="C48" s="8" t="s">
        <v>18</v>
      </c>
      <c r="D48" s="99" t="s">
        <v>100</v>
      </c>
      <c r="E48" s="8" t="s">
        <v>100</v>
      </c>
      <c r="F48" s="8" t="s">
        <v>100</v>
      </c>
      <c r="G48" s="8" t="s">
        <v>100</v>
      </c>
      <c r="H48" s="8" t="s">
        <v>362</v>
      </c>
      <c r="I48" s="8" t="s">
        <v>100</v>
      </c>
      <c r="J48" s="8" t="s">
        <v>23</v>
      </c>
      <c r="K48" s="8">
        <v>0</v>
      </c>
      <c r="L48" s="8">
        <v>0</v>
      </c>
      <c r="M48" s="8" t="s">
        <v>369</v>
      </c>
      <c r="N48" s="8"/>
      <c r="O48" s="8"/>
      <c r="P48" s="8"/>
      <c r="Q48" s="8" t="s">
        <v>359</v>
      </c>
      <c r="S48" s="5" t="s">
        <v>86</v>
      </c>
      <c r="T48" s="5">
        <v>9000</v>
      </c>
      <c r="U48" s="5" t="s">
        <v>45</v>
      </c>
    </row>
    <row r="49" spans="1:22" x14ac:dyDescent="0.25">
      <c r="A49" s="2">
        <v>11</v>
      </c>
      <c r="B49" s="8" t="s">
        <v>1</v>
      </c>
      <c r="C49" s="8" t="s">
        <v>18</v>
      </c>
      <c r="D49" s="99" t="s">
        <v>100</v>
      </c>
      <c r="E49" s="8" t="s">
        <v>100</v>
      </c>
      <c r="F49" s="8" t="s">
        <v>100</v>
      </c>
      <c r="G49" s="8" t="s">
        <v>100</v>
      </c>
      <c r="H49" s="8" t="s">
        <v>100</v>
      </c>
      <c r="I49" s="8" t="s">
        <v>353</v>
      </c>
      <c r="J49" s="8" t="s">
        <v>23</v>
      </c>
      <c r="K49" s="8">
        <v>0</v>
      </c>
      <c r="L49" s="8">
        <v>0</v>
      </c>
      <c r="M49" s="8" t="s">
        <v>368</v>
      </c>
      <c r="N49" s="8"/>
      <c r="O49" s="8"/>
      <c r="P49" s="8"/>
      <c r="Q49" s="8" t="s">
        <v>360</v>
      </c>
      <c r="S49" s="5" t="s">
        <v>41</v>
      </c>
      <c r="T49" s="5">
        <v>210</v>
      </c>
      <c r="U49" s="5" t="s">
        <v>43</v>
      </c>
      <c r="V49" s="1"/>
    </row>
    <row r="50" spans="1:22" x14ac:dyDescent="0.25">
      <c r="A50" s="2">
        <v>12</v>
      </c>
      <c r="B50" s="8" t="s">
        <v>1</v>
      </c>
      <c r="C50" s="8" t="s">
        <v>18</v>
      </c>
      <c r="D50" s="8" t="s">
        <v>100</v>
      </c>
      <c r="E50" s="8" t="s">
        <v>100</v>
      </c>
      <c r="F50" s="8" t="s">
        <v>100</v>
      </c>
      <c r="G50" s="8" t="s">
        <v>354</v>
      </c>
      <c r="H50" s="8" t="s">
        <v>100</v>
      </c>
      <c r="I50" s="8" t="s">
        <v>100</v>
      </c>
      <c r="J50" s="8" t="s">
        <v>23</v>
      </c>
      <c r="K50" s="8">
        <v>0</v>
      </c>
      <c r="L50" s="8">
        <v>0</v>
      </c>
      <c r="M50" s="8" t="s">
        <v>368</v>
      </c>
      <c r="N50" s="8"/>
      <c r="O50" s="8"/>
      <c r="P50" s="8"/>
      <c r="Q50" s="8" t="s">
        <v>361</v>
      </c>
      <c r="S50" s="5" t="s">
        <v>42</v>
      </c>
      <c r="T50" s="5">
        <v>2.85</v>
      </c>
      <c r="U50" s="5" t="s">
        <v>44</v>
      </c>
    </row>
    <row r="51" spans="1:22" x14ac:dyDescent="0.25">
      <c r="A51" s="2">
        <v>13</v>
      </c>
      <c r="B51" s="2" t="s">
        <v>55</v>
      </c>
      <c r="C51" s="100" t="s">
        <v>366</v>
      </c>
      <c r="D51" s="2">
        <v>4</v>
      </c>
      <c r="E51" s="2">
        <v>0</v>
      </c>
      <c r="F51" s="2">
        <v>0</v>
      </c>
      <c r="G51" s="2">
        <v>9</v>
      </c>
      <c r="H51" s="2"/>
      <c r="I51" s="2"/>
      <c r="J51" s="2"/>
      <c r="K51" s="2"/>
      <c r="L51" s="2"/>
      <c r="M51" s="2"/>
      <c r="N51" s="2"/>
      <c r="O51" s="2"/>
      <c r="P51" s="2"/>
      <c r="Q51" s="2" t="s">
        <v>365</v>
      </c>
      <c r="S51" s="5" t="s">
        <v>46</v>
      </c>
      <c r="T51" s="5" t="s">
        <v>82</v>
      </c>
      <c r="U51" s="5" t="s">
        <v>90</v>
      </c>
    </row>
    <row r="52" spans="1:22" x14ac:dyDescent="0.25">
      <c r="A52" s="2">
        <v>14</v>
      </c>
      <c r="B52" s="101" t="s">
        <v>52</v>
      </c>
      <c r="C52" s="101">
        <v>13</v>
      </c>
      <c r="D52" s="101" t="s">
        <v>367</v>
      </c>
      <c r="E52" s="101">
        <v>1</v>
      </c>
      <c r="F52" s="101">
        <f>G51</f>
        <v>9</v>
      </c>
      <c r="G52" s="101" t="s">
        <v>60</v>
      </c>
      <c r="H52" s="101">
        <v>3</v>
      </c>
      <c r="I52" s="101">
        <v>0.5</v>
      </c>
      <c r="J52" s="101"/>
      <c r="K52" s="101"/>
      <c r="L52" s="101"/>
      <c r="M52" s="101"/>
      <c r="N52" s="101"/>
      <c r="O52" s="101"/>
      <c r="P52" s="101"/>
      <c r="Q52" s="101" t="s">
        <v>370</v>
      </c>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375</v>
      </c>
      <c r="C71" s="58" t="s">
        <v>128</v>
      </c>
      <c r="D71" s="2" t="s">
        <v>347</v>
      </c>
      <c r="U71" s="89"/>
      <c r="AO71" t="s">
        <v>130</v>
      </c>
      <c r="AP71" t="s">
        <v>376</v>
      </c>
      <c r="AQ71" t="s">
        <v>129</v>
      </c>
      <c r="AR71" t="s">
        <v>375</v>
      </c>
      <c r="AS71" t="s">
        <v>128</v>
      </c>
      <c r="AT71" t="s">
        <v>347</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1</v>
      </c>
      <c r="C73" s="2" t="s">
        <v>18</v>
      </c>
      <c r="D73" s="2">
        <v>50</v>
      </c>
      <c r="E73" s="2">
        <v>50</v>
      </c>
      <c r="F73" s="2">
        <v>0</v>
      </c>
      <c r="G73" s="2" t="s">
        <v>343</v>
      </c>
      <c r="H73" s="2" t="s">
        <v>100</v>
      </c>
      <c r="I73" s="2" t="s">
        <v>100</v>
      </c>
      <c r="J73" s="2" t="s">
        <v>19</v>
      </c>
      <c r="K73" s="2">
        <v>0.4</v>
      </c>
      <c r="L73" s="2">
        <v>0.2</v>
      </c>
      <c r="M73" s="2"/>
      <c r="N73" s="2"/>
      <c r="O73" s="2"/>
      <c r="P73" s="2"/>
      <c r="Q73" s="2"/>
      <c r="S73" s="95" t="s">
        <v>40</v>
      </c>
      <c r="T73" s="3"/>
      <c r="U73" s="5"/>
    </row>
    <row r="74" spans="1:46" x14ac:dyDescent="0.25">
      <c r="A74" s="2">
        <v>2</v>
      </c>
      <c r="B74" s="2" t="s">
        <v>1</v>
      </c>
      <c r="C74" s="2" t="s">
        <v>18</v>
      </c>
      <c r="D74" s="2" t="s">
        <v>100</v>
      </c>
      <c r="E74" s="2" t="s">
        <v>100</v>
      </c>
      <c r="F74" s="2" t="s">
        <v>100</v>
      </c>
      <c r="G74" s="2" t="s">
        <v>100</v>
      </c>
      <c r="H74" s="2" t="s">
        <v>343</v>
      </c>
      <c r="I74" s="2" t="s">
        <v>100</v>
      </c>
      <c r="J74" s="2" t="s">
        <v>19</v>
      </c>
      <c r="K74" s="2">
        <v>0.4</v>
      </c>
      <c r="L74" s="2">
        <v>0.2</v>
      </c>
      <c r="M74" s="2"/>
      <c r="N74" s="2"/>
      <c r="O74" s="2"/>
      <c r="P74" s="2"/>
      <c r="Q74" s="2"/>
      <c r="S74" s="5" t="s">
        <v>98</v>
      </c>
      <c r="T74" s="5">
        <v>0.2</v>
      </c>
      <c r="U74" s="5" t="s">
        <v>44</v>
      </c>
    </row>
    <row r="75" spans="1:46" x14ac:dyDescent="0.25">
      <c r="A75" s="2">
        <v>3</v>
      </c>
      <c r="B75" s="2" t="s">
        <v>1</v>
      </c>
      <c r="C75" s="2" t="s">
        <v>18</v>
      </c>
      <c r="D75" s="2" t="s">
        <v>100</v>
      </c>
      <c r="E75" s="2" t="s">
        <v>100</v>
      </c>
      <c r="F75" s="2" t="s">
        <v>100</v>
      </c>
      <c r="G75" s="2" t="s">
        <v>344</v>
      </c>
      <c r="H75" s="2" t="s">
        <v>100</v>
      </c>
      <c r="I75" s="2" t="s">
        <v>100</v>
      </c>
      <c r="J75" s="2" t="s">
        <v>19</v>
      </c>
      <c r="K75" s="2">
        <v>0.4</v>
      </c>
      <c r="L75" s="2">
        <v>0.2</v>
      </c>
      <c r="M75" s="2"/>
      <c r="N75" s="2"/>
      <c r="O75" s="2"/>
      <c r="P75" s="2"/>
      <c r="Q75" s="2"/>
      <c r="S75" s="5" t="s">
        <v>87</v>
      </c>
      <c r="T75" s="5">
        <v>1</v>
      </c>
      <c r="U75" s="5" t="s">
        <v>89</v>
      </c>
    </row>
    <row r="76" spans="1:46" x14ac:dyDescent="0.25">
      <c r="A76" s="2">
        <v>4</v>
      </c>
      <c r="B76" s="2" t="s">
        <v>1</v>
      </c>
      <c r="C76" s="2" t="s">
        <v>18</v>
      </c>
      <c r="D76" s="2" t="s">
        <v>100</v>
      </c>
      <c r="E76" s="2" t="s">
        <v>100</v>
      </c>
      <c r="F76" s="2" t="s">
        <v>100</v>
      </c>
      <c r="G76" s="2" t="s">
        <v>100</v>
      </c>
      <c r="H76" s="2" t="s">
        <v>344</v>
      </c>
      <c r="I76" s="2" t="s">
        <v>100</v>
      </c>
      <c r="J76" s="2" t="s">
        <v>19</v>
      </c>
      <c r="K76" s="2">
        <v>0.4</v>
      </c>
      <c r="L76" s="2">
        <v>0.2</v>
      </c>
      <c r="M76" s="2"/>
      <c r="N76" s="2"/>
      <c r="O76" s="2"/>
      <c r="P76" s="2"/>
      <c r="Q76" s="2"/>
      <c r="S76" s="5" t="s">
        <v>88</v>
      </c>
      <c r="T76" s="5">
        <v>1</v>
      </c>
      <c r="U76" s="5" t="s">
        <v>89</v>
      </c>
    </row>
    <row r="77" spans="1:46" x14ac:dyDescent="0.25">
      <c r="A77" s="2">
        <v>5</v>
      </c>
      <c r="B77" s="2" t="s">
        <v>55</v>
      </c>
      <c r="C77" s="98" t="s">
        <v>270</v>
      </c>
      <c r="D77" s="2">
        <v>0</v>
      </c>
      <c r="E77" s="2">
        <v>0</v>
      </c>
      <c r="F77" s="2">
        <v>0.2</v>
      </c>
      <c r="G77" s="2">
        <v>250</v>
      </c>
      <c r="H77" s="2"/>
      <c r="I77" s="2"/>
      <c r="J77" s="2"/>
      <c r="K77" s="2"/>
      <c r="L77" s="2"/>
      <c r="M77" s="2"/>
      <c r="N77" s="2"/>
      <c r="O77" s="2"/>
      <c r="P77" s="2"/>
      <c r="Q77" s="2"/>
      <c r="S77" s="5" t="s">
        <v>193</v>
      </c>
      <c r="T77" s="5" t="s">
        <v>204</v>
      </c>
      <c r="U77" s="5"/>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5">
        <v>60</v>
      </c>
      <c r="U80" s="5" t="s">
        <v>43</v>
      </c>
      <c r="V80" s="1"/>
    </row>
    <row r="81" spans="1:22" x14ac:dyDescent="0.25">
      <c r="A81" s="2">
        <v>9</v>
      </c>
      <c r="B81" s="2"/>
      <c r="C81" s="2"/>
      <c r="D81" s="2"/>
      <c r="E81" s="2"/>
      <c r="F81" s="2"/>
      <c r="G81" s="2"/>
      <c r="H81" s="2"/>
      <c r="I81" s="2"/>
      <c r="J81" s="2"/>
      <c r="K81" s="2"/>
      <c r="L81" s="2"/>
      <c r="M81" s="2"/>
      <c r="N81" s="2"/>
      <c r="O81" s="2"/>
      <c r="P81" s="2"/>
      <c r="Q81" s="2"/>
      <c r="S81" s="5" t="s">
        <v>85</v>
      </c>
      <c r="T81" s="5">
        <v>1000</v>
      </c>
      <c r="U81" s="5" t="s">
        <v>45</v>
      </c>
    </row>
    <row r="82" spans="1:22" x14ac:dyDescent="0.25">
      <c r="A82" s="2">
        <v>10</v>
      </c>
      <c r="B82" s="2"/>
      <c r="C82" s="2"/>
      <c r="D82" s="2"/>
      <c r="E82" s="2"/>
      <c r="F82" s="2"/>
      <c r="G82" s="2"/>
      <c r="H82" s="2"/>
      <c r="I82" s="2"/>
      <c r="J82" s="2"/>
      <c r="K82" s="2"/>
      <c r="L82" s="2"/>
      <c r="M82" s="2"/>
      <c r="N82" s="2"/>
      <c r="O82" s="2"/>
      <c r="P82" s="2"/>
      <c r="Q82" s="2"/>
      <c r="S82" s="5" t="s">
        <v>86</v>
      </c>
      <c r="T82" s="5">
        <v>9000</v>
      </c>
      <c r="U82" s="5" t="s">
        <v>45</v>
      </c>
    </row>
    <row r="83" spans="1:22" x14ac:dyDescent="0.25">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25">
      <c r="A84" s="2">
        <v>12</v>
      </c>
      <c r="B84" s="2"/>
      <c r="C84" s="2"/>
      <c r="D84" s="2"/>
      <c r="E84" s="2"/>
      <c r="F84" s="2"/>
      <c r="G84" s="2"/>
      <c r="H84" s="2"/>
      <c r="I84" s="2"/>
      <c r="J84" s="2"/>
      <c r="K84" s="2"/>
      <c r="L84" s="2"/>
      <c r="M84" s="2"/>
      <c r="N84" s="2"/>
      <c r="O84" s="2"/>
      <c r="P84" s="2"/>
      <c r="Q84" s="2"/>
      <c r="S84" s="5" t="s">
        <v>42</v>
      </c>
      <c r="T84" s="5">
        <v>2.85</v>
      </c>
      <c r="U84" s="5" t="s">
        <v>44</v>
      </c>
    </row>
    <row r="85" spans="1:22" x14ac:dyDescent="0.25">
      <c r="A85" s="2">
        <v>13</v>
      </c>
      <c r="B85" s="2"/>
      <c r="C85" s="2"/>
      <c r="D85" s="2"/>
      <c r="E85" s="2"/>
      <c r="F85" s="2"/>
      <c r="G85" s="2"/>
      <c r="H85" s="2"/>
      <c r="I85" s="2"/>
      <c r="J85" s="2"/>
      <c r="K85" s="2"/>
      <c r="L85" s="2"/>
      <c r="M85" s="2"/>
      <c r="N85" s="2"/>
      <c r="O85" s="2"/>
      <c r="P85" s="2"/>
      <c r="Q85" s="2"/>
      <c r="S85" s="5" t="s">
        <v>46</v>
      </c>
      <c r="T85" s="5" t="s">
        <v>82</v>
      </c>
      <c r="U85" s="5" t="s">
        <v>90</v>
      </c>
    </row>
    <row r="86" spans="1:22" x14ac:dyDescent="0.25">
      <c r="A86" s="2">
        <v>14</v>
      </c>
      <c r="B86" s="2"/>
      <c r="C86" s="2"/>
      <c r="D86" s="2"/>
      <c r="E86" s="2"/>
      <c r="F86" s="2"/>
      <c r="G86" s="2"/>
      <c r="H86" s="2"/>
      <c r="I86" s="2"/>
      <c r="J86" s="2"/>
      <c r="K86" s="2"/>
      <c r="L86" s="2"/>
      <c r="M86" s="2"/>
      <c r="N86" s="2"/>
      <c r="O86" s="2"/>
      <c r="P86" s="2"/>
      <c r="Q86" s="2"/>
      <c r="S86" s="5" t="s">
        <v>108</v>
      </c>
      <c r="T86" s="5" t="s">
        <v>153</v>
      </c>
      <c r="U86" s="5"/>
    </row>
    <row r="87" spans="1:22" x14ac:dyDescent="0.25">
      <c r="A87" s="2">
        <v>15</v>
      </c>
      <c r="B87" s="2"/>
      <c r="C87" s="2"/>
      <c r="D87" s="2"/>
      <c r="E87" s="2"/>
      <c r="F87" s="2"/>
      <c r="G87" s="2"/>
      <c r="H87" s="2"/>
      <c r="I87" s="2"/>
      <c r="J87" s="2"/>
      <c r="K87" s="2"/>
      <c r="L87" s="2"/>
      <c r="M87" s="2"/>
      <c r="N87" s="2"/>
      <c r="O87" s="2"/>
      <c r="P87" s="2"/>
      <c r="Q87" s="2"/>
      <c r="S87" s="5" t="s">
        <v>152</v>
      </c>
      <c r="T87" s="5" t="s">
        <v>125</v>
      </c>
      <c r="U87" s="5"/>
    </row>
    <row r="88" spans="1:22"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22"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22"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22" x14ac:dyDescent="0.25">
      <c r="A91" s="29"/>
      <c r="B91" s="29"/>
      <c r="C91" s="29"/>
      <c r="D91" s="29"/>
      <c r="E91" s="29"/>
      <c r="F91" s="29"/>
      <c r="G91" s="29"/>
      <c r="H91" s="29"/>
      <c r="I91" s="29"/>
      <c r="J91" s="29"/>
      <c r="K91" s="29"/>
      <c r="L91" s="29"/>
      <c r="M91" s="29"/>
      <c r="N91" s="29"/>
      <c r="O91" s="29"/>
      <c r="P91" s="29"/>
      <c r="Q91" s="29"/>
      <c r="S91" s="78" t="s">
        <v>339</v>
      </c>
      <c r="T91" s="5">
        <v>0</v>
      </c>
      <c r="U91" s="5"/>
      <c r="V91" s="1"/>
    </row>
    <row r="92" spans="1:22" x14ac:dyDescent="0.25">
      <c r="A92" s="29"/>
      <c r="B92" s="29"/>
      <c r="C92" s="29"/>
      <c r="D92" s="29"/>
      <c r="E92" s="29"/>
      <c r="F92" s="29"/>
      <c r="G92" s="29"/>
      <c r="H92" s="29"/>
      <c r="I92" s="29"/>
      <c r="J92" s="29"/>
      <c r="K92" s="29"/>
      <c r="L92" s="29"/>
      <c r="M92" s="29"/>
      <c r="N92" s="29"/>
      <c r="O92" s="29"/>
      <c r="P92" s="29"/>
      <c r="Q92" s="29"/>
      <c r="S92" s="5" t="s">
        <v>154</v>
      </c>
      <c r="T92" s="5" t="s">
        <v>166</v>
      </c>
      <c r="U92" s="5" t="s">
        <v>158</v>
      </c>
    </row>
    <row r="93" spans="1:22" x14ac:dyDescent="0.25">
      <c r="A93" s="29"/>
      <c r="B93" s="29"/>
      <c r="C93" s="29"/>
      <c r="D93" s="29"/>
      <c r="E93" s="29"/>
      <c r="F93" s="29"/>
      <c r="G93" s="29"/>
      <c r="H93" s="29"/>
      <c r="I93" s="29"/>
      <c r="J93" s="29"/>
      <c r="K93" s="29"/>
      <c r="L93" s="29"/>
      <c r="M93" s="29"/>
      <c r="N93" s="29"/>
      <c r="O93" s="29"/>
      <c r="P93" s="29"/>
      <c r="Q93" s="29"/>
      <c r="S93" s="5" t="s">
        <v>159</v>
      </c>
      <c r="T93" s="5">
        <v>5</v>
      </c>
      <c r="U93" s="5" t="s">
        <v>44</v>
      </c>
      <c r="V93" s="1"/>
    </row>
    <row r="94" spans="1:22" x14ac:dyDescent="0.25">
      <c r="A94" s="29"/>
      <c r="B94" s="29"/>
      <c r="C94" s="29"/>
      <c r="D94" s="29"/>
      <c r="E94" s="29"/>
      <c r="F94" s="29"/>
      <c r="G94" s="29"/>
      <c r="H94" s="29"/>
      <c r="I94" s="29"/>
      <c r="J94" s="29"/>
      <c r="K94" s="29"/>
      <c r="L94" s="29"/>
      <c r="M94" s="29"/>
      <c r="N94" s="29"/>
      <c r="O94" s="29"/>
      <c r="P94" s="29"/>
      <c r="Q94" s="29"/>
      <c r="S94" s="5" t="s">
        <v>160</v>
      </c>
      <c r="T94" s="5">
        <v>7</v>
      </c>
      <c r="U94" s="5" t="s">
        <v>90</v>
      </c>
    </row>
    <row r="95" spans="1:22"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22" x14ac:dyDescent="0.25">
      <c r="A96" s="29"/>
      <c r="B96" s="29"/>
      <c r="C96" s="29"/>
      <c r="D96" s="29"/>
      <c r="E96" s="29"/>
      <c r="F96" s="29"/>
      <c r="G96" s="29"/>
      <c r="H96" s="29"/>
      <c r="I96" s="29"/>
      <c r="J96" s="29"/>
      <c r="K96" s="29"/>
      <c r="L96" s="29"/>
      <c r="M96" s="29"/>
      <c r="N96" s="29"/>
      <c r="O96" s="29"/>
      <c r="P96" s="29"/>
      <c r="Q96" s="29"/>
      <c r="S96" s="5" t="s">
        <v>162</v>
      </c>
      <c r="T96" s="5">
        <f>-T94</f>
        <v>-7</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0.2</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7500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c r="T102" s="75"/>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391</v>
      </c>
      <c r="C105" s="58" t="s">
        <v>128</v>
      </c>
      <c r="D105" s="2" t="s">
        <v>347</v>
      </c>
      <c r="E105" s="29"/>
      <c r="F105" s="29"/>
      <c r="G105" s="29"/>
      <c r="H105" s="29"/>
      <c r="I105" s="29"/>
      <c r="J105" s="29"/>
      <c r="K105" s="29"/>
      <c r="L105" s="29"/>
      <c r="M105" s="29"/>
      <c r="N105" s="29"/>
      <c r="O105" s="29"/>
      <c r="P105" s="29"/>
      <c r="U105" s="89"/>
      <c r="AO105" t="s">
        <v>130</v>
      </c>
      <c r="AP105" t="s">
        <v>392</v>
      </c>
      <c r="AQ105" t="s">
        <v>129</v>
      </c>
      <c r="AR105" t="s">
        <v>391</v>
      </c>
      <c r="AS105" t="s">
        <v>128</v>
      </c>
      <c r="AT105" t="s">
        <v>347</v>
      </c>
    </row>
    <row r="106" spans="1:46" x14ac:dyDescent="0.25">
      <c r="A106" s="40" t="s">
        <v>0</v>
      </c>
      <c r="B106" s="41"/>
      <c r="C106" s="18"/>
      <c r="D106" s="18"/>
      <c r="E106" s="18"/>
      <c r="F106" s="18"/>
      <c r="G106" s="18"/>
      <c r="H106" s="18"/>
      <c r="I106" s="18"/>
      <c r="J106" s="18"/>
      <c r="K106" s="18"/>
      <c r="L106" s="18"/>
      <c r="M106" s="18"/>
      <c r="N106" s="18"/>
      <c r="O106" s="18"/>
      <c r="P106" s="18"/>
      <c r="Q106" s="58" t="s">
        <v>289</v>
      </c>
      <c r="U106" s="89"/>
    </row>
    <row r="107" spans="1:46" x14ac:dyDescent="0.25">
      <c r="A107" s="20">
        <v>1</v>
      </c>
      <c r="B107" s="113" t="s">
        <v>1</v>
      </c>
      <c r="C107" s="20" t="s">
        <v>18</v>
      </c>
      <c r="D107" s="20">
        <v>50</v>
      </c>
      <c r="E107" s="20">
        <v>50</v>
      </c>
      <c r="F107" s="20">
        <v>0</v>
      </c>
      <c r="G107" s="20" t="s">
        <v>355</v>
      </c>
      <c r="H107" s="20" t="s">
        <v>100</v>
      </c>
      <c r="I107" s="20" t="s">
        <v>100</v>
      </c>
      <c r="J107" s="20" t="s">
        <v>19</v>
      </c>
      <c r="K107" s="20">
        <v>0.5</v>
      </c>
      <c r="L107" s="20">
        <v>0.2</v>
      </c>
      <c r="M107" s="20"/>
      <c r="N107" s="20"/>
      <c r="O107" s="20"/>
      <c r="P107" s="20"/>
      <c r="Q107" s="20"/>
      <c r="S107" s="95" t="s">
        <v>40</v>
      </c>
      <c r="T107" s="3"/>
      <c r="U107" s="5"/>
    </row>
    <row r="108" spans="1:46" x14ac:dyDescent="0.25">
      <c r="A108" s="20">
        <v>2</v>
      </c>
      <c r="B108" s="113" t="s">
        <v>1</v>
      </c>
      <c r="C108" s="20" t="s">
        <v>18</v>
      </c>
      <c r="D108" s="20" t="s">
        <v>100</v>
      </c>
      <c r="E108" s="20" t="s">
        <v>100</v>
      </c>
      <c r="F108" s="20" t="s">
        <v>100</v>
      </c>
      <c r="G108" s="20" t="s">
        <v>100</v>
      </c>
      <c r="H108" s="20" t="s">
        <v>355</v>
      </c>
      <c r="I108" s="20" t="s">
        <v>100</v>
      </c>
      <c r="J108" s="20" t="s">
        <v>19</v>
      </c>
      <c r="K108" s="20">
        <v>0.5</v>
      </c>
      <c r="L108" s="20">
        <v>0.2</v>
      </c>
      <c r="M108" s="20"/>
      <c r="N108" s="20"/>
      <c r="O108" s="20"/>
      <c r="P108" s="20"/>
      <c r="Q108" s="20"/>
      <c r="S108" s="5" t="s">
        <v>98</v>
      </c>
      <c r="T108" s="5">
        <v>0.2</v>
      </c>
      <c r="U108" s="5" t="s">
        <v>44</v>
      </c>
    </row>
    <row r="109" spans="1:46" x14ac:dyDescent="0.25">
      <c r="A109" s="20">
        <v>3</v>
      </c>
      <c r="B109" s="113" t="s">
        <v>1</v>
      </c>
      <c r="C109" s="20" t="s">
        <v>18</v>
      </c>
      <c r="D109" s="20" t="s">
        <v>100</v>
      </c>
      <c r="E109" s="20" t="s">
        <v>100</v>
      </c>
      <c r="F109" s="20" t="s">
        <v>100</v>
      </c>
      <c r="G109" s="20" t="s">
        <v>362</v>
      </c>
      <c r="H109" s="20" t="s">
        <v>100</v>
      </c>
      <c r="I109" s="20" t="s">
        <v>100</v>
      </c>
      <c r="J109" s="20" t="s">
        <v>19</v>
      </c>
      <c r="K109" s="20">
        <v>0.5</v>
      </c>
      <c r="L109" s="20">
        <v>0.2</v>
      </c>
      <c r="M109" s="20"/>
      <c r="N109" s="20"/>
      <c r="O109" s="20"/>
      <c r="P109" s="20"/>
      <c r="Q109" s="20"/>
      <c r="S109" s="5" t="s">
        <v>87</v>
      </c>
      <c r="T109" s="5">
        <v>1</v>
      </c>
      <c r="U109" s="5" t="s">
        <v>89</v>
      </c>
    </row>
    <row r="110" spans="1:46" x14ac:dyDescent="0.25">
      <c r="A110" s="20">
        <v>4</v>
      </c>
      <c r="B110" s="113" t="s">
        <v>1</v>
      </c>
      <c r="C110" s="20" t="s">
        <v>18</v>
      </c>
      <c r="D110" s="20" t="s">
        <v>100</v>
      </c>
      <c r="E110" s="20" t="s">
        <v>100</v>
      </c>
      <c r="F110" s="20" t="s">
        <v>100</v>
      </c>
      <c r="G110" s="20" t="s">
        <v>100</v>
      </c>
      <c r="H110" s="20" t="s">
        <v>362</v>
      </c>
      <c r="I110" s="20" t="s">
        <v>100</v>
      </c>
      <c r="J110" s="20" t="s">
        <v>19</v>
      </c>
      <c r="K110" s="20">
        <v>0.5</v>
      </c>
      <c r="L110" s="20">
        <v>0.2</v>
      </c>
      <c r="M110" s="20"/>
      <c r="N110" s="20"/>
      <c r="O110" s="20"/>
      <c r="P110" s="20"/>
      <c r="Q110" s="20"/>
      <c r="S110" s="5" t="s">
        <v>88</v>
      </c>
      <c r="T110" s="5">
        <v>1</v>
      </c>
      <c r="U110" s="5" t="s">
        <v>89</v>
      </c>
    </row>
    <row r="111" spans="1:46" x14ac:dyDescent="0.25">
      <c r="A111" s="20">
        <v>5</v>
      </c>
      <c r="B111" s="113" t="s">
        <v>55</v>
      </c>
      <c r="C111" s="112" t="s">
        <v>270</v>
      </c>
      <c r="D111" s="20">
        <v>0</v>
      </c>
      <c r="E111" s="20">
        <v>0</v>
      </c>
      <c r="F111" s="20">
        <v>0.2</v>
      </c>
      <c r="G111" s="20">
        <v>100</v>
      </c>
      <c r="H111" s="20"/>
      <c r="I111" s="20"/>
      <c r="J111" s="20"/>
      <c r="K111" s="20"/>
      <c r="L111" s="20"/>
      <c r="M111" s="20"/>
      <c r="N111" s="20"/>
      <c r="O111" s="20"/>
      <c r="P111" s="20"/>
      <c r="Q111" s="20"/>
      <c r="S111" s="5" t="s">
        <v>193</v>
      </c>
      <c r="T111" s="5" t="s">
        <v>204</v>
      </c>
      <c r="U111" s="5"/>
    </row>
    <row r="112" spans="1:46" x14ac:dyDescent="0.25">
      <c r="A112" s="20">
        <v>6</v>
      </c>
      <c r="B112" s="117" t="s">
        <v>52</v>
      </c>
      <c r="C112" s="42">
        <v>5</v>
      </c>
      <c r="D112" s="118">
        <v>2</v>
      </c>
      <c r="E112" s="42">
        <v>50</v>
      </c>
      <c r="F112" s="42">
        <v>100</v>
      </c>
      <c r="G112" s="42" t="s">
        <v>28</v>
      </c>
      <c r="H112" s="42">
        <v>0.2</v>
      </c>
      <c r="I112" s="42">
        <v>0</v>
      </c>
      <c r="J112" s="42">
        <v>0</v>
      </c>
      <c r="K112" s="42" t="s">
        <v>118</v>
      </c>
      <c r="L112" s="42" t="s">
        <v>118</v>
      </c>
      <c r="M112" s="42"/>
      <c r="N112" s="42"/>
      <c r="O112" s="42"/>
      <c r="P112" s="42"/>
      <c r="Q112" s="42"/>
      <c r="S112" s="5" t="s">
        <v>194</v>
      </c>
      <c r="T112" s="5">
        <v>0</v>
      </c>
      <c r="U112" s="5"/>
    </row>
    <row r="113" spans="1:22" x14ac:dyDescent="0.25">
      <c r="A113" s="20">
        <v>7</v>
      </c>
      <c r="B113" s="117" t="s">
        <v>52</v>
      </c>
      <c r="C113" s="42">
        <v>5</v>
      </c>
      <c r="D113" s="118">
        <v>1</v>
      </c>
      <c r="E113" s="42">
        <v>50</v>
      </c>
      <c r="F113" s="42">
        <v>100</v>
      </c>
      <c r="G113" s="42" t="s">
        <v>28</v>
      </c>
      <c r="H113" s="42">
        <v>0.2</v>
      </c>
      <c r="I113" s="42">
        <v>0</v>
      </c>
      <c r="J113" s="42">
        <v>0</v>
      </c>
      <c r="K113" s="42" t="s">
        <v>390</v>
      </c>
      <c r="L113" s="42" t="s">
        <v>118</v>
      </c>
      <c r="M113" s="42"/>
      <c r="N113" s="42"/>
      <c r="O113" s="42"/>
      <c r="P113" s="42"/>
      <c r="Q113" s="42"/>
      <c r="S113" s="57"/>
      <c r="T113" s="57"/>
      <c r="U113" s="90"/>
    </row>
    <row r="114" spans="1:22" x14ac:dyDescent="0.25">
      <c r="A114" s="20">
        <v>8</v>
      </c>
      <c r="B114" s="117" t="s">
        <v>52</v>
      </c>
      <c r="C114" s="42">
        <v>5</v>
      </c>
      <c r="D114" s="118">
        <v>3</v>
      </c>
      <c r="E114" s="42">
        <v>50</v>
      </c>
      <c r="F114" s="42">
        <v>100</v>
      </c>
      <c r="G114" s="42" t="s">
        <v>28</v>
      </c>
      <c r="H114" s="42">
        <v>0.2</v>
      </c>
      <c r="I114" s="42">
        <v>0</v>
      </c>
      <c r="J114" s="42">
        <v>0</v>
      </c>
      <c r="K114" s="42" t="s">
        <v>118</v>
      </c>
      <c r="L114" s="42" t="s">
        <v>390</v>
      </c>
      <c r="M114" s="42"/>
      <c r="N114" s="42"/>
      <c r="O114" s="42"/>
      <c r="P114" s="42"/>
      <c r="Q114" s="42"/>
      <c r="S114" s="5" t="s">
        <v>338</v>
      </c>
      <c r="T114" s="5">
        <v>60</v>
      </c>
      <c r="U114" s="5" t="s">
        <v>43</v>
      </c>
      <c r="V114" s="1"/>
    </row>
    <row r="115" spans="1:22" x14ac:dyDescent="0.25">
      <c r="A115" s="20">
        <v>9</v>
      </c>
      <c r="B115" s="114" t="s">
        <v>291</v>
      </c>
      <c r="C115" s="115">
        <v>5</v>
      </c>
      <c r="D115" s="116">
        <v>2</v>
      </c>
      <c r="E115" s="115">
        <v>50</v>
      </c>
      <c r="F115" s="115">
        <v>100</v>
      </c>
      <c r="G115" s="115" t="s">
        <v>124</v>
      </c>
      <c r="H115" s="115">
        <v>5.0000000000000001E-3</v>
      </c>
      <c r="I115" s="115">
        <v>0</v>
      </c>
      <c r="J115" s="115">
        <v>0</v>
      </c>
      <c r="K115" s="115" t="s">
        <v>118</v>
      </c>
      <c r="L115" s="115" t="s">
        <v>118</v>
      </c>
      <c r="M115" s="115"/>
      <c r="N115" s="115"/>
      <c r="O115" s="115"/>
      <c r="P115" s="115"/>
      <c r="Q115" s="115"/>
      <c r="S115" s="5" t="s">
        <v>85</v>
      </c>
      <c r="T115" s="5">
        <v>1000</v>
      </c>
      <c r="U115" s="5" t="s">
        <v>45</v>
      </c>
    </row>
    <row r="116" spans="1:22" x14ac:dyDescent="0.25">
      <c r="A116" s="20">
        <v>10</v>
      </c>
      <c r="B116" s="114" t="s">
        <v>291</v>
      </c>
      <c r="C116" s="115">
        <v>5</v>
      </c>
      <c r="D116" s="116">
        <v>1</v>
      </c>
      <c r="E116" s="115">
        <v>50</v>
      </c>
      <c r="F116" s="115">
        <v>100</v>
      </c>
      <c r="G116" s="115" t="s">
        <v>124</v>
      </c>
      <c r="H116" s="115">
        <v>5.0000000000000001E-3</v>
      </c>
      <c r="I116" s="115">
        <v>0</v>
      </c>
      <c r="J116" s="115">
        <v>0</v>
      </c>
      <c r="K116" s="115" t="s">
        <v>390</v>
      </c>
      <c r="L116" s="115" t="s">
        <v>118</v>
      </c>
      <c r="M116" s="115"/>
      <c r="N116" s="115"/>
      <c r="O116" s="115"/>
      <c r="P116" s="115"/>
      <c r="Q116" s="115"/>
      <c r="S116" s="5" t="s">
        <v>86</v>
      </c>
      <c r="T116" s="5">
        <v>9000</v>
      </c>
      <c r="U116" s="5" t="s">
        <v>45</v>
      </c>
    </row>
    <row r="117" spans="1:22" x14ac:dyDescent="0.25">
      <c r="A117" s="20">
        <v>11</v>
      </c>
      <c r="B117" s="114" t="s">
        <v>291</v>
      </c>
      <c r="C117" s="115">
        <v>5</v>
      </c>
      <c r="D117" s="116">
        <v>3</v>
      </c>
      <c r="E117" s="115">
        <v>50</v>
      </c>
      <c r="F117" s="115">
        <v>100</v>
      </c>
      <c r="G117" s="115" t="s">
        <v>124</v>
      </c>
      <c r="H117" s="115">
        <v>5.0000000000000001E-3</v>
      </c>
      <c r="I117" s="115">
        <v>0</v>
      </c>
      <c r="J117" s="115">
        <v>0</v>
      </c>
      <c r="K117" s="115" t="s">
        <v>118</v>
      </c>
      <c r="L117" s="115" t="s">
        <v>390</v>
      </c>
      <c r="M117" s="115"/>
      <c r="N117" s="115"/>
      <c r="O117" s="115"/>
      <c r="P117" s="115"/>
      <c r="Q117" s="115"/>
      <c r="S117" s="5" t="s">
        <v>41</v>
      </c>
      <c r="T117" s="5">
        <v>210</v>
      </c>
      <c r="U117" s="5" t="s">
        <v>43</v>
      </c>
      <c r="V117" s="1"/>
    </row>
    <row r="118" spans="1:22" x14ac:dyDescent="0.25">
      <c r="A118" s="20">
        <v>12</v>
      </c>
      <c r="B118" s="119" t="s">
        <v>291</v>
      </c>
      <c r="C118" s="43">
        <v>5</v>
      </c>
      <c r="D118" s="120" t="s">
        <v>270</v>
      </c>
      <c r="E118" s="43">
        <v>50</v>
      </c>
      <c r="F118" s="43">
        <v>100</v>
      </c>
      <c r="G118" s="43" t="s">
        <v>25</v>
      </c>
      <c r="H118" s="43">
        <v>60</v>
      </c>
      <c r="I118" s="43">
        <v>60</v>
      </c>
      <c r="J118" s="43">
        <v>45</v>
      </c>
      <c r="K118" s="43">
        <v>0</v>
      </c>
      <c r="L118" s="43" t="s">
        <v>118</v>
      </c>
      <c r="M118" s="43" t="s">
        <v>118</v>
      </c>
      <c r="N118" s="43"/>
      <c r="O118" s="43"/>
      <c r="P118" s="43"/>
      <c r="Q118" s="43"/>
      <c r="S118" s="5" t="s">
        <v>42</v>
      </c>
      <c r="T118" s="5">
        <v>2.85</v>
      </c>
      <c r="U118" s="5" t="s">
        <v>44</v>
      </c>
    </row>
    <row r="119" spans="1:22" x14ac:dyDescent="0.25">
      <c r="A119" s="20">
        <v>13</v>
      </c>
      <c r="B119" s="119" t="s">
        <v>291</v>
      </c>
      <c r="C119" s="43">
        <v>5</v>
      </c>
      <c r="D119" s="120" t="s">
        <v>270</v>
      </c>
      <c r="E119" s="43">
        <v>50</v>
      </c>
      <c r="F119" s="43">
        <v>100</v>
      </c>
      <c r="G119" s="43" t="s">
        <v>26</v>
      </c>
      <c r="H119" s="43">
        <v>50</v>
      </c>
      <c r="I119" s="43">
        <v>50</v>
      </c>
      <c r="J119" s="43">
        <v>0</v>
      </c>
      <c r="K119" s="43">
        <v>0.2</v>
      </c>
      <c r="L119" s="43" t="s">
        <v>118</v>
      </c>
      <c r="M119" s="43" t="s">
        <v>118</v>
      </c>
      <c r="N119" s="43"/>
      <c r="O119" s="43"/>
      <c r="P119" s="43"/>
      <c r="Q119" s="43"/>
      <c r="S119" s="5" t="s">
        <v>46</v>
      </c>
      <c r="T119" s="5" t="s">
        <v>82</v>
      </c>
      <c r="U119" s="5" t="s">
        <v>90</v>
      </c>
    </row>
    <row r="120" spans="1:22" x14ac:dyDescent="0.25">
      <c r="A120" s="20">
        <v>14</v>
      </c>
      <c r="B120" s="119" t="s">
        <v>291</v>
      </c>
      <c r="C120" s="43">
        <v>5</v>
      </c>
      <c r="D120" s="120" t="s">
        <v>270</v>
      </c>
      <c r="E120" s="43">
        <v>50</v>
      </c>
      <c r="F120" s="43">
        <v>100</v>
      </c>
      <c r="G120" s="43" t="s">
        <v>15</v>
      </c>
      <c r="H120" s="43">
        <v>1</v>
      </c>
      <c r="I120" s="43"/>
      <c r="J120" s="43" t="s">
        <v>184</v>
      </c>
      <c r="K120" s="43"/>
      <c r="L120" s="43"/>
      <c r="M120" s="43"/>
      <c r="N120" s="43"/>
      <c r="O120" s="43"/>
      <c r="P120" s="43"/>
      <c r="Q120" s="43"/>
      <c r="S120" s="5" t="s">
        <v>108</v>
      </c>
      <c r="T120" s="5" t="s">
        <v>153</v>
      </c>
      <c r="U120" s="5"/>
    </row>
    <row r="121" spans="1:22" x14ac:dyDescent="0.25">
      <c r="A121" s="20">
        <v>15</v>
      </c>
      <c r="B121" s="119" t="s">
        <v>291</v>
      </c>
      <c r="C121" s="43">
        <v>5</v>
      </c>
      <c r="D121" s="120" t="s">
        <v>270</v>
      </c>
      <c r="E121" s="43">
        <v>50</v>
      </c>
      <c r="F121" s="43">
        <v>100</v>
      </c>
      <c r="G121" s="43" t="s">
        <v>24</v>
      </c>
      <c r="H121" s="43">
        <v>0.01</v>
      </c>
      <c r="I121" s="43"/>
      <c r="J121" s="43" t="s">
        <v>185</v>
      </c>
      <c r="K121" s="43"/>
      <c r="L121" s="43"/>
      <c r="M121" s="43"/>
      <c r="N121" s="43"/>
      <c r="O121" s="43"/>
      <c r="P121" s="43"/>
      <c r="Q121" s="43"/>
      <c r="S121" s="5" t="s">
        <v>152</v>
      </c>
      <c r="T121" s="5" t="s">
        <v>125</v>
      </c>
      <c r="U121" s="5"/>
    </row>
    <row r="122" spans="1:22" x14ac:dyDescent="0.25">
      <c r="A122" s="20">
        <v>16</v>
      </c>
      <c r="B122" s="119" t="s">
        <v>291</v>
      </c>
      <c r="C122" s="43">
        <v>5</v>
      </c>
      <c r="D122" s="120" t="s">
        <v>270</v>
      </c>
      <c r="E122" s="43">
        <v>50</v>
      </c>
      <c r="F122" s="43">
        <v>100</v>
      </c>
      <c r="G122" s="43" t="s">
        <v>133</v>
      </c>
      <c r="H122" s="43" t="s">
        <v>27</v>
      </c>
      <c r="I122" s="43"/>
      <c r="J122" s="43" t="s">
        <v>188</v>
      </c>
      <c r="K122" s="43"/>
      <c r="L122" s="43"/>
      <c r="M122" s="43"/>
      <c r="N122" s="43"/>
      <c r="O122" s="43"/>
      <c r="P122" s="43"/>
      <c r="Q122" s="43"/>
      <c r="S122" s="5" t="s">
        <v>167</v>
      </c>
      <c r="T122" s="5">
        <v>20</v>
      </c>
      <c r="U122" s="5" t="s">
        <v>44</v>
      </c>
    </row>
    <row r="123" spans="1:22" x14ac:dyDescent="0.25">
      <c r="A123" s="20">
        <v>17</v>
      </c>
      <c r="B123" s="119" t="s">
        <v>291</v>
      </c>
      <c r="C123" s="43">
        <v>5</v>
      </c>
      <c r="D123" s="120" t="s">
        <v>270</v>
      </c>
      <c r="E123" s="43">
        <v>50</v>
      </c>
      <c r="F123" s="43">
        <v>100</v>
      </c>
      <c r="G123" s="43" t="s">
        <v>132</v>
      </c>
      <c r="H123" s="43">
        <v>10</v>
      </c>
      <c r="I123" s="43"/>
      <c r="J123" s="43" t="s">
        <v>189</v>
      </c>
      <c r="K123" s="43"/>
      <c r="L123" s="43"/>
      <c r="M123" s="43"/>
      <c r="N123" s="43"/>
      <c r="O123" s="43"/>
      <c r="P123" s="43"/>
      <c r="Q123" s="43"/>
      <c r="S123" s="5" t="s">
        <v>168</v>
      </c>
      <c r="T123" s="5">
        <v>10</v>
      </c>
      <c r="U123" s="5" t="s">
        <v>44</v>
      </c>
    </row>
    <row r="124" spans="1:22" x14ac:dyDescent="0.25">
      <c r="A124" s="20">
        <v>18</v>
      </c>
      <c r="B124" s="20"/>
      <c r="C124" s="20"/>
      <c r="D124" s="20"/>
      <c r="E124" s="20"/>
      <c r="F124" s="20"/>
      <c r="G124" s="20"/>
      <c r="H124" s="20"/>
      <c r="I124" s="20"/>
      <c r="J124" s="20"/>
      <c r="K124" s="20"/>
      <c r="L124" s="20"/>
      <c r="M124" s="20"/>
      <c r="N124" s="20"/>
      <c r="O124" s="20"/>
      <c r="P124" s="20"/>
      <c r="Q124" s="20"/>
      <c r="S124" s="5" t="s">
        <v>169</v>
      </c>
      <c r="T124" s="5">
        <v>0.3</v>
      </c>
      <c r="U124" s="5" t="s">
        <v>44</v>
      </c>
    </row>
    <row r="125" spans="1:22" x14ac:dyDescent="0.25">
      <c r="A125" s="20">
        <v>19</v>
      </c>
      <c r="B125" s="20"/>
      <c r="C125" s="20"/>
      <c r="D125" s="20"/>
      <c r="E125" s="20"/>
      <c r="F125" s="20"/>
      <c r="G125" s="20"/>
      <c r="H125" s="20"/>
      <c r="I125" s="20"/>
      <c r="J125" s="20"/>
      <c r="K125" s="20"/>
      <c r="L125" s="20"/>
      <c r="M125" s="20"/>
      <c r="N125" s="20"/>
      <c r="O125" s="20"/>
      <c r="P125" s="20"/>
      <c r="Q125" s="20"/>
      <c r="S125" s="78" t="s">
        <v>339</v>
      </c>
      <c r="T125" s="5">
        <v>0</v>
      </c>
      <c r="U125" s="5"/>
      <c r="V125" s="1"/>
    </row>
    <row r="126" spans="1:22" x14ac:dyDescent="0.25">
      <c r="A126" s="29"/>
      <c r="B126" s="29"/>
      <c r="C126" s="29"/>
      <c r="D126" s="29"/>
      <c r="E126" s="29"/>
      <c r="F126" s="29"/>
      <c r="G126" s="29"/>
      <c r="H126" s="29"/>
      <c r="I126" s="29"/>
      <c r="J126" s="29"/>
      <c r="K126" s="29"/>
      <c r="L126" s="29"/>
      <c r="M126" s="29"/>
      <c r="N126" s="29"/>
      <c r="O126" s="29"/>
      <c r="P126" s="29"/>
      <c r="Q126" s="29"/>
      <c r="S126" s="5" t="s">
        <v>154</v>
      </c>
      <c r="T126" s="5" t="s">
        <v>166</v>
      </c>
      <c r="U126" s="5" t="s">
        <v>158</v>
      </c>
    </row>
    <row r="127" spans="1:22" x14ac:dyDescent="0.25">
      <c r="A127" s="29"/>
      <c r="B127" s="29"/>
      <c r="C127" s="29"/>
      <c r="D127" s="29"/>
      <c r="E127" s="29"/>
      <c r="F127" s="29"/>
      <c r="G127" s="29"/>
      <c r="H127" s="29"/>
      <c r="I127" s="29"/>
      <c r="J127" s="29"/>
      <c r="K127" s="29"/>
      <c r="L127" s="29"/>
      <c r="M127" s="29"/>
      <c r="N127" s="29"/>
      <c r="O127" s="29"/>
      <c r="P127" s="29"/>
      <c r="Q127" s="29"/>
      <c r="S127" s="5" t="s">
        <v>159</v>
      </c>
      <c r="T127" s="5">
        <v>5</v>
      </c>
      <c r="U127" s="5" t="s">
        <v>44</v>
      </c>
      <c r="V127" s="1"/>
    </row>
    <row r="128" spans="1:22" x14ac:dyDescent="0.25">
      <c r="A128" s="29"/>
      <c r="B128" s="29"/>
      <c r="C128" s="29"/>
      <c r="D128" s="29"/>
      <c r="E128" s="29"/>
      <c r="F128" s="29"/>
      <c r="G128" s="29"/>
      <c r="H128" s="29"/>
      <c r="I128" s="29"/>
      <c r="J128" s="29"/>
      <c r="K128" s="29"/>
      <c r="L128" s="29"/>
      <c r="M128" s="29"/>
      <c r="N128" s="29"/>
      <c r="O128" s="29"/>
      <c r="P128" s="29"/>
      <c r="Q128" s="29"/>
      <c r="S128" s="5" t="s">
        <v>160</v>
      </c>
      <c r="T128" s="5">
        <v>7</v>
      </c>
      <c r="U128" s="5" t="s">
        <v>90</v>
      </c>
    </row>
    <row r="129" spans="1:32"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32" x14ac:dyDescent="0.25">
      <c r="A130" s="29"/>
      <c r="B130" s="29"/>
      <c r="C130" s="29"/>
      <c r="D130" s="29"/>
      <c r="E130" s="29"/>
      <c r="F130" s="29"/>
      <c r="G130" s="29"/>
      <c r="H130" s="29"/>
      <c r="I130" s="29"/>
      <c r="J130" s="29"/>
      <c r="K130" s="29"/>
      <c r="L130" s="29"/>
      <c r="M130" s="29"/>
      <c r="N130" s="29"/>
      <c r="O130" s="29"/>
      <c r="P130" s="29"/>
      <c r="Q130" s="29"/>
      <c r="S130" s="5" t="s">
        <v>162</v>
      </c>
      <c r="T130" s="5">
        <f>-T128</f>
        <v>-7</v>
      </c>
      <c r="U130" s="5" t="s">
        <v>90</v>
      </c>
    </row>
    <row r="131" spans="1:32"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32" x14ac:dyDescent="0.25">
      <c r="A132" s="29"/>
      <c r="B132" s="81"/>
      <c r="C132" s="81"/>
      <c r="D132" s="81"/>
      <c r="E132" s="81"/>
      <c r="F132" s="81"/>
      <c r="G132" s="81"/>
      <c r="H132" s="81"/>
      <c r="I132" s="81"/>
      <c r="J132" s="81"/>
      <c r="K132" s="81"/>
      <c r="L132" s="81"/>
      <c r="M132" s="81"/>
      <c r="N132" s="81"/>
      <c r="O132" s="81"/>
      <c r="P132" s="81"/>
      <c r="Q132" s="81"/>
      <c r="S132" s="3" t="s">
        <v>164</v>
      </c>
      <c r="T132" s="3">
        <v>0.2</v>
      </c>
      <c r="U132" s="5" t="s">
        <v>44</v>
      </c>
    </row>
    <row r="133" spans="1:32" x14ac:dyDescent="0.25">
      <c r="A133" s="29"/>
      <c r="B133" s="81"/>
      <c r="C133" s="81"/>
      <c r="D133" s="81"/>
      <c r="E133" s="81"/>
      <c r="F133" s="81"/>
      <c r="G133" s="81"/>
      <c r="H133" s="81"/>
      <c r="I133" s="81"/>
      <c r="J133" s="81"/>
      <c r="K133" s="81"/>
      <c r="L133" s="81"/>
      <c r="M133" s="81"/>
      <c r="N133" s="81"/>
      <c r="O133" s="81"/>
      <c r="P133" s="81"/>
      <c r="Q133" s="81"/>
      <c r="S133" s="3" t="s">
        <v>165</v>
      </c>
      <c r="T133" s="3">
        <v>7500</v>
      </c>
      <c r="U133" s="5" t="s">
        <v>45</v>
      </c>
    </row>
    <row r="134" spans="1:32" x14ac:dyDescent="0.25">
      <c r="A134" s="29"/>
      <c r="B134" s="80"/>
      <c r="C134" s="80"/>
      <c r="D134" s="80"/>
      <c r="E134" s="80"/>
      <c r="F134" s="80"/>
      <c r="G134" s="80"/>
      <c r="H134" s="80"/>
      <c r="I134" s="80"/>
      <c r="J134" s="80"/>
      <c r="K134" s="80"/>
      <c r="L134" s="80"/>
      <c r="M134" s="80"/>
      <c r="N134" s="80"/>
      <c r="O134" s="80"/>
      <c r="P134" s="80"/>
      <c r="Q134" s="80"/>
      <c r="S134" s="29"/>
      <c r="T134" s="29"/>
      <c r="U134" s="91"/>
      <c r="V134" s="29"/>
      <c r="W134" s="29"/>
      <c r="X134" s="29"/>
      <c r="Y134" s="29"/>
      <c r="Z134" s="29"/>
      <c r="AA134" s="29"/>
      <c r="AB134" s="29"/>
      <c r="AC134" s="29"/>
      <c r="AE134" s="29"/>
      <c r="AF134" s="29"/>
    </row>
    <row r="135" spans="1:32" x14ac:dyDescent="0.25">
      <c r="A135" s="29"/>
      <c r="B135" s="80"/>
      <c r="C135" s="80"/>
      <c r="D135" s="80"/>
      <c r="E135" s="80"/>
      <c r="F135" s="80"/>
      <c r="G135" s="80"/>
      <c r="H135" s="80"/>
      <c r="I135" s="80"/>
      <c r="J135" s="80"/>
      <c r="K135" s="80"/>
      <c r="L135" s="80"/>
      <c r="M135" s="80"/>
      <c r="N135" s="80"/>
      <c r="O135" s="80"/>
      <c r="P135" s="80"/>
      <c r="Q135" s="80"/>
      <c r="S135" s="96" t="s">
        <v>292</v>
      </c>
      <c r="T135" s="96" t="s">
        <v>293</v>
      </c>
      <c r="U135" s="97" t="s">
        <v>331</v>
      </c>
      <c r="V135" s="29"/>
      <c r="W135" s="29"/>
      <c r="X135" s="29"/>
      <c r="Y135" s="29"/>
      <c r="Z135" s="29"/>
      <c r="AA135" s="29"/>
      <c r="AB135" s="29"/>
      <c r="AC135" s="29"/>
      <c r="AD135" s="29"/>
      <c r="AE135" s="29"/>
      <c r="AF135" s="29"/>
    </row>
  </sheetData>
  <conditionalFormatting sqref="C106 C126:C131">
    <cfRule type="aboveAverage" dxfId="4"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8" workbookViewId="0">
      <selection activeCell="C58" sqref="C58"/>
    </sheetView>
  </sheetViews>
  <sheetFormatPr defaultRowHeight="15" x14ac:dyDescent="0.25"/>
  <cols>
    <col min="21" max="21" width="9.140625" style="89"/>
  </cols>
  <sheetData>
    <row r="3" spans="1:46" x14ac:dyDescent="0.25">
      <c r="A3" s="58" t="s">
        <v>129</v>
      </c>
      <c r="B3" s="2" t="s">
        <v>287</v>
      </c>
      <c r="C3" s="58" t="s">
        <v>128</v>
      </c>
      <c r="D3" s="2" t="s">
        <v>334</v>
      </c>
      <c r="AO3" t="s">
        <v>130</v>
      </c>
      <c r="AP3" t="s">
        <v>288</v>
      </c>
      <c r="AQ3" t="s">
        <v>129</v>
      </c>
      <c r="AR3" t="s">
        <v>287</v>
      </c>
      <c r="AS3" t="s">
        <v>128</v>
      </c>
      <c r="AT3" t="s">
        <v>334</v>
      </c>
    </row>
    <row r="4" spans="1:46" x14ac:dyDescent="0.25">
      <c r="A4" s="40" t="s">
        <v>0</v>
      </c>
      <c r="B4" s="2"/>
      <c r="C4" s="2"/>
      <c r="D4" s="2"/>
      <c r="E4" s="2"/>
      <c r="F4" s="2"/>
      <c r="G4" s="2"/>
      <c r="H4" s="2"/>
      <c r="I4" s="2"/>
      <c r="J4" s="2"/>
      <c r="K4" s="2"/>
      <c r="L4" s="2"/>
      <c r="M4" s="2"/>
      <c r="N4" s="2"/>
      <c r="O4" s="2"/>
      <c r="P4" s="2"/>
      <c r="Q4" s="58" t="s">
        <v>289</v>
      </c>
    </row>
    <row r="5" spans="1:46" x14ac:dyDescent="0.25">
      <c r="A5" s="2">
        <v>1</v>
      </c>
      <c r="B5" s="10" t="s">
        <v>10</v>
      </c>
      <c r="C5" s="10" t="e">
        <f>_xlfn.SINGLE(StartX)-F5*COS(RADIANS(T49))</f>
        <v>#NAME?</v>
      </c>
      <c r="D5" s="10" t="e">
        <f>_xlfn.SINGLE(StartY)+T48</f>
        <v>#NAME?</v>
      </c>
      <c r="E5" s="10">
        <v>0</v>
      </c>
      <c r="F5" s="73" t="e">
        <f>T48/SIN(RADIANS(T49))</f>
        <v>#NAME?</v>
      </c>
      <c r="G5" s="10" t="e">
        <f>-T49</f>
        <v>#NAME?</v>
      </c>
      <c r="H5" s="10">
        <f>T43</f>
        <v>90</v>
      </c>
      <c r="I5" s="10" t="s">
        <v>38</v>
      </c>
      <c r="J5" s="10">
        <v>16</v>
      </c>
      <c r="K5" s="10">
        <f t="shared" ref="K5:K6" si="0">_xlfn.SINGLE(Width)</f>
        <v>40</v>
      </c>
      <c r="L5" s="10">
        <f>_xlfn.SINGLE(Height)</f>
        <v>30</v>
      </c>
      <c r="M5" s="10"/>
      <c r="N5" s="10"/>
      <c r="O5" s="10"/>
      <c r="P5" s="10"/>
      <c r="Q5" s="11" t="s">
        <v>277</v>
      </c>
      <c r="S5" s="95" t="s">
        <v>40</v>
      </c>
      <c r="T5" s="3"/>
      <c r="U5" s="5"/>
    </row>
    <row r="6" spans="1:46" x14ac:dyDescent="0.25">
      <c r="A6" s="2">
        <v>2</v>
      </c>
      <c r="B6" s="12" t="s">
        <v>10</v>
      </c>
      <c r="C6" s="12" t="e">
        <f>_xlfn.SINGLE(StartX)+F6*COS(RADIANS(T49))</f>
        <v>#NAME?</v>
      </c>
      <c r="D6" s="12" t="e">
        <f>_xlfn.SINGLE(StartY)+T47+T48</f>
        <v>#NAME?</v>
      </c>
      <c r="E6" s="12">
        <v>0</v>
      </c>
      <c r="F6" s="74" t="e">
        <f>T48/SIN(RADIANS(T49))</f>
        <v>#NAME?</v>
      </c>
      <c r="G6" s="12" t="e">
        <f>180+T49</f>
        <v>#NAME?</v>
      </c>
      <c r="H6" s="12">
        <f>T43</f>
        <v>90</v>
      </c>
      <c r="I6" s="12" t="s">
        <v>20</v>
      </c>
      <c r="J6" s="12">
        <v>16</v>
      </c>
      <c r="K6" s="12">
        <f t="shared" si="0"/>
        <v>40</v>
      </c>
      <c r="L6" s="12">
        <f>_xlfn.SINGLE(Height)</f>
        <v>30</v>
      </c>
      <c r="M6" s="12"/>
      <c r="N6" s="12"/>
      <c r="O6" s="12"/>
      <c r="P6" s="12"/>
      <c r="Q6" s="13" t="s">
        <v>278</v>
      </c>
      <c r="S6" s="5" t="s">
        <v>98</v>
      </c>
      <c r="T6" s="5">
        <v>0.2</v>
      </c>
      <c r="U6" s="5" t="s">
        <v>44</v>
      </c>
    </row>
    <row r="7" spans="1:46" x14ac:dyDescent="0.25">
      <c r="A7" s="2">
        <v>3</v>
      </c>
      <c r="B7" s="49" t="s">
        <v>55</v>
      </c>
      <c r="C7" s="50" t="s">
        <v>285</v>
      </c>
      <c r="D7" s="49">
        <v>0</v>
      </c>
      <c r="E7" s="49" t="e">
        <f>Period</f>
        <v>#NAME?</v>
      </c>
      <c r="F7" s="49">
        <v>0</v>
      </c>
      <c r="G7" s="49" t="e">
        <f>UnitCells-1</f>
        <v>#NAME?</v>
      </c>
      <c r="H7" s="49"/>
      <c r="I7" s="49"/>
      <c r="J7" s="49"/>
      <c r="K7" s="49"/>
      <c r="L7" s="49"/>
      <c r="M7" s="49"/>
      <c r="N7" s="49"/>
      <c r="O7" s="49"/>
      <c r="P7" s="49"/>
      <c r="Q7" s="59" t="s">
        <v>282</v>
      </c>
      <c r="S7" s="5" t="s">
        <v>87</v>
      </c>
      <c r="T7" s="5">
        <v>1</v>
      </c>
      <c r="U7" s="5" t="s">
        <v>89</v>
      </c>
    </row>
    <row r="8" spans="1:46" x14ac:dyDescent="0.25">
      <c r="A8" s="2">
        <v>4</v>
      </c>
      <c r="B8" s="14" t="s">
        <v>17</v>
      </c>
      <c r="C8" s="14" t="s">
        <v>284</v>
      </c>
      <c r="D8" s="14" t="s">
        <v>2</v>
      </c>
      <c r="E8" s="14" t="e">
        <f>CONCATENATE("R",QuarterPeriod)</f>
        <v>#NAME?</v>
      </c>
      <c r="F8" s="14" t="s">
        <v>100</v>
      </c>
      <c r="G8" s="14">
        <v>90</v>
      </c>
      <c r="H8" s="14"/>
      <c r="I8" s="14"/>
      <c r="J8" s="14"/>
      <c r="K8" s="14"/>
      <c r="L8" s="14"/>
      <c r="M8" s="14"/>
      <c r="N8" s="14"/>
      <c r="O8" s="14"/>
      <c r="P8" s="14"/>
      <c r="Q8" s="14" t="s">
        <v>279</v>
      </c>
      <c r="S8" s="5" t="s">
        <v>88</v>
      </c>
      <c r="T8" s="5">
        <v>1</v>
      </c>
      <c r="U8" s="5" t="s">
        <v>89</v>
      </c>
    </row>
    <row r="9" spans="1:46" x14ac:dyDescent="0.25">
      <c r="A9" s="2">
        <v>5</v>
      </c>
      <c r="B9" s="15" t="s">
        <v>55</v>
      </c>
      <c r="C9" s="25" t="s">
        <v>270</v>
      </c>
      <c r="D9" s="15" t="e">
        <f>Period</f>
        <v>#NAME?</v>
      </c>
      <c r="E9" s="15">
        <v>0</v>
      </c>
      <c r="F9" s="15">
        <v>0</v>
      </c>
      <c r="G9" s="15" t="e">
        <f>UnitCells-1</f>
        <v>#NAME?</v>
      </c>
      <c r="H9" s="15"/>
      <c r="I9" s="15"/>
      <c r="J9" s="15"/>
      <c r="K9" s="15"/>
      <c r="L9" s="15"/>
      <c r="M9" s="15"/>
      <c r="N9" s="15"/>
      <c r="O9" s="15"/>
      <c r="P9" s="15"/>
      <c r="Q9" s="16" t="s">
        <v>280</v>
      </c>
      <c r="S9" s="5" t="s">
        <v>193</v>
      </c>
      <c r="T9" s="5" t="s">
        <v>204</v>
      </c>
      <c r="U9" s="5"/>
    </row>
    <row r="10" spans="1:46" x14ac:dyDescent="0.25">
      <c r="A10" s="2">
        <v>6</v>
      </c>
      <c r="B10" s="3" t="s">
        <v>55</v>
      </c>
      <c r="C10" s="48" t="s">
        <v>286</v>
      </c>
      <c r="D10" s="3">
        <v>0</v>
      </c>
      <c r="E10" s="3">
        <v>0</v>
      </c>
      <c r="F10" s="3" t="e">
        <f>SecondLayerOffset</f>
        <v>#NAME?</v>
      </c>
      <c r="G10" s="3" t="e">
        <f>NumberOfLayers-1</f>
        <v>#NAME?</v>
      </c>
      <c r="H10" s="3"/>
      <c r="I10" s="3"/>
      <c r="J10" s="3"/>
      <c r="K10" s="3"/>
      <c r="L10" s="3"/>
      <c r="M10" s="3"/>
      <c r="N10" s="3"/>
      <c r="O10" s="3"/>
      <c r="P10" s="3"/>
      <c r="Q10" s="45" t="s">
        <v>281</v>
      </c>
      <c r="S10" s="5" t="s">
        <v>194</v>
      </c>
      <c r="T10" s="5">
        <v>0</v>
      </c>
      <c r="U10" s="5"/>
    </row>
    <row r="11" spans="1:46" x14ac:dyDescent="0.25">
      <c r="A11" s="2">
        <v>7</v>
      </c>
      <c r="B11" s="8" t="s">
        <v>52</v>
      </c>
      <c r="C11" s="8">
        <v>6</v>
      </c>
      <c r="D11" s="70" t="s">
        <v>549</v>
      </c>
      <c r="E11" s="8">
        <v>1</v>
      </c>
      <c r="F11" s="8" t="e">
        <f>NumberOfLayers-1</f>
        <v>#NAME?</v>
      </c>
      <c r="G11" s="8" t="s">
        <v>26</v>
      </c>
      <c r="H11" s="8" t="e">
        <f>_xlfn.SINGLE(StartX)+((((_xlfn.SINGLE(UnitCells))*_xlfn.SINGLE(Period)))/2)-(_xlfn.SINGLE(HalfPeriod))</f>
        <v>#NAME?</v>
      </c>
      <c r="I11" s="8" t="e">
        <f>_xlfn.SINGLE(StartY)+((((_xlfn.SINGLE(UnitCells))*_xlfn.SINGLE(Period)))/2)</f>
        <v>#NAME?</v>
      </c>
      <c r="J11" s="8">
        <v>90</v>
      </c>
      <c r="K11" s="8">
        <v>0</v>
      </c>
      <c r="L11" s="8" t="s">
        <v>118</v>
      </c>
      <c r="M11" s="8" t="s">
        <v>118</v>
      </c>
      <c r="N11" s="8"/>
      <c r="O11" s="8"/>
      <c r="P11" s="8"/>
      <c r="Q11" s="9" t="s">
        <v>283</v>
      </c>
      <c r="S11" s="57"/>
      <c r="T11" s="57"/>
      <c r="U11" s="90"/>
    </row>
    <row r="12" spans="1:46" x14ac:dyDescent="0.25">
      <c r="A12" s="2">
        <v>8</v>
      </c>
      <c r="B12" s="29"/>
      <c r="C12" s="29"/>
      <c r="D12" s="29"/>
      <c r="E12" s="29"/>
      <c r="F12" s="29"/>
      <c r="G12" s="29"/>
      <c r="H12" s="29"/>
      <c r="I12" s="29"/>
      <c r="J12" s="29"/>
      <c r="K12" s="29"/>
      <c r="L12" s="29"/>
      <c r="M12" s="29"/>
      <c r="N12" s="29"/>
      <c r="O12" s="29"/>
      <c r="P12" s="29"/>
      <c r="Q12" s="29"/>
      <c r="S12" s="5" t="s">
        <v>338</v>
      </c>
      <c r="T12" s="5">
        <v>60</v>
      </c>
      <c r="U12" s="5" t="s">
        <v>43</v>
      </c>
      <c r="V12" s="1"/>
    </row>
    <row r="13" spans="1:46" ht="14.45" customHeight="1" x14ac:dyDescent="0.25">
      <c r="A13" s="2">
        <v>9</v>
      </c>
      <c r="B13" s="29"/>
      <c r="C13" s="147" t="s">
        <v>342</v>
      </c>
      <c r="D13" s="147"/>
      <c r="E13" s="147"/>
      <c r="F13" s="147"/>
      <c r="G13" s="147"/>
      <c r="H13" s="147"/>
      <c r="I13" s="147"/>
      <c r="J13" s="147"/>
      <c r="K13" s="147"/>
      <c r="L13" s="147"/>
      <c r="M13" s="147"/>
      <c r="N13" s="147"/>
      <c r="O13" s="29"/>
      <c r="P13" s="29"/>
      <c r="Q13" s="29"/>
      <c r="S13" s="5" t="s">
        <v>85</v>
      </c>
      <c r="T13" s="5">
        <v>1000</v>
      </c>
      <c r="U13" s="5" t="s">
        <v>45</v>
      </c>
    </row>
    <row r="14" spans="1:46" x14ac:dyDescent="0.25">
      <c r="A14" s="2">
        <v>10</v>
      </c>
      <c r="B14" s="29"/>
      <c r="C14" s="147" t="s">
        <v>336</v>
      </c>
      <c r="D14" s="147"/>
      <c r="E14" s="147"/>
      <c r="F14" s="147"/>
      <c r="G14" s="147"/>
      <c r="H14" s="147"/>
      <c r="I14" s="147"/>
      <c r="J14" s="147"/>
      <c r="K14" s="147"/>
      <c r="L14" s="147"/>
      <c r="M14" s="147"/>
      <c r="N14" s="147"/>
      <c r="O14" s="29"/>
      <c r="P14" s="29"/>
      <c r="Q14" s="29"/>
      <c r="S14" s="5" t="s">
        <v>86</v>
      </c>
      <c r="T14" s="5">
        <v>9000</v>
      </c>
      <c r="U14" s="5" t="s">
        <v>45</v>
      </c>
    </row>
    <row r="15" spans="1:46" x14ac:dyDescent="0.25">
      <c r="A15" s="2">
        <v>11</v>
      </c>
      <c r="B15" s="29"/>
      <c r="C15" s="148" t="s">
        <v>337</v>
      </c>
      <c r="D15" s="148"/>
      <c r="E15" s="148"/>
      <c r="F15" s="148"/>
      <c r="G15" s="148"/>
      <c r="H15" s="148"/>
      <c r="I15" s="148"/>
      <c r="J15" s="148"/>
      <c r="K15" s="148"/>
      <c r="L15" s="148"/>
      <c r="M15" s="148"/>
      <c r="N15" s="148"/>
      <c r="O15" s="29"/>
      <c r="P15" s="29"/>
      <c r="Q15" s="29"/>
      <c r="S15" s="5" t="s">
        <v>41</v>
      </c>
      <c r="T15" s="5">
        <v>210</v>
      </c>
      <c r="U15" s="5" t="s">
        <v>43</v>
      </c>
      <c r="V15" s="1"/>
    </row>
    <row r="16" spans="1:46" x14ac:dyDescent="0.25">
      <c r="A16" s="2">
        <v>12</v>
      </c>
      <c r="B16" s="29"/>
      <c r="C16" s="148" t="s">
        <v>550</v>
      </c>
      <c r="D16" s="148"/>
      <c r="E16" s="148"/>
      <c r="F16" s="148"/>
      <c r="G16" s="148"/>
      <c r="H16" s="148"/>
      <c r="I16" s="148"/>
      <c r="J16" s="148"/>
      <c r="K16" s="148"/>
      <c r="L16" s="148"/>
      <c r="M16" s="148"/>
      <c r="N16" s="148"/>
      <c r="O16" s="29"/>
      <c r="P16" s="29"/>
      <c r="Q16" s="29"/>
      <c r="S16" s="5" t="s">
        <v>42</v>
      </c>
      <c r="T16" s="5">
        <v>2.85</v>
      </c>
      <c r="U16" s="5" t="s">
        <v>44</v>
      </c>
    </row>
    <row r="17" spans="1:32" x14ac:dyDescent="0.25">
      <c r="A17" s="2">
        <v>13</v>
      </c>
      <c r="B17" s="29"/>
      <c r="C17" s="148" t="s">
        <v>551</v>
      </c>
      <c r="D17" s="148"/>
      <c r="E17" s="148"/>
      <c r="F17" s="148"/>
      <c r="G17" s="148"/>
      <c r="H17" s="148"/>
      <c r="I17" s="148"/>
      <c r="J17" s="148"/>
      <c r="K17" s="148"/>
      <c r="L17" s="148"/>
      <c r="M17" s="148"/>
      <c r="N17" s="148"/>
      <c r="O17" s="29"/>
      <c r="P17" s="29"/>
      <c r="Q17" s="29"/>
      <c r="S17" s="5" t="s">
        <v>46</v>
      </c>
      <c r="T17" s="5" t="s">
        <v>82</v>
      </c>
      <c r="U17" s="5" t="s">
        <v>90</v>
      </c>
    </row>
    <row r="18" spans="1:32" x14ac:dyDescent="0.25">
      <c r="A18" s="2">
        <v>14</v>
      </c>
      <c r="B18" s="29"/>
      <c r="C18" s="29"/>
      <c r="D18" s="29"/>
      <c r="E18" s="29"/>
      <c r="F18" s="29"/>
      <c r="G18" s="29"/>
      <c r="H18" s="29"/>
      <c r="I18" s="29"/>
      <c r="J18" s="29"/>
      <c r="K18" s="29"/>
      <c r="L18" s="29"/>
      <c r="M18" s="29"/>
      <c r="N18" s="29"/>
      <c r="O18" s="29"/>
      <c r="P18" s="29"/>
      <c r="Q18" s="29"/>
      <c r="S18" s="5" t="s">
        <v>108</v>
      </c>
      <c r="T18" s="5" t="s">
        <v>153</v>
      </c>
      <c r="U18" s="5"/>
    </row>
    <row r="19" spans="1:32" x14ac:dyDescent="0.25">
      <c r="A19" s="2">
        <v>15</v>
      </c>
      <c r="B19" s="29"/>
      <c r="C19" s="29"/>
      <c r="D19" s="29"/>
      <c r="E19" s="29"/>
      <c r="F19" s="29"/>
      <c r="G19" s="29"/>
      <c r="H19" s="29"/>
      <c r="I19" s="29"/>
      <c r="J19" s="29"/>
      <c r="K19" s="29"/>
      <c r="L19" s="29"/>
      <c r="M19" s="29"/>
      <c r="N19" s="29"/>
      <c r="O19" s="29"/>
      <c r="P19" s="29"/>
      <c r="Q19" s="29"/>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0"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0" x14ac:dyDescent="0.25">
      <c r="A34" s="29"/>
      <c r="B34" s="29"/>
      <c r="C34" s="29"/>
      <c r="D34" s="29"/>
      <c r="E34" s="29"/>
      <c r="F34" s="29"/>
      <c r="G34" s="29"/>
      <c r="H34" s="29"/>
      <c r="I34" s="29"/>
      <c r="J34" s="29"/>
      <c r="K34" s="29"/>
      <c r="L34" s="29"/>
      <c r="M34" s="29"/>
      <c r="N34" s="29"/>
      <c r="O34" s="29"/>
      <c r="P34" s="29"/>
      <c r="Q34" s="29"/>
      <c r="R34" s="29"/>
      <c r="S34" s="75"/>
      <c r="T34" s="75"/>
      <c r="U34" s="92"/>
      <c r="V34" s="29"/>
      <c r="W34" s="29"/>
      <c r="X34" s="29"/>
      <c r="Y34" s="29"/>
      <c r="Z34" s="29"/>
      <c r="AA34" s="29"/>
      <c r="AB34" s="29"/>
      <c r="AC34" s="29"/>
      <c r="AD34" s="29"/>
      <c r="AE34" s="29"/>
      <c r="AF34" s="29"/>
      <c r="AG34" s="29"/>
      <c r="AH34" s="29"/>
      <c r="AI34" s="29"/>
      <c r="AJ34" s="29"/>
      <c r="AK34" s="29"/>
      <c r="AL34" s="29"/>
      <c r="AM34" s="29"/>
      <c r="AN34" s="29"/>
    </row>
    <row r="35" spans="1:40" x14ac:dyDescent="0.25">
      <c r="A35" s="29"/>
      <c r="B35" s="29"/>
      <c r="C35" s="29"/>
      <c r="D35" s="29"/>
      <c r="E35" s="29"/>
      <c r="F35" s="29"/>
      <c r="G35" s="29"/>
      <c r="H35" s="29"/>
      <c r="I35" s="29"/>
      <c r="J35" s="29"/>
      <c r="K35" s="29"/>
      <c r="L35" s="29"/>
      <c r="M35" s="29"/>
      <c r="N35" s="29"/>
      <c r="O35" s="29"/>
      <c r="P35" s="29"/>
      <c r="Q35" s="29"/>
      <c r="R35" s="29"/>
      <c r="S35" s="75" t="s">
        <v>326</v>
      </c>
      <c r="T35" s="75"/>
      <c r="U35" s="92"/>
      <c r="V35" s="29"/>
      <c r="W35" s="29"/>
      <c r="X35" s="29"/>
      <c r="Y35" s="29"/>
      <c r="Z35" s="29"/>
      <c r="AA35" s="29"/>
      <c r="AB35" s="29"/>
      <c r="AC35" s="29"/>
      <c r="AD35" s="29"/>
      <c r="AE35" s="29"/>
      <c r="AF35" s="29"/>
      <c r="AG35" s="29"/>
      <c r="AH35" s="29"/>
      <c r="AI35" s="29"/>
      <c r="AJ35" s="29"/>
      <c r="AK35" s="29"/>
      <c r="AL35" s="29"/>
      <c r="AM35" s="29"/>
      <c r="AN35" s="29"/>
    </row>
    <row r="36" spans="1:40" x14ac:dyDescent="0.25">
      <c r="A36" s="29"/>
      <c r="B36" s="29"/>
      <c r="C36" s="29"/>
      <c r="D36" s="29"/>
      <c r="E36" s="29"/>
      <c r="F36" s="29"/>
      <c r="G36" s="29"/>
      <c r="H36" s="29"/>
      <c r="I36" s="29"/>
      <c r="J36" s="29"/>
      <c r="K36" s="29"/>
      <c r="L36" s="29"/>
      <c r="M36" s="29"/>
      <c r="N36" s="29"/>
      <c r="O36" s="29"/>
      <c r="P36" s="29"/>
      <c r="Q36" s="29"/>
      <c r="R36" s="29"/>
      <c r="S36" s="75" t="s">
        <v>271</v>
      </c>
      <c r="T36" s="75">
        <v>50</v>
      </c>
      <c r="U36" s="92" t="s">
        <v>44</v>
      </c>
      <c r="V36" s="29"/>
      <c r="W36" s="29"/>
      <c r="X36" s="29"/>
      <c r="Y36" s="29"/>
      <c r="Z36" s="29"/>
      <c r="AA36" s="29"/>
      <c r="AB36" s="29"/>
      <c r="AC36" s="29"/>
      <c r="AD36" s="29"/>
      <c r="AE36" s="29"/>
      <c r="AF36" s="29"/>
      <c r="AG36" s="29"/>
      <c r="AH36" s="29"/>
      <c r="AI36" s="29"/>
      <c r="AJ36" s="29"/>
      <c r="AK36" s="29"/>
      <c r="AL36" s="29"/>
      <c r="AM36" s="29"/>
      <c r="AN36" s="29"/>
    </row>
    <row r="37" spans="1:40" x14ac:dyDescent="0.25">
      <c r="A37" s="29"/>
      <c r="B37" s="29"/>
      <c r="C37" s="29"/>
      <c r="D37" s="29"/>
      <c r="E37" s="29"/>
      <c r="F37" s="29"/>
      <c r="G37" s="29"/>
      <c r="H37" s="29"/>
      <c r="I37" s="29"/>
      <c r="J37" s="29"/>
      <c r="K37" s="29"/>
      <c r="L37" s="29"/>
      <c r="M37" s="29"/>
      <c r="N37" s="29"/>
      <c r="O37" s="29"/>
      <c r="P37" s="29"/>
      <c r="Q37" s="29"/>
      <c r="R37" s="29"/>
      <c r="S37" s="75" t="s">
        <v>272</v>
      </c>
      <c r="T37" s="75">
        <v>50</v>
      </c>
      <c r="U37" s="92" t="s">
        <v>44</v>
      </c>
      <c r="V37" s="29"/>
      <c r="W37" s="29"/>
      <c r="X37" s="29"/>
      <c r="Y37" s="29"/>
      <c r="Z37" s="29"/>
      <c r="AA37" s="29"/>
      <c r="AB37" s="29"/>
      <c r="AC37" s="29"/>
      <c r="AD37" s="29"/>
      <c r="AE37" s="29"/>
      <c r="AF37" s="29"/>
      <c r="AG37" s="29"/>
      <c r="AH37" s="29"/>
      <c r="AI37" s="29"/>
      <c r="AJ37" s="29"/>
      <c r="AK37" s="29"/>
      <c r="AL37" s="29"/>
      <c r="AM37" s="29"/>
      <c r="AN37" s="29"/>
    </row>
    <row r="38" spans="1:40" x14ac:dyDescent="0.25">
      <c r="A38" s="29"/>
      <c r="B38" s="29"/>
      <c r="C38" s="29"/>
      <c r="D38" s="29"/>
      <c r="E38" s="29"/>
      <c r="F38" s="29"/>
      <c r="G38" s="29"/>
      <c r="H38" s="29"/>
      <c r="I38" s="29"/>
      <c r="J38" s="29"/>
      <c r="K38" s="29"/>
      <c r="L38" s="29"/>
      <c r="M38" s="29"/>
      <c r="N38" s="29"/>
      <c r="O38" s="29"/>
      <c r="P38" s="29"/>
      <c r="Q38" s="29"/>
      <c r="R38" s="29"/>
      <c r="S38" s="75" t="s">
        <v>179</v>
      </c>
      <c r="T38" s="75">
        <v>0.6</v>
      </c>
      <c r="U38" s="92" t="s">
        <v>44</v>
      </c>
      <c r="V38" s="29"/>
      <c r="W38" s="29"/>
      <c r="X38" s="29"/>
      <c r="Y38" s="29"/>
      <c r="Z38" s="29"/>
      <c r="AA38" s="29"/>
      <c r="AB38" s="29"/>
      <c r="AC38" s="29"/>
      <c r="AD38" s="29"/>
      <c r="AE38" s="29"/>
      <c r="AF38" s="29"/>
      <c r="AG38" s="29"/>
      <c r="AH38" s="29"/>
      <c r="AI38" s="29"/>
      <c r="AJ38" s="29"/>
      <c r="AK38" s="29"/>
      <c r="AL38" s="29"/>
      <c r="AM38" s="29"/>
      <c r="AN38" s="29"/>
    </row>
    <row r="39" spans="1:40" x14ac:dyDescent="0.25">
      <c r="A39" s="29"/>
      <c r="B39" s="29"/>
      <c r="C39" s="29"/>
      <c r="D39" s="29"/>
      <c r="E39" s="29"/>
      <c r="F39" s="29"/>
      <c r="G39" s="29"/>
      <c r="H39" s="29"/>
      <c r="I39" s="29"/>
      <c r="J39" s="29"/>
      <c r="K39" s="29"/>
      <c r="L39" s="29"/>
      <c r="M39" s="29"/>
      <c r="N39" s="29"/>
      <c r="O39" s="29"/>
      <c r="P39" s="29"/>
      <c r="Q39" s="29"/>
      <c r="R39" s="29"/>
      <c r="S39" s="75" t="s">
        <v>180</v>
      </c>
      <c r="T39" s="75">
        <v>0.2</v>
      </c>
      <c r="U39" s="92" t="s">
        <v>44</v>
      </c>
      <c r="V39" s="29"/>
      <c r="W39" s="29"/>
      <c r="X39" s="29"/>
      <c r="Y39" s="29"/>
      <c r="Z39" s="29"/>
      <c r="AA39" s="29"/>
      <c r="AB39" s="29"/>
      <c r="AC39" s="29"/>
      <c r="AD39" s="29"/>
      <c r="AE39" s="29"/>
      <c r="AF39" s="29"/>
      <c r="AG39" s="29"/>
      <c r="AH39" s="29"/>
      <c r="AI39" s="29"/>
      <c r="AJ39" s="29"/>
      <c r="AK39" s="29"/>
      <c r="AL39" s="29"/>
      <c r="AM39" s="29"/>
      <c r="AN39" s="29"/>
    </row>
    <row r="40" spans="1:40" x14ac:dyDescent="0.25">
      <c r="A40" s="29"/>
      <c r="B40" s="29"/>
      <c r="C40" s="29"/>
      <c r="D40" s="29"/>
      <c r="E40" s="29"/>
      <c r="F40" s="29"/>
      <c r="G40" s="29"/>
      <c r="H40" s="29"/>
      <c r="I40" s="29"/>
      <c r="J40" s="29"/>
      <c r="K40" s="29"/>
      <c r="L40" s="29"/>
      <c r="M40" s="29"/>
      <c r="N40" s="29"/>
      <c r="O40" s="29"/>
      <c r="P40" s="29"/>
      <c r="Q40" s="29"/>
      <c r="R40" s="29"/>
      <c r="S40" s="75" t="s">
        <v>136</v>
      </c>
      <c r="T40" s="75">
        <v>4</v>
      </c>
      <c r="U40" s="92" t="s">
        <v>89</v>
      </c>
      <c r="V40" s="29"/>
      <c r="W40" s="29"/>
      <c r="X40" s="29"/>
      <c r="Y40" s="29"/>
      <c r="Z40" s="29"/>
      <c r="AA40" s="29"/>
      <c r="AB40" s="29"/>
      <c r="AC40" s="29"/>
      <c r="AD40" s="29"/>
      <c r="AE40" s="29"/>
      <c r="AF40" s="29"/>
      <c r="AG40" s="29"/>
      <c r="AH40" s="29"/>
      <c r="AI40" s="29"/>
      <c r="AJ40" s="29"/>
      <c r="AK40" s="29"/>
      <c r="AL40" s="29"/>
      <c r="AM40" s="29"/>
      <c r="AN40" s="29"/>
    </row>
    <row r="41" spans="1:40" x14ac:dyDescent="0.25">
      <c r="A41" s="29"/>
      <c r="B41" s="29"/>
      <c r="C41" s="29"/>
      <c r="D41" s="29"/>
      <c r="E41" s="29"/>
      <c r="F41" s="29"/>
      <c r="G41" s="29"/>
      <c r="H41" s="29"/>
      <c r="I41" s="29"/>
      <c r="J41" s="29"/>
      <c r="K41" s="29"/>
      <c r="L41" s="29"/>
      <c r="M41" s="29"/>
      <c r="N41" s="29"/>
      <c r="O41" s="29"/>
      <c r="P41" s="29"/>
      <c r="Q41" s="29"/>
      <c r="R41" s="29"/>
      <c r="S41" s="75" t="s">
        <v>103</v>
      </c>
      <c r="T41" s="75">
        <v>16</v>
      </c>
      <c r="U41" s="92" t="s">
        <v>44</v>
      </c>
      <c r="V41" s="29"/>
      <c r="W41" s="29"/>
      <c r="X41" s="29"/>
      <c r="Y41" s="29"/>
      <c r="Z41" s="29"/>
      <c r="AA41" s="29"/>
      <c r="AB41" s="29"/>
      <c r="AC41" s="29"/>
      <c r="AD41" s="29"/>
      <c r="AE41" s="29"/>
      <c r="AF41" s="29"/>
      <c r="AG41" s="29"/>
      <c r="AH41" s="29"/>
      <c r="AI41" s="29"/>
      <c r="AJ41" s="29"/>
      <c r="AK41" s="29"/>
      <c r="AL41" s="29"/>
      <c r="AM41" s="29"/>
      <c r="AN41" s="29"/>
    </row>
    <row r="42" spans="1:40" x14ac:dyDescent="0.25">
      <c r="A42" s="29"/>
      <c r="B42" s="29"/>
      <c r="C42" s="29"/>
      <c r="D42" s="29"/>
      <c r="E42" s="29"/>
      <c r="F42" s="29"/>
      <c r="G42" s="29"/>
      <c r="H42" s="29"/>
      <c r="I42" s="29"/>
      <c r="J42" s="29"/>
      <c r="K42" s="29"/>
      <c r="L42" s="29"/>
      <c r="M42" s="29"/>
      <c r="N42" s="29"/>
      <c r="O42" s="29"/>
      <c r="P42" s="29"/>
      <c r="Q42" s="29"/>
      <c r="R42" s="29"/>
      <c r="S42" s="75" t="s">
        <v>274</v>
      </c>
      <c r="T42" s="75">
        <v>40</v>
      </c>
      <c r="U42" s="92" t="s">
        <v>89</v>
      </c>
      <c r="V42" s="29"/>
      <c r="W42" s="29"/>
      <c r="X42" s="29"/>
      <c r="Y42" s="29"/>
      <c r="Z42" s="29"/>
      <c r="AA42" s="29"/>
      <c r="AB42" s="29"/>
      <c r="AC42" s="29"/>
      <c r="AD42" s="29"/>
      <c r="AE42" s="29"/>
      <c r="AF42" s="29"/>
      <c r="AG42" s="29"/>
      <c r="AH42" s="29"/>
      <c r="AI42" s="29"/>
      <c r="AJ42" s="29"/>
      <c r="AK42" s="29"/>
      <c r="AL42" s="29"/>
      <c r="AM42" s="29"/>
      <c r="AN42" s="29"/>
    </row>
    <row r="43" spans="1:40" x14ac:dyDescent="0.25">
      <c r="A43" s="29"/>
      <c r="B43" s="29"/>
      <c r="C43" s="29"/>
      <c r="D43" s="29"/>
      <c r="E43" s="29"/>
      <c r="F43" s="29"/>
      <c r="G43" s="29"/>
      <c r="H43" s="29"/>
      <c r="I43" s="29"/>
      <c r="J43" s="29"/>
      <c r="K43" s="29"/>
      <c r="L43" s="29"/>
      <c r="M43" s="29"/>
      <c r="N43" s="29"/>
      <c r="O43" s="29"/>
      <c r="P43" s="29"/>
      <c r="Q43" s="29"/>
      <c r="R43" s="29"/>
      <c r="S43" s="75" t="s">
        <v>101</v>
      </c>
      <c r="T43" s="75">
        <v>90</v>
      </c>
      <c r="U43" s="92" t="s">
        <v>137</v>
      </c>
      <c r="V43" s="29"/>
      <c r="W43" s="29"/>
      <c r="X43" s="29"/>
      <c r="Y43" s="29"/>
      <c r="Z43" s="29"/>
      <c r="AA43" s="29"/>
      <c r="AB43" s="29"/>
      <c r="AC43" s="29"/>
      <c r="AD43" s="29"/>
      <c r="AE43" s="29"/>
      <c r="AF43" s="29"/>
      <c r="AG43" s="29"/>
      <c r="AH43" s="29"/>
      <c r="AI43" s="29"/>
      <c r="AJ43" s="29"/>
      <c r="AK43" s="29"/>
      <c r="AL43" s="29"/>
      <c r="AM43" s="29"/>
      <c r="AN43" s="29"/>
    </row>
    <row r="44" spans="1:40" x14ac:dyDescent="0.25">
      <c r="A44" s="29"/>
      <c r="B44" s="29"/>
      <c r="C44" s="29"/>
      <c r="D44" s="29"/>
      <c r="E44" s="29"/>
      <c r="F44" s="29"/>
      <c r="G44" s="29"/>
      <c r="H44" s="29"/>
      <c r="I44" s="29"/>
      <c r="J44" s="29"/>
      <c r="K44" s="29"/>
      <c r="L44" s="29"/>
      <c r="M44" s="29"/>
      <c r="N44" s="29"/>
      <c r="O44" s="29"/>
      <c r="P44" s="29"/>
      <c r="Q44" s="29"/>
      <c r="R44" s="29"/>
      <c r="S44" s="75"/>
      <c r="T44" s="75"/>
      <c r="U44" s="92" t="s">
        <v>109</v>
      </c>
      <c r="V44" s="29"/>
      <c r="W44" s="29"/>
      <c r="X44" s="29"/>
      <c r="Y44" s="29"/>
      <c r="Z44" s="29"/>
      <c r="AA44" s="29"/>
      <c r="AB44" s="29"/>
      <c r="AC44" s="29"/>
      <c r="AD44" s="29"/>
      <c r="AE44" s="29"/>
      <c r="AF44" s="29"/>
      <c r="AG44" s="29"/>
      <c r="AH44" s="29"/>
      <c r="AI44" s="29"/>
      <c r="AJ44" s="29"/>
      <c r="AK44" s="29"/>
      <c r="AL44" s="29"/>
      <c r="AM44" s="29"/>
      <c r="AN44" s="29"/>
    </row>
    <row r="45" spans="1:40" x14ac:dyDescent="0.25">
      <c r="A45" s="29"/>
      <c r="B45" s="29"/>
      <c r="C45" s="29"/>
      <c r="D45" s="29"/>
      <c r="E45" s="29"/>
      <c r="F45" s="29"/>
      <c r="G45" s="29"/>
      <c r="H45" s="29"/>
      <c r="I45" s="29"/>
      <c r="J45" s="29"/>
      <c r="K45" s="29"/>
      <c r="L45" s="29"/>
      <c r="M45" s="29"/>
      <c r="N45" s="29"/>
      <c r="O45" s="29"/>
      <c r="P45" s="29"/>
      <c r="Q45" s="29"/>
      <c r="R45" s="29"/>
      <c r="S45" s="75"/>
      <c r="T45" s="75"/>
      <c r="U45" s="92" t="s">
        <v>109</v>
      </c>
      <c r="V45" s="29"/>
      <c r="W45" s="29"/>
      <c r="X45" s="29"/>
      <c r="Y45" s="29"/>
      <c r="Z45" s="29"/>
      <c r="AA45" s="29"/>
      <c r="AB45" s="29"/>
      <c r="AC45" s="29"/>
      <c r="AD45" s="29"/>
      <c r="AE45" s="29"/>
      <c r="AF45" s="29"/>
      <c r="AG45" s="29"/>
      <c r="AH45" s="29"/>
      <c r="AI45" s="29"/>
      <c r="AJ45" s="29"/>
      <c r="AK45" s="29"/>
      <c r="AL45" s="29"/>
      <c r="AM45" s="29"/>
      <c r="AN45" s="29"/>
    </row>
    <row r="46" spans="1:40" x14ac:dyDescent="0.25">
      <c r="A46" s="29"/>
      <c r="B46" s="29"/>
      <c r="C46" s="29"/>
      <c r="D46" s="29"/>
      <c r="E46" s="29"/>
      <c r="F46" s="29"/>
      <c r="G46" s="29"/>
      <c r="H46" s="29"/>
      <c r="I46" s="29"/>
      <c r="J46" s="29"/>
      <c r="K46" s="29"/>
      <c r="L46" s="29"/>
      <c r="M46" s="29"/>
      <c r="N46" s="29"/>
      <c r="O46" s="29"/>
      <c r="P46" s="29"/>
      <c r="Q46" s="29"/>
      <c r="R46" s="29"/>
      <c r="S46" s="77" t="s">
        <v>327</v>
      </c>
      <c r="T46" s="77"/>
      <c r="U46" s="92"/>
      <c r="V46" s="29"/>
      <c r="W46" s="29"/>
      <c r="X46" s="29"/>
      <c r="Y46" s="29"/>
      <c r="Z46" s="29"/>
      <c r="AA46" s="29"/>
      <c r="AB46" s="29"/>
      <c r="AC46" s="29"/>
      <c r="AD46" s="29"/>
      <c r="AE46" s="29"/>
      <c r="AF46" s="29"/>
      <c r="AG46" s="29"/>
      <c r="AH46" s="29"/>
      <c r="AI46" s="29"/>
      <c r="AJ46" s="29"/>
      <c r="AK46" s="29"/>
      <c r="AL46" s="29"/>
      <c r="AM46" s="29"/>
      <c r="AN46" s="29"/>
    </row>
    <row r="47" spans="1:40" x14ac:dyDescent="0.25">
      <c r="A47" s="29"/>
      <c r="B47" s="29"/>
      <c r="C47" s="29"/>
      <c r="D47" s="29"/>
      <c r="E47" s="29"/>
      <c r="F47" s="29"/>
      <c r="G47" s="29"/>
      <c r="H47" s="29"/>
      <c r="I47" s="29"/>
      <c r="J47" s="29"/>
      <c r="K47" s="29"/>
      <c r="L47" s="29"/>
      <c r="M47" s="29"/>
      <c r="N47" s="29"/>
      <c r="O47" s="29"/>
      <c r="P47" s="29"/>
      <c r="Q47" s="29"/>
      <c r="R47" s="29"/>
      <c r="S47" s="77" t="s">
        <v>104</v>
      </c>
      <c r="T47" s="77" t="e">
        <f>Period/2</f>
        <v>#NAME?</v>
      </c>
      <c r="U47" s="92" t="s">
        <v>44</v>
      </c>
      <c r="V47" s="29"/>
      <c r="W47" s="29"/>
      <c r="X47" s="29"/>
      <c r="Y47" s="29"/>
      <c r="Z47" s="29"/>
      <c r="AA47" s="29"/>
      <c r="AB47" s="29"/>
      <c r="AC47" s="29"/>
      <c r="AD47" s="29"/>
      <c r="AE47" s="29"/>
      <c r="AF47" s="29"/>
      <c r="AG47" s="29"/>
      <c r="AH47" s="29"/>
      <c r="AI47" s="29"/>
      <c r="AJ47" s="29"/>
      <c r="AK47" s="29"/>
      <c r="AL47" s="29"/>
      <c r="AM47" s="29"/>
      <c r="AN47" s="29"/>
    </row>
    <row r="48" spans="1:40" x14ac:dyDescent="0.25">
      <c r="A48" s="29"/>
      <c r="B48" s="29"/>
      <c r="C48" s="29"/>
      <c r="D48" s="29"/>
      <c r="E48" s="29"/>
      <c r="F48" s="29"/>
      <c r="G48" s="29"/>
      <c r="H48" s="29"/>
      <c r="I48" s="29"/>
      <c r="J48" s="29"/>
      <c r="K48" s="29"/>
      <c r="L48" s="29"/>
      <c r="M48" s="29"/>
      <c r="N48" s="29"/>
      <c r="O48" s="29"/>
      <c r="P48" s="29"/>
      <c r="Q48" s="29"/>
      <c r="R48" s="29"/>
      <c r="S48" s="77" t="s">
        <v>105</v>
      </c>
      <c r="T48" s="77" t="e">
        <f>Period/4</f>
        <v>#NAME?</v>
      </c>
      <c r="U48" s="92" t="s">
        <v>44</v>
      </c>
      <c r="V48" s="29"/>
      <c r="W48" s="29"/>
      <c r="X48" s="29"/>
      <c r="Y48" s="29"/>
      <c r="Z48" s="29"/>
      <c r="AA48" s="29"/>
      <c r="AB48" s="29"/>
      <c r="AC48" s="29"/>
      <c r="AD48" s="29"/>
      <c r="AE48" s="29"/>
      <c r="AF48" s="29"/>
      <c r="AG48" s="29"/>
      <c r="AH48" s="29"/>
      <c r="AI48" s="29"/>
      <c r="AJ48" s="29"/>
      <c r="AK48" s="29"/>
      <c r="AL48" s="29"/>
      <c r="AM48" s="29"/>
      <c r="AN48" s="29"/>
    </row>
    <row r="49" spans="1:46" x14ac:dyDescent="0.25">
      <c r="S49" s="77" t="s">
        <v>102</v>
      </c>
      <c r="T49" s="77" t="e">
        <f>ArcAngle/2</f>
        <v>#NAME?</v>
      </c>
      <c r="U49" s="92" t="s">
        <v>137</v>
      </c>
    </row>
    <row r="50" spans="1:46" x14ac:dyDescent="0.25">
      <c r="S50" s="77" t="s">
        <v>276</v>
      </c>
      <c r="T50" s="77" t="e">
        <f>NumberOfLayers*SecondLayerOffset</f>
        <v>#NAME?</v>
      </c>
      <c r="U50" s="92" t="s">
        <v>44</v>
      </c>
    </row>
    <row r="51" spans="1:46" x14ac:dyDescent="0.25">
      <c r="S51" s="77" t="s">
        <v>275</v>
      </c>
      <c r="T51" s="77">
        <f>_xlfn.SINGLE(Height)/2</f>
        <v>15</v>
      </c>
      <c r="U51" s="92" t="s">
        <v>44</v>
      </c>
    </row>
    <row r="53" spans="1:46" x14ac:dyDescent="0.25">
      <c r="A53" s="58" t="s">
        <v>129</v>
      </c>
      <c r="B53" s="2" t="s">
        <v>322</v>
      </c>
      <c r="C53" s="58" t="s">
        <v>128</v>
      </c>
      <c r="D53" s="2" t="s">
        <v>334</v>
      </c>
      <c r="E53" s="29"/>
      <c r="F53" s="29"/>
      <c r="G53" s="29"/>
      <c r="H53" s="29"/>
      <c r="I53" s="29"/>
      <c r="J53" s="29"/>
      <c r="K53" s="29"/>
      <c r="L53" s="29"/>
      <c r="M53" s="29"/>
      <c r="N53" s="29"/>
      <c r="O53" s="29"/>
      <c r="P53" s="29"/>
      <c r="AO53" t="s">
        <v>130</v>
      </c>
      <c r="AP53" t="s">
        <v>321</v>
      </c>
      <c r="AQ53" t="s">
        <v>129</v>
      </c>
      <c r="AR53" t="s">
        <v>322</v>
      </c>
      <c r="AS53" t="s">
        <v>128</v>
      </c>
      <c r="AT53" t="s">
        <v>334</v>
      </c>
    </row>
    <row r="54" spans="1:46" x14ac:dyDescent="0.25">
      <c r="A54" s="40" t="s">
        <v>0</v>
      </c>
      <c r="B54" s="41"/>
      <c r="C54" s="18"/>
      <c r="D54" s="18"/>
      <c r="E54" s="18"/>
      <c r="F54" s="18"/>
      <c r="G54" s="18"/>
      <c r="H54" s="18"/>
      <c r="I54" s="18"/>
      <c r="J54" s="18"/>
      <c r="K54" s="18"/>
      <c r="L54" s="18"/>
      <c r="M54" s="18"/>
      <c r="N54" s="18"/>
      <c r="O54" s="18"/>
      <c r="P54" s="18"/>
      <c r="Q54" s="58" t="s">
        <v>289</v>
      </c>
    </row>
    <row r="55" spans="1:46" x14ac:dyDescent="0.25">
      <c r="A55" s="20">
        <v>1</v>
      </c>
      <c r="B55" s="28" t="s">
        <v>1</v>
      </c>
      <c r="C55" s="28" t="s">
        <v>18</v>
      </c>
      <c r="D55" s="28">
        <v>50</v>
      </c>
      <c r="E55" s="28">
        <v>50</v>
      </c>
      <c r="F55" s="28">
        <v>0</v>
      </c>
      <c r="G55" s="28" t="s">
        <v>100</v>
      </c>
      <c r="H55" s="28" t="s">
        <v>126</v>
      </c>
      <c r="I55" s="28" t="s">
        <v>100</v>
      </c>
      <c r="J55" s="28" t="s">
        <v>19</v>
      </c>
      <c r="K55" s="28" t="e">
        <f>ShoulderThickness</f>
        <v>#NAME?</v>
      </c>
      <c r="L55" s="28" t="e">
        <f>LayerHeight</f>
        <v>#NAME?</v>
      </c>
      <c r="M55" s="28"/>
      <c r="N55" s="28"/>
      <c r="O55" s="28"/>
      <c r="P55" s="28"/>
      <c r="Q55" s="6" t="s">
        <v>310</v>
      </c>
      <c r="S55" s="95" t="s">
        <v>40</v>
      </c>
      <c r="T55" s="3"/>
      <c r="U55" s="5"/>
    </row>
    <row r="56" spans="1:46" x14ac:dyDescent="0.25">
      <c r="A56" s="20">
        <v>2</v>
      </c>
      <c r="B56" s="26" t="s">
        <v>54</v>
      </c>
      <c r="C56" s="19" t="s">
        <v>290</v>
      </c>
      <c r="D56" s="26">
        <f>50+(45/2)</f>
        <v>72.5</v>
      </c>
      <c r="E56" s="26">
        <f>50+(45/2)</f>
        <v>72.5</v>
      </c>
      <c r="F56" s="26">
        <v>-90</v>
      </c>
      <c r="G56" s="26">
        <v>0</v>
      </c>
      <c r="H56" s="26">
        <v>3</v>
      </c>
      <c r="I56" s="26"/>
      <c r="J56" s="26"/>
      <c r="K56" s="26"/>
      <c r="L56" s="26"/>
      <c r="M56" s="26"/>
      <c r="N56" s="26"/>
      <c r="O56" s="26"/>
      <c r="P56" s="26"/>
      <c r="Q56" s="24" t="s">
        <v>311</v>
      </c>
      <c r="S56" s="5" t="s">
        <v>98</v>
      </c>
      <c r="T56" s="5">
        <v>0.2</v>
      </c>
      <c r="U56" s="5" t="s">
        <v>44</v>
      </c>
    </row>
    <row r="57" spans="1:46" x14ac:dyDescent="0.25">
      <c r="A57" s="20">
        <v>3</v>
      </c>
      <c r="B57" s="23" t="s">
        <v>55</v>
      </c>
      <c r="C57" s="22" t="s">
        <v>285</v>
      </c>
      <c r="D57" s="23">
        <v>0</v>
      </c>
      <c r="E57" s="23">
        <v>0</v>
      </c>
      <c r="F57" s="23" t="e">
        <f>LayerHeight</f>
        <v>#NAME?</v>
      </c>
      <c r="G57" s="23" t="e">
        <f>(45/LayerHeight)-1</f>
        <v>#NAME?</v>
      </c>
      <c r="H57" s="23"/>
      <c r="I57" s="23"/>
      <c r="J57" s="23"/>
      <c r="K57" s="23"/>
      <c r="L57" s="23"/>
      <c r="M57" s="23"/>
      <c r="N57" s="23"/>
      <c r="O57" s="23"/>
      <c r="P57" s="23"/>
      <c r="Q57" s="7" t="s">
        <v>312</v>
      </c>
      <c r="S57" s="5" t="s">
        <v>87</v>
      </c>
      <c r="T57" s="5">
        <v>1</v>
      </c>
      <c r="U57" s="5" t="s">
        <v>89</v>
      </c>
    </row>
    <row r="58" spans="1:46" x14ac:dyDescent="0.25">
      <c r="A58" s="20">
        <v>4</v>
      </c>
      <c r="B58" s="35" t="s">
        <v>52</v>
      </c>
      <c r="C58" s="35">
        <v>3</v>
      </c>
      <c r="D58" s="36" t="s">
        <v>22</v>
      </c>
      <c r="E58" s="35" t="e">
        <f>14/LayerHeight-1</f>
        <v>#NAME?</v>
      </c>
      <c r="F58" s="35" t="e">
        <f>(14+1.4)/LayerHeight-1</f>
        <v>#NAME?</v>
      </c>
      <c r="G58" s="35" t="s">
        <v>24</v>
      </c>
      <c r="H58" s="35" t="e">
        <f>-(ShoulderThickness-GaugeThickness)/(F58-E58)</f>
        <v>#NAME?</v>
      </c>
      <c r="I58" s="35"/>
      <c r="J58" s="35"/>
      <c r="K58" s="35"/>
      <c r="L58" s="35"/>
      <c r="M58" s="35"/>
      <c r="N58" s="35"/>
      <c r="O58" s="35"/>
      <c r="P58" s="35"/>
      <c r="Q58" s="9" t="s">
        <v>314</v>
      </c>
      <c r="S58" s="5" t="s">
        <v>88</v>
      </c>
      <c r="T58" s="5">
        <v>1</v>
      </c>
      <c r="U58" s="5" t="s">
        <v>89</v>
      </c>
    </row>
    <row r="59" spans="1:46" x14ac:dyDescent="0.25">
      <c r="A59" s="20">
        <v>5</v>
      </c>
      <c r="B59" s="37" t="s">
        <v>52</v>
      </c>
      <c r="C59" s="37">
        <v>3</v>
      </c>
      <c r="D59" s="38" t="s">
        <v>22</v>
      </c>
      <c r="E59" s="37" t="e">
        <f>(14+1.4)/LayerHeight-1</f>
        <v>#NAME?</v>
      </c>
      <c r="F59" s="37" t="e">
        <f>(14+1.4+14)/LayerHeight-1</f>
        <v>#NAME?</v>
      </c>
      <c r="G59" s="37" t="s">
        <v>15</v>
      </c>
      <c r="H59" s="37" t="e">
        <f>GaugeThickness</f>
        <v>#NAME?</v>
      </c>
      <c r="I59" s="37"/>
      <c r="J59" s="37"/>
      <c r="K59" s="37"/>
      <c r="L59" s="37"/>
      <c r="M59" s="37"/>
      <c r="N59" s="37"/>
      <c r="O59" s="37"/>
      <c r="P59" s="37"/>
      <c r="Q59" s="17" t="s">
        <v>313</v>
      </c>
      <c r="S59" s="5" t="s">
        <v>193</v>
      </c>
      <c r="T59" s="5" t="s">
        <v>204</v>
      </c>
      <c r="U59" s="5"/>
    </row>
    <row r="60" spans="1:46" x14ac:dyDescent="0.25">
      <c r="A60" s="20">
        <v>6</v>
      </c>
      <c r="B60" s="27" t="s">
        <v>52</v>
      </c>
      <c r="C60" s="27">
        <v>3</v>
      </c>
      <c r="D60" s="39" t="s">
        <v>22</v>
      </c>
      <c r="E60" s="27" t="e">
        <f>(14+1.4+14)/LayerHeight-1</f>
        <v>#NAME?</v>
      </c>
      <c r="F60" s="27" t="e">
        <f>(14+1.4+14+1.4)/LayerHeight-1</f>
        <v>#NAME?</v>
      </c>
      <c r="G60" s="27" t="s">
        <v>15</v>
      </c>
      <c r="H60" s="27" t="e">
        <f>GaugeThickness</f>
        <v>#NAME?</v>
      </c>
      <c r="I60" s="27"/>
      <c r="J60" s="27"/>
      <c r="K60" s="27"/>
      <c r="L60" s="27"/>
      <c r="M60" s="27"/>
      <c r="N60" s="27"/>
      <c r="O60" s="27"/>
      <c r="P60" s="27"/>
      <c r="Q60" s="16" t="s">
        <v>316</v>
      </c>
      <c r="S60" s="5" t="s">
        <v>194</v>
      </c>
      <c r="T60" s="5">
        <v>0</v>
      </c>
      <c r="U60" s="5"/>
    </row>
    <row r="61" spans="1:46" x14ac:dyDescent="0.25">
      <c r="A61" s="20">
        <v>7</v>
      </c>
      <c r="B61" s="27" t="s">
        <v>52</v>
      </c>
      <c r="C61" s="27">
        <v>3</v>
      </c>
      <c r="D61" s="39" t="s">
        <v>22</v>
      </c>
      <c r="E61" s="27" t="e">
        <f>(14+1.4+14)/LayerHeight-1</f>
        <v>#NAME?</v>
      </c>
      <c r="F61" s="27" t="e">
        <f>(14+1.4+14+1.4)/LayerHeight-1</f>
        <v>#NAME?</v>
      </c>
      <c r="G61" s="27" t="s">
        <v>24</v>
      </c>
      <c r="H61" s="27" t="e">
        <f>(ShoulderThickness-GaugeThickness)/(F61-E61)</f>
        <v>#NAME?</v>
      </c>
      <c r="I61" s="27"/>
      <c r="J61" s="27"/>
      <c r="K61" s="27"/>
      <c r="L61" s="27"/>
      <c r="M61" s="27"/>
      <c r="N61" s="27"/>
      <c r="O61" s="27"/>
      <c r="P61" s="27"/>
      <c r="Q61" s="16" t="s">
        <v>315</v>
      </c>
      <c r="S61" s="57"/>
      <c r="T61" s="57"/>
      <c r="U61" s="90"/>
    </row>
    <row r="62" spans="1:46" x14ac:dyDescent="0.25">
      <c r="A62" s="20">
        <v>8</v>
      </c>
      <c r="B62" s="20"/>
      <c r="C62" s="20"/>
      <c r="D62" s="20"/>
      <c r="E62" s="20"/>
      <c r="F62" s="20"/>
      <c r="G62" s="20"/>
      <c r="H62" s="20"/>
      <c r="I62" s="20"/>
      <c r="J62" s="20"/>
      <c r="K62" s="20"/>
      <c r="L62" s="20"/>
      <c r="M62" s="20"/>
      <c r="N62" s="20"/>
      <c r="O62" s="20"/>
      <c r="P62" s="20"/>
      <c r="Q62" s="20"/>
      <c r="S62" s="5" t="s">
        <v>338</v>
      </c>
      <c r="T62" s="5">
        <v>60</v>
      </c>
      <c r="U62" s="5" t="s">
        <v>43</v>
      </c>
      <c r="V62" s="1"/>
    </row>
    <row r="63" spans="1:46" x14ac:dyDescent="0.25">
      <c r="A63" s="20">
        <v>9</v>
      </c>
      <c r="B63" s="20"/>
      <c r="C63" s="20"/>
      <c r="D63" s="20" t="s">
        <v>317</v>
      </c>
      <c r="E63" s="20"/>
      <c r="F63" s="46" t="s">
        <v>318</v>
      </c>
      <c r="G63" s="20"/>
      <c r="H63" s="20"/>
      <c r="I63" s="20"/>
      <c r="J63" s="20"/>
      <c r="K63" s="20"/>
      <c r="L63" s="20"/>
      <c r="M63" s="20"/>
      <c r="N63" s="20"/>
      <c r="O63" s="20"/>
      <c r="P63" s="20"/>
      <c r="Q63" s="20"/>
      <c r="S63" s="5" t="s">
        <v>85</v>
      </c>
      <c r="T63" s="5">
        <v>1000</v>
      </c>
      <c r="U63" s="5" t="s">
        <v>45</v>
      </c>
    </row>
    <row r="64" spans="1:46" x14ac:dyDescent="0.25">
      <c r="A64" s="20">
        <v>10</v>
      </c>
      <c r="B64" s="20"/>
      <c r="C64" s="20"/>
      <c r="D64" s="20"/>
      <c r="E64" s="20"/>
      <c r="F64" s="46" t="s">
        <v>319</v>
      </c>
      <c r="G64" s="20"/>
      <c r="H64" s="20"/>
      <c r="I64" s="20"/>
      <c r="J64" s="20"/>
      <c r="K64" s="20"/>
      <c r="L64" s="20"/>
      <c r="M64" s="20"/>
      <c r="N64" s="20"/>
      <c r="O64" s="20"/>
      <c r="P64" s="20"/>
      <c r="Q64" s="20"/>
      <c r="S64" s="5" t="s">
        <v>86</v>
      </c>
      <c r="T64" s="5">
        <v>9000</v>
      </c>
      <c r="U64" s="5" t="s">
        <v>45</v>
      </c>
    </row>
    <row r="65" spans="1:22" x14ac:dyDescent="0.25">
      <c r="A65" s="20">
        <v>11</v>
      </c>
      <c r="B65" s="20"/>
      <c r="C65" s="20"/>
      <c r="D65" s="20"/>
      <c r="E65" s="20"/>
      <c r="F65" s="46" t="s">
        <v>320</v>
      </c>
      <c r="G65" s="20"/>
      <c r="H65" s="20"/>
      <c r="I65" s="20"/>
      <c r="J65" s="20"/>
      <c r="K65" s="20"/>
      <c r="L65" s="20"/>
      <c r="M65" s="20"/>
      <c r="N65" s="20"/>
      <c r="O65" s="20"/>
      <c r="P65" s="20"/>
      <c r="Q65" s="20"/>
      <c r="S65" s="5" t="s">
        <v>41</v>
      </c>
      <c r="T65" s="5">
        <v>210</v>
      </c>
      <c r="U65" s="5" t="s">
        <v>43</v>
      </c>
      <c r="V65" s="1"/>
    </row>
    <row r="66" spans="1:22" x14ac:dyDescent="0.25">
      <c r="A66" s="29"/>
      <c r="B66" s="29"/>
      <c r="C66" s="29"/>
      <c r="D66" s="29"/>
      <c r="E66" s="29"/>
      <c r="F66" s="29"/>
      <c r="G66" s="29"/>
      <c r="H66" s="29"/>
      <c r="I66" s="29"/>
      <c r="J66" s="29"/>
      <c r="K66" s="29"/>
      <c r="L66" s="29"/>
      <c r="M66" s="29"/>
      <c r="N66" s="29"/>
      <c r="O66" s="29"/>
      <c r="P66" s="29"/>
      <c r="Q66" s="29"/>
      <c r="S66" s="5" t="s">
        <v>42</v>
      </c>
      <c r="T66" s="5">
        <v>2.85</v>
      </c>
      <c r="U66" s="5" t="s">
        <v>44</v>
      </c>
    </row>
    <row r="67" spans="1:22" x14ac:dyDescent="0.25">
      <c r="A67" s="29"/>
      <c r="B67" s="29"/>
      <c r="C67" s="29"/>
      <c r="D67" s="29"/>
      <c r="E67" s="29"/>
      <c r="F67" s="29"/>
      <c r="G67" s="29"/>
      <c r="H67" s="29"/>
      <c r="I67" s="29"/>
      <c r="J67" s="29"/>
      <c r="K67" s="29"/>
      <c r="L67" s="29"/>
      <c r="M67" s="29"/>
      <c r="N67" s="29"/>
      <c r="O67" s="29"/>
      <c r="P67" s="29"/>
      <c r="Q67" s="29"/>
      <c r="S67" s="5" t="s">
        <v>46</v>
      </c>
      <c r="T67" s="5" t="s">
        <v>82</v>
      </c>
      <c r="U67" s="5" t="s">
        <v>90</v>
      </c>
    </row>
    <row r="68" spans="1:22" x14ac:dyDescent="0.25">
      <c r="A68" s="29"/>
      <c r="B68" s="29"/>
      <c r="C68" s="29"/>
      <c r="D68" s="29"/>
      <c r="E68" s="29"/>
      <c r="F68" s="29"/>
      <c r="G68" s="29"/>
      <c r="H68" s="29"/>
      <c r="I68" s="29"/>
      <c r="J68" s="29"/>
      <c r="K68" s="29"/>
      <c r="L68" s="29"/>
      <c r="M68" s="29"/>
      <c r="N68" s="29"/>
      <c r="O68" s="29"/>
      <c r="P68" s="29"/>
      <c r="Q68" s="29"/>
      <c r="S68" s="5" t="s">
        <v>108</v>
      </c>
      <c r="T68" s="5" t="s">
        <v>153</v>
      </c>
      <c r="U68" s="5"/>
    </row>
    <row r="69" spans="1:22" x14ac:dyDescent="0.25">
      <c r="A69" s="29"/>
      <c r="B69" s="29"/>
      <c r="C69" s="29"/>
      <c r="D69" s="29"/>
      <c r="E69" s="29"/>
      <c r="F69" s="29"/>
      <c r="G69" s="29"/>
      <c r="H69" s="29"/>
      <c r="I69" s="29"/>
      <c r="J69" s="29"/>
      <c r="K69" s="29"/>
      <c r="L69" s="29"/>
      <c r="M69" s="29"/>
      <c r="N69" s="29"/>
      <c r="O69" s="29"/>
      <c r="P69" s="29"/>
      <c r="Q69" s="29"/>
      <c r="S69" s="5" t="s">
        <v>152</v>
      </c>
      <c r="T69" s="5" t="s">
        <v>125</v>
      </c>
      <c r="U69" s="5"/>
    </row>
    <row r="70" spans="1:22" x14ac:dyDescent="0.25">
      <c r="A70" s="29"/>
      <c r="B70" s="29"/>
      <c r="C70" s="29"/>
      <c r="D70" s="29"/>
      <c r="E70" s="29"/>
      <c r="F70" s="29"/>
      <c r="G70" s="29"/>
      <c r="H70" s="29"/>
      <c r="I70" s="29"/>
      <c r="J70" s="29"/>
      <c r="K70" s="29"/>
      <c r="L70" s="29"/>
      <c r="M70" s="29"/>
      <c r="N70" s="29"/>
      <c r="O70" s="29"/>
      <c r="P70" s="29"/>
      <c r="Q70" s="29"/>
      <c r="S70" s="5" t="s">
        <v>167</v>
      </c>
      <c r="T70" s="5">
        <v>20</v>
      </c>
      <c r="U70" s="5" t="s">
        <v>44</v>
      </c>
    </row>
    <row r="71" spans="1:22" x14ac:dyDescent="0.25">
      <c r="A71" s="29"/>
      <c r="B71" s="29"/>
      <c r="C71" s="29"/>
      <c r="D71" s="29"/>
      <c r="E71" s="29"/>
      <c r="F71" s="29"/>
      <c r="G71" s="29"/>
      <c r="H71" s="29"/>
      <c r="I71" s="29"/>
      <c r="J71" s="29"/>
      <c r="K71" s="29"/>
      <c r="L71" s="29"/>
      <c r="M71" s="29"/>
      <c r="N71" s="29"/>
      <c r="O71" s="29"/>
      <c r="P71" s="29"/>
      <c r="Q71" s="29"/>
      <c r="S71" s="5" t="s">
        <v>168</v>
      </c>
      <c r="T71" s="5">
        <v>10</v>
      </c>
      <c r="U71" s="5" t="s">
        <v>44</v>
      </c>
    </row>
    <row r="72" spans="1:22" x14ac:dyDescent="0.25">
      <c r="A72" s="29"/>
      <c r="B72" s="29"/>
      <c r="C72" s="29"/>
      <c r="D72" s="29"/>
      <c r="E72" s="29"/>
      <c r="F72" s="29"/>
      <c r="G72" s="29"/>
      <c r="H72" s="29"/>
      <c r="I72" s="29"/>
      <c r="J72" s="29"/>
      <c r="K72" s="29"/>
      <c r="L72" s="29"/>
      <c r="M72" s="29"/>
      <c r="N72" s="29"/>
      <c r="O72" s="29"/>
      <c r="P72" s="29"/>
      <c r="Q72" s="29"/>
      <c r="S72" s="5" t="s">
        <v>169</v>
      </c>
      <c r="T72" s="5">
        <v>0.3</v>
      </c>
      <c r="U72" s="5" t="s">
        <v>44</v>
      </c>
    </row>
    <row r="73" spans="1:22" x14ac:dyDescent="0.25">
      <c r="A73" s="29"/>
      <c r="B73" s="29"/>
      <c r="C73" s="29"/>
      <c r="D73" s="29"/>
      <c r="E73" s="29"/>
      <c r="F73" s="29"/>
      <c r="G73" s="29"/>
      <c r="H73" s="29"/>
      <c r="I73" s="29"/>
      <c r="J73" s="29"/>
      <c r="K73" s="29"/>
      <c r="L73" s="29"/>
      <c r="M73" s="29"/>
      <c r="N73" s="29"/>
      <c r="O73" s="29"/>
      <c r="P73" s="29"/>
      <c r="Q73" s="29"/>
      <c r="S73" s="78" t="s">
        <v>339</v>
      </c>
      <c r="T73" s="5">
        <v>0</v>
      </c>
      <c r="U73" s="5"/>
      <c r="V73" s="1"/>
    </row>
    <row r="74" spans="1:22" x14ac:dyDescent="0.25">
      <c r="A74" s="29"/>
      <c r="B74" s="29"/>
      <c r="C74" s="29"/>
      <c r="D74" s="29"/>
      <c r="E74" s="29"/>
      <c r="F74" s="29"/>
      <c r="G74" s="29"/>
      <c r="H74" s="29"/>
      <c r="I74" s="29"/>
      <c r="J74" s="29"/>
      <c r="K74" s="29"/>
      <c r="L74" s="29"/>
      <c r="M74" s="29"/>
      <c r="N74" s="29"/>
      <c r="O74" s="29"/>
      <c r="P74" s="29"/>
      <c r="Q74" s="29"/>
      <c r="S74" s="5" t="s">
        <v>154</v>
      </c>
      <c r="T74" s="5" t="s">
        <v>166</v>
      </c>
      <c r="U74" s="5" t="s">
        <v>158</v>
      </c>
    </row>
    <row r="75" spans="1:22" x14ac:dyDescent="0.25">
      <c r="A75" s="29"/>
      <c r="B75" s="29"/>
      <c r="C75" s="29"/>
      <c r="D75" s="29"/>
      <c r="E75" s="29"/>
      <c r="F75" s="29"/>
      <c r="G75" s="29"/>
      <c r="H75" s="29"/>
      <c r="I75" s="29"/>
      <c r="J75" s="29"/>
      <c r="K75" s="29"/>
      <c r="L75" s="29"/>
      <c r="M75" s="29"/>
      <c r="N75" s="29"/>
      <c r="O75" s="29"/>
      <c r="P75" s="29"/>
      <c r="Q75" s="29"/>
      <c r="S75" s="5" t="s">
        <v>159</v>
      </c>
      <c r="T75" s="5">
        <v>5</v>
      </c>
      <c r="U75" s="5" t="s">
        <v>44</v>
      </c>
      <c r="V75" s="1"/>
    </row>
    <row r="76" spans="1:22" x14ac:dyDescent="0.25">
      <c r="A76" s="29"/>
      <c r="B76" s="29"/>
      <c r="C76" s="29"/>
      <c r="D76" s="29"/>
      <c r="E76" s="29"/>
      <c r="F76" s="29"/>
      <c r="G76" s="29"/>
      <c r="H76" s="29"/>
      <c r="I76" s="29"/>
      <c r="J76" s="29"/>
      <c r="K76" s="29"/>
      <c r="L76" s="29"/>
      <c r="M76" s="29"/>
      <c r="N76" s="29"/>
      <c r="O76" s="29"/>
      <c r="P76" s="29"/>
      <c r="Q76" s="29"/>
      <c r="S76" s="5" t="s">
        <v>160</v>
      </c>
      <c r="T76" s="5">
        <v>7</v>
      </c>
      <c r="U76" s="5" t="s">
        <v>90</v>
      </c>
    </row>
    <row r="77" spans="1:22" x14ac:dyDescent="0.25">
      <c r="A77" s="29"/>
      <c r="B77" s="29"/>
      <c r="C77" s="29"/>
      <c r="D77" s="29"/>
      <c r="E77" s="29"/>
      <c r="F77" s="29"/>
      <c r="G77" s="29"/>
      <c r="H77" s="29"/>
      <c r="I77" s="29"/>
      <c r="J77" s="29"/>
      <c r="K77" s="29"/>
      <c r="L77" s="29"/>
      <c r="M77" s="29"/>
      <c r="N77" s="29"/>
      <c r="O77" s="29"/>
      <c r="P77" s="29"/>
      <c r="Q77" s="29"/>
      <c r="S77" s="5" t="s">
        <v>161</v>
      </c>
      <c r="T77" s="5">
        <v>2500</v>
      </c>
      <c r="U77" s="5" t="s">
        <v>45</v>
      </c>
    </row>
    <row r="78" spans="1:22" x14ac:dyDescent="0.25">
      <c r="A78" s="29"/>
      <c r="B78" s="29"/>
      <c r="C78" s="29"/>
      <c r="D78" s="29"/>
      <c r="E78" s="29"/>
      <c r="F78" s="29"/>
      <c r="G78" s="29"/>
      <c r="H78" s="29"/>
      <c r="I78" s="29"/>
      <c r="J78" s="29"/>
      <c r="K78" s="29"/>
      <c r="L78" s="29"/>
      <c r="M78" s="29"/>
      <c r="N78" s="29"/>
      <c r="O78" s="29"/>
      <c r="P78" s="29"/>
      <c r="Q78" s="29"/>
      <c r="S78" s="5" t="s">
        <v>162</v>
      </c>
      <c r="T78" s="5">
        <f>-T76</f>
        <v>-7</v>
      </c>
      <c r="U78" s="5" t="s">
        <v>90</v>
      </c>
    </row>
    <row r="79" spans="1:22" x14ac:dyDescent="0.25">
      <c r="A79" s="29"/>
      <c r="B79" s="29"/>
      <c r="C79" s="29"/>
      <c r="D79" s="29"/>
      <c r="E79" s="29"/>
      <c r="F79" s="29"/>
      <c r="G79" s="29"/>
      <c r="H79" s="29"/>
      <c r="I79" s="29"/>
      <c r="J79" s="29"/>
      <c r="K79" s="29"/>
      <c r="L79" s="29"/>
      <c r="M79" s="29"/>
      <c r="N79" s="29"/>
      <c r="O79" s="29"/>
      <c r="P79" s="29"/>
      <c r="Q79" s="29"/>
      <c r="S79" s="3" t="s">
        <v>163</v>
      </c>
      <c r="T79" s="3">
        <f>T77</f>
        <v>2500</v>
      </c>
      <c r="U79" s="5" t="s">
        <v>45</v>
      </c>
    </row>
    <row r="80" spans="1:22" x14ac:dyDescent="0.25">
      <c r="A80" s="29"/>
      <c r="B80" s="29"/>
      <c r="C80" s="29"/>
      <c r="D80" s="29"/>
      <c r="E80" s="29"/>
      <c r="F80" s="29"/>
      <c r="G80" s="29"/>
      <c r="H80" s="29"/>
      <c r="I80" s="29"/>
      <c r="J80" s="29"/>
      <c r="K80" s="29"/>
      <c r="L80" s="29"/>
      <c r="M80" s="29"/>
      <c r="N80" s="29"/>
      <c r="O80" s="29"/>
      <c r="P80" s="29"/>
      <c r="Q80" s="29"/>
      <c r="S80" s="3" t="s">
        <v>164</v>
      </c>
      <c r="T80" s="3">
        <v>0.2</v>
      </c>
      <c r="U80" s="5" t="s">
        <v>44</v>
      </c>
    </row>
    <row r="81" spans="1:46" x14ac:dyDescent="0.25">
      <c r="A81" s="29"/>
      <c r="B81" s="29"/>
      <c r="C81" s="29"/>
      <c r="D81" s="29"/>
      <c r="E81" s="29"/>
      <c r="F81" s="29"/>
      <c r="G81" s="29"/>
      <c r="H81" s="29"/>
      <c r="I81" s="29"/>
      <c r="J81" s="29"/>
      <c r="K81" s="29"/>
      <c r="L81" s="29"/>
      <c r="M81" s="29"/>
      <c r="N81" s="29"/>
      <c r="O81" s="29"/>
      <c r="P81" s="29"/>
      <c r="Q81" s="29"/>
      <c r="S81" s="3" t="s">
        <v>165</v>
      </c>
      <c r="T81" s="3">
        <v>7500</v>
      </c>
      <c r="U81" s="5" t="s">
        <v>45</v>
      </c>
    </row>
    <row r="82" spans="1:46" x14ac:dyDescent="0.25">
      <c r="A82" s="29"/>
      <c r="B82" s="29"/>
      <c r="C82" s="29"/>
      <c r="D82" s="29"/>
      <c r="E82" s="29"/>
      <c r="F82" s="29"/>
      <c r="G82" s="29"/>
      <c r="H82" s="29"/>
      <c r="I82" s="29"/>
      <c r="J82" s="29"/>
      <c r="K82" s="29"/>
      <c r="L82" s="29"/>
      <c r="M82" s="29"/>
      <c r="N82" s="29"/>
      <c r="O82" s="29"/>
      <c r="P82" s="29"/>
      <c r="Q82" s="29"/>
      <c r="S82" s="29"/>
      <c r="T82" s="29"/>
      <c r="U82" s="91"/>
      <c r="V82" s="29"/>
      <c r="W82" s="29"/>
      <c r="X82" s="29"/>
      <c r="Y82" s="29"/>
      <c r="Z82" s="29"/>
      <c r="AA82" s="29"/>
      <c r="AB82" s="29"/>
      <c r="AC82" s="29"/>
      <c r="AE82" s="29"/>
      <c r="AF82" s="29"/>
    </row>
    <row r="83" spans="1:46" x14ac:dyDescent="0.25">
      <c r="A83" s="29"/>
      <c r="B83" s="29"/>
      <c r="C83" s="29"/>
      <c r="D83" s="29"/>
      <c r="E83" s="29"/>
      <c r="F83" s="29"/>
      <c r="G83" s="29"/>
      <c r="H83" s="29"/>
      <c r="I83" s="29"/>
      <c r="J83" s="29"/>
      <c r="K83" s="29"/>
      <c r="L83" s="29"/>
      <c r="M83" s="29"/>
      <c r="N83" s="29"/>
      <c r="O83" s="29"/>
      <c r="P83" s="29"/>
      <c r="Q83" s="29"/>
      <c r="S83" s="96" t="s">
        <v>292</v>
      </c>
      <c r="T83" s="96" t="s">
        <v>293</v>
      </c>
      <c r="U83" s="97" t="s">
        <v>331</v>
      </c>
      <c r="V83" s="29"/>
      <c r="W83" s="29"/>
      <c r="X83" s="29"/>
      <c r="Y83" s="29"/>
      <c r="Z83" s="29"/>
      <c r="AA83" s="29"/>
      <c r="AB83" s="29"/>
      <c r="AC83" s="29"/>
      <c r="AD83" s="29"/>
      <c r="AE83" s="29"/>
      <c r="AF83" s="29"/>
    </row>
    <row r="84" spans="1:46" x14ac:dyDescent="0.25">
      <c r="A84" s="29"/>
      <c r="B84" s="29"/>
      <c r="C84" s="29"/>
      <c r="D84" s="29"/>
      <c r="E84" s="29"/>
      <c r="F84" s="29"/>
      <c r="G84" s="29"/>
      <c r="H84" s="29"/>
      <c r="I84" s="29"/>
      <c r="J84" s="29"/>
      <c r="K84" s="29"/>
      <c r="L84" s="29"/>
      <c r="M84" s="29"/>
      <c r="N84" s="29"/>
      <c r="O84" s="29"/>
      <c r="P84" s="29"/>
      <c r="Q84" s="29"/>
      <c r="R84" s="29"/>
      <c r="S84" s="75"/>
      <c r="T84" s="75"/>
      <c r="U84" s="92"/>
      <c r="V84" s="29"/>
      <c r="W84" s="29"/>
      <c r="X84" s="29"/>
      <c r="Y84" s="29"/>
      <c r="Z84" s="29"/>
      <c r="AA84" s="29"/>
      <c r="AB84" s="29"/>
      <c r="AC84" s="29"/>
      <c r="AD84" s="29"/>
      <c r="AE84" s="29"/>
      <c r="AF84" s="29"/>
      <c r="AG84" s="29"/>
      <c r="AH84" s="29"/>
      <c r="AI84" s="29"/>
      <c r="AJ84" s="29"/>
      <c r="AK84" s="29"/>
      <c r="AL84" s="29"/>
      <c r="AM84" s="29"/>
      <c r="AN84" s="29"/>
    </row>
    <row r="85" spans="1:46" x14ac:dyDescent="0.25">
      <c r="A85" s="29"/>
      <c r="B85" s="29"/>
      <c r="C85" s="29"/>
      <c r="D85" s="29"/>
      <c r="E85" s="29"/>
      <c r="F85" s="29"/>
      <c r="G85" s="29"/>
      <c r="H85" s="29"/>
      <c r="I85" s="29"/>
      <c r="J85" s="29"/>
      <c r="K85" s="29"/>
      <c r="L85" s="29"/>
      <c r="M85" s="29"/>
      <c r="N85" s="29"/>
      <c r="O85" s="29"/>
      <c r="P85" s="29"/>
      <c r="Q85" s="29"/>
      <c r="R85" s="29"/>
      <c r="S85" s="75" t="s">
        <v>309</v>
      </c>
      <c r="T85" s="75">
        <v>0.2</v>
      </c>
      <c r="U85" s="92" t="s">
        <v>44</v>
      </c>
      <c r="V85" s="29"/>
      <c r="W85" s="29"/>
      <c r="X85" s="29"/>
      <c r="Y85" s="29"/>
      <c r="Z85" s="29"/>
      <c r="AA85" s="29"/>
      <c r="AB85" s="29"/>
      <c r="AC85" s="29"/>
      <c r="AD85" s="29"/>
      <c r="AE85" s="29"/>
      <c r="AF85" s="29"/>
      <c r="AG85" s="29"/>
      <c r="AH85" s="29"/>
      <c r="AI85" s="29"/>
      <c r="AJ85" s="29"/>
      <c r="AK85" s="29"/>
      <c r="AL85" s="29"/>
      <c r="AM85" s="29"/>
      <c r="AN85" s="29"/>
    </row>
    <row r="86" spans="1:46" x14ac:dyDescent="0.25">
      <c r="A86" s="29"/>
      <c r="B86" s="29"/>
      <c r="C86" s="29"/>
      <c r="D86" s="29"/>
      <c r="E86" s="29"/>
      <c r="F86" s="29"/>
      <c r="G86" s="29"/>
      <c r="H86" s="29"/>
      <c r="I86" s="29"/>
      <c r="J86" s="29"/>
      <c r="K86" s="29"/>
      <c r="L86" s="29"/>
      <c r="M86" s="29"/>
      <c r="N86" s="29"/>
      <c r="O86" s="29"/>
      <c r="P86" s="29"/>
      <c r="Q86" s="29"/>
      <c r="R86" s="29"/>
      <c r="S86" s="75" t="s">
        <v>307</v>
      </c>
      <c r="T86" s="75">
        <v>1</v>
      </c>
      <c r="U86" s="92" t="s">
        <v>44</v>
      </c>
      <c r="V86" s="29"/>
      <c r="W86" s="29"/>
      <c r="X86" s="29"/>
      <c r="Y86" s="29"/>
      <c r="Z86" s="29"/>
      <c r="AA86" s="29"/>
      <c r="AB86" s="29"/>
      <c r="AC86" s="29"/>
      <c r="AD86" s="29"/>
      <c r="AE86" s="29"/>
      <c r="AF86" s="29"/>
      <c r="AG86" s="29"/>
      <c r="AH86" s="29"/>
      <c r="AI86" s="29"/>
      <c r="AJ86" s="29"/>
      <c r="AK86" s="29"/>
      <c r="AL86" s="29"/>
      <c r="AM86" s="29"/>
      <c r="AN86" s="29"/>
    </row>
    <row r="87" spans="1:46" x14ac:dyDescent="0.25">
      <c r="A87" s="29"/>
      <c r="B87" s="29"/>
      <c r="C87" s="29"/>
      <c r="D87" s="29"/>
      <c r="E87" s="29"/>
      <c r="F87" s="29"/>
      <c r="G87" s="29"/>
      <c r="H87" s="29"/>
      <c r="I87" s="29"/>
      <c r="J87" s="29"/>
      <c r="K87" s="29"/>
      <c r="L87" s="29"/>
      <c r="M87" s="29"/>
      <c r="N87" s="29"/>
      <c r="O87" s="29"/>
      <c r="P87" s="29"/>
      <c r="Q87" s="29"/>
      <c r="R87" s="29"/>
      <c r="S87" s="75" t="s">
        <v>308</v>
      </c>
      <c r="T87" s="75">
        <v>0.5</v>
      </c>
      <c r="U87" s="92" t="s">
        <v>44</v>
      </c>
      <c r="V87" s="29"/>
      <c r="W87" s="29"/>
      <c r="X87" s="29"/>
      <c r="Y87" s="29"/>
      <c r="Z87" s="29"/>
      <c r="AA87" s="29"/>
      <c r="AB87" s="29"/>
      <c r="AC87" s="29"/>
      <c r="AD87" s="29"/>
      <c r="AE87" s="29"/>
      <c r="AF87" s="29"/>
      <c r="AG87" s="29"/>
      <c r="AH87" s="29"/>
      <c r="AI87" s="29"/>
      <c r="AJ87" s="29"/>
      <c r="AK87" s="29"/>
      <c r="AL87" s="29"/>
      <c r="AM87" s="29"/>
      <c r="AN87" s="29"/>
    </row>
    <row r="89" spans="1:46" x14ac:dyDescent="0.25">
      <c r="A89" s="58" t="s">
        <v>129</v>
      </c>
      <c r="B89" s="2" t="s">
        <v>324</v>
      </c>
      <c r="C89" s="58" t="s">
        <v>128</v>
      </c>
      <c r="D89" s="2" t="s">
        <v>334</v>
      </c>
      <c r="E89" s="29"/>
      <c r="F89" s="29"/>
      <c r="G89" s="29"/>
      <c r="H89" s="29"/>
      <c r="I89" s="29"/>
      <c r="J89" s="29"/>
      <c r="K89" s="29"/>
      <c r="L89" s="29"/>
      <c r="M89" s="29"/>
      <c r="N89" s="29"/>
      <c r="O89" s="29"/>
      <c r="P89" s="29"/>
      <c r="AO89" t="s">
        <v>130</v>
      </c>
      <c r="AP89" t="s">
        <v>325</v>
      </c>
      <c r="AQ89" t="s">
        <v>129</v>
      </c>
      <c r="AR89" t="s">
        <v>324</v>
      </c>
      <c r="AS89" t="s">
        <v>128</v>
      </c>
      <c r="AT89" t="s">
        <v>334</v>
      </c>
    </row>
    <row r="90" spans="1:46" x14ac:dyDescent="0.25">
      <c r="A90" s="40" t="s">
        <v>0</v>
      </c>
      <c r="B90" s="41"/>
      <c r="C90" s="18"/>
      <c r="D90" s="18"/>
      <c r="E90" s="18"/>
      <c r="F90" s="18"/>
      <c r="G90" s="18"/>
      <c r="H90" s="18"/>
      <c r="I90" s="18"/>
      <c r="J90" s="18"/>
      <c r="K90" s="18"/>
      <c r="L90" s="18"/>
      <c r="M90" s="18"/>
      <c r="N90" s="18"/>
      <c r="O90" s="18"/>
      <c r="P90" s="18"/>
      <c r="Q90" s="58" t="s">
        <v>289</v>
      </c>
    </row>
    <row r="91" spans="1:46" x14ac:dyDescent="0.25">
      <c r="A91" s="20">
        <v>1</v>
      </c>
      <c r="B91" s="42" t="s">
        <v>111</v>
      </c>
      <c r="C91" s="42" t="s">
        <v>332</v>
      </c>
      <c r="D91" s="42" t="s">
        <v>333</v>
      </c>
      <c r="E91" s="42" t="s">
        <v>114</v>
      </c>
      <c r="F91" s="42" t="s">
        <v>113</v>
      </c>
      <c r="G91" s="42">
        <v>250</v>
      </c>
      <c r="H91" s="42">
        <f>G91*40</f>
        <v>10000</v>
      </c>
      <c r="I91" s="42">
        <v>0.5</v>
      </c>
      <c r="J91" s="42">
        <v>0.2</v>
      </c>
      <c r="K91" s="42"/>
      <c r="L91" s="42"/>
      <c r="M91" s="42"/>
      <c r="N91" s="42"/>
      <c r="O91" s="42"/>
      <c r="P91" s="42"/>
      <c r="Q91" s="42" t="s">
        <v>323</v>
      </c>
      <c r="S91" s="95" t="s">
        <v>40</v>
      </c>
      <c r="T91" s="3"/>
      <c r="U91" s="5"/>
    </row>
    <row r="92" spans="1:46" x14ac:dyDescent="0.25">
      <c r="A92" s="20">
        <v>2</v>
      </c>
      <c r="B92" s="20"/>
      <c r="C92" s="20"/>
      <c r="D92" s="20"/>
      <c r="E92" s="20"/>
      <c r="F92" s="20"/>
      <c r="G92" s="20"/>
      <c r="H92" s="20"/>
      <c r="I92" s="20"/>
      <c r="J92" s="20"/>
      <c r="K92" s="20"/>
      <c r="L92" s="20"/>
      <c r="M92" s="20"/>
      <c r="N92" s="20"/>
      <c r="O92" s="20"/>
      <c r="P92" s="20"/>
      <c r="Q92" s="20"/>
      <c r="S92" s="5" t="s">
        <v>98</v>
      </c>
      <c r="T92" s="5">
        <v>0.2</v>
      </c>
      <c r="U92" s="5" t="s">
        <v>44</v>
      </c>
    </row>
    <row r="93" spans="1:46" x14ac:dyDescent="0.25">
      <c r="A93" s="20">
        <v>3</v>
      </c>
      <c r="B93" s="20"/>
      <c r="C93" s="20"/>
      <c r="D93" s="20"/>
      <c r="E93" s="20"/>
      <c r="F93" s="20"/>
      <c r="G93" s="20"/>
      <c r="H93" s="20"/>
      <c r="I93" s="20"/>
      <c r="J93" s="20"/>
      <c r="K93" s="20"/>
      <c r="L93" s="20"/>
      <c r="M93" s="20"/>
      <c r="N93" s="20"/>
      <c r="O93" s="20"/>
      <c r="P93" s="20"/>
      <c r="Q93" s="20"/>
      <c r="S93" s="5" t="s">
        <v>87</v>
      </c>
      <c r="T93" s="5">
        <v>1</v>
      </c>
      <c r="U93" s="5" t="s">
        <v>89</v>
      </c>
    </row>
    <row r="94" spans="1:46" x14ac:dyDescent="0.25">
      <c r="A94" s="20">
        <v>4</v>
      </c>
      <c r="B94" s="20"/>
      <c r="C94" s="20"/>
      <c r="D94" s="20"/>
      <c r="E94" s="20"/>
      <c r="F94" s="20"/>
      <c r="G94" s="20"/>
      <c r="H94" s="20"/>
      <c r="I94" s="20"/>
      <c r="J94" s="20"/>
      <c r="K94" s="20"/>
      <c r="L94" s="20"/>
      <c r="M94" s="20"/>
      <c r="N94" s="20"/>
      <c r="O94" s="20"/>
      <c r="P94" s="20"/>
      <c r="Q94" s="20"/>
      <c r="S94" s="5" t="s">
        <v>88</v>
      </c>
      <c r="T94" s="5">
        <v>1</v>
      </c>
      <c r="U94" s="5" t="s">
        <v>89</v>
      </c>
    </row>
    <row r="95" spans="1:46" x14ac:dyDescent="0.25">
      <c r="A95" s="20">
        <v>5</v>
      </c>
      <c r="B95" s="20"/>
      <c r="C95" s="20"/>
      <c r="D95" s="20"/>
      <c r="E95" s="20"/>
      <c r="F95" s="20"/>
      <c r="G95" s="20"/>
      <c r="H95" s="20"/>
      <c r="I95" s="20"/>
      <c r="J95" s="20"/>
      <c r="K95" s="20"/>
      <c r="L95" s="20"/>
      <c r="M95" s="20"/>
      <c r="N95" s="20"/>
      <c r="O95" s="20"/>
      <c r="P95" s="20"/>
      <c r="Q95" s="20"/>
      <c r="S95" s="5" t="s">
        <v>193</v>
      </c>
      <c r="T95" s="5" t="s">
        <v>204</v>
      </c>
      <c r="U95" s="5"/>
    </row>
    <row r="96" spans="1:46" x14ac:dyDescent="0.25">
      <c r="A96" s="20">
        <v>6</v>
      </c>
      <c r="B96" s="20"/>
      <c r="C96" s="20"/>
      <c r="D96" s="20"/>
      <c r="E96" s="20"/>
      <c r="F96" s="20"/>
      <c r="G96" s="20"/>
      <c r="H96" s="20"/>
      <c r="I96" s="20"/>
      <c r="J96" s="20"/>
      <c r="K96" s="20"/>
      <c r="L96" s="20"/>
      <c r="M96" s="20"/>
      <c r="N96" s="20"/>
      <c r="O96" s="20"/>
      <c r="P96" s="20"/>
      <c r="Q96" s="20"/>
      <c r="S96" s="5" t="s">
        <v>194</v>
      </c>
      <c r="T96" s="5">
        <v>0</v>
      </c>
      <c r="U96" s="5"/>
    </row>
    <row r="97" spans="1:22" x14ac:dyDescent="0.25">
      <c r="A97" s="20">
        <v>7</v>
      </c>
      <c r="B97" s="20"/>
      <c r="C97" s="20"/>
      <c r="D97" s="20"/>
      <c r="E97" s="20"/>
      <c r="F97" s="20"/>
      <c r="G97" s="20"/>
      <c r="H97" s="20"/>
      <c r="I97" s="20"/>
      <c r="J97" s="20"/>
      <c r="K97" s="20"/>
      <c r="L97" s="20"/>
      <c r="M97" s="20"/>
      <c r="N97" s="20"/>
      <c r="O97" s="20"/>
      <c r="P97" s="20"/>
      <c r="Q97" s="20"/>
      <c r="S97" s="57"/>
      <c r="T97" s="57"/>
      <c r="U97" s="90"/>
    </row>
    <row r="98" spans="1:22" x14ac:dyDescent="0.25">
      <c r="A98" s="20">
        <v>8</v>
      </c>
      <c r="B98" s="20"/>
      <c r="C98" s="20"/>
      <c r="D98" s="20"/>
      <c r="E98" s="20"/>
      <c r="F98" s="20"/>
      <c r="G98" s="20"/>
      <c r="H98" s="20"/>
      <c r="I98" s="20"/>
      <c r="J98" s="20"/>
      <c r="K98" s="20"/>
      <c r="L98" s="20"/>
      <c r="M98" s="20"/>
      <c r="N98" s="20"/>
      <c r="O98" s="20"/>
      <c r="P98" s="20"/>
      <c r="Q98" s="20"/>
      <c r="S98" s="5" t="s">
        <v>338</v>
      </c>
      <c r="T98" s="5">
        <v>60</v>
      </c>
      <c r="U98" s="5" t="s">
        <v>43</v>
      </c>
      <c r="V98" s="1"/>
    </row>
    <row r="99" spans="1:22" x14ac:dyDescent="0.25">
      <c r="A99" s="20">
        <v>9</v>
      </c>
      <c r="B99" s="20"/>
      <c r="C99" s="20"/>
      <c r="D99" s="20"/>
      <c r="E99" s="20"/>
      <c r="F99" s="46"/>
      <c r="G99" s="20"/>
      <c r="H99" s="20"/>
      <c r="I99" s="20"/>
      <c r="J99" s="20"/>
      <c r="K99" s="20"/>
      <c r="L99" s="20"/>
      <c r="M99" s="20"/>
      <c r="N99" s="20"/>
      <c r="O99" s="20"/>
      <c r="P99" s="20"/>
      <c r="Q99" s="20"/>
      <c r="S99" s="5" t="s">
        <v>85</v>
      </c>
      <c r="T99" s="5">
        <v>1000</v>
      </c>
      <c r="U99" s="5" t="s">
        <v>45</v>
      </c>
    </row>
    <row r="100" spans="1:22" x14ac:dyDescent="0.25">
      <c r="A100" s="20">
        <v>10</v>
      </c>
      <c r="B100" s="20"/>
      <c r="C100" s="20"/>
      <c r="D100" s="20"/>
      <c r="E100" s="20"/>
      <c r="F100" s="46"/>
      <c r="G100" s="20"/>
      <c r="H100" s="20"/>
      <c r="I100" s="20"/>
      <c r="J100" s="20"/>
      <c r="K100" s="20"/>
      <c r="L100" s="20"/>
      <c r="M100" s="20"/>
      <c r="N100" s="20"/>
      <c r="O100" s="20"/>
      <c r="P100" s="20"/>
      <c r="Q100" s="20"/>
      <c r="S100" s="5" t="s">
        <v>86</v>
      </c>
      <c r="T100" s="5">
        <v>9000</v>
      </c>
      <c r="U100" s="5" t="s">
        <v>45</v>
      </c>
    </row>
    <row r="101" spans="1:22" x14ac:dyDescent="0.25">
      <c r="A101" s="20">
        <v>11</v>
      </c>
      <c r="B101" s="20"/>
      <c r="C101" s="20"/>
      <c r="D101" s="20"/>
      <c r="E101" s="20"/>
      <c r="F101" s="46"/>
      <c r="G101" s="20"/>
      <c r="H101" s="20"/>
      <c r="I101" s="20"/>
      <c r="J101" s="20"/>
      <c r="K101" s="20"/>
      <c r="L101" s="20"/>
      <c r="M101" s="20"/>
      <c r="N101" s="20"/>
      <c r="O101" s="20"/>
      <c r="P101" s="20"/>
      <c r="Q101" s="20"/>
      <c r="S101" s="5" t="s">
        <v>41</v>
      </c>
      <c r="T101" s="5">
        <v>210</v>
      </c>
      <c r="U101" s="5" t="s">
        <v>43</v>
      </c>
      <c r="V101" s="1"/>
    </row>
    <row r="102" spans="1:22" x14ac:dyDescent="0.25">
      <c r="A102" s="29"/>
      <c r="B102" s="29"/>
      <c r="C102" s="29"/>
      <c r="D102" s="29"/>
      <c r="E102" s="29"/>
      <c r="F102" s="29"/>
      <c r="G102" s="29"/>
      <c r="H102" s="29"/>
      <c r="I102" s="29"/>
      <c r="J102" s="29"/>
      <c r="K102" s="29"/>
      <c r="L102" s="29"/>
      <c r="M102" s="29"/>
      <c r="N102" s="29"/>
      <c r="O102" s="29"/>
      <c r="P102" s="29"/>
      <c r="Q102" s="29"/>
      <c r="S102" s="5" t="s">
        <v>42</v>
      </c>
      <c r="T102" s="5">
        <v>2.85</v>
      </c>
      <c r="U102" s="5" t="s">
        <v>44</v>
      </c>
    </row>
    <row r="103" spans="1:22" x14ac:dyDescent="0.25">
      <c r="A103" s="29"/>
      <c r="B103" s="29"/>
      <c r="C103" s="29"/>
      <c r="D103" s="29"/>
      <c r="E103" s="29"/>
      <c r="F103" s="29"/>
      <c r="G103" s="29"/>
      <c r="H103" s="29"/>
      <c r="I103" s="29"/>
      <c r="J103" s="29"/>
      <c r="K103" s="29"/>
      <c r="L103" s="29"/>
      <c r="M103" s="29"/>
      <c r="N103" s="29"/>
      <c r="O103" s="29"/>
      <c r="P103" s="29"/>
      <c r="Q103" s="29"/>
      <c r="S103" s="5" t="s">
        <v>46</v>
      </c>
      <c r="T103" s="5" t="s">
        <v>82</v>
      </c>
      <c r="U103" s="5" t="s">
        <v>90</v>
      </c>
    </row>
    <row r="104" spans="1:22" x14ac:dyDescent="0.25">
      <c r="A104" s="29"/>
      <c r="B104" s="29"/>
      <c r="C104" s="29"/>
      <c r="D104" s="29"/>
      <c r="E104" s="29"/>
      <c r="F104" s="29"/>
      <c r="G104" s="29"/>
      <c r="H104" s="29"/>
      <c r="I104" s="29"/>
      <c r="J104" s="29"/>
      <c r="K104" s="29"/>
      <c r="L104" s="29"/>
      <c r="M104" s="29"/>
      <c r="N104" s="29"/>
      <c r="O104" s="29"/>
      <c r="P104" s="29"/>
      <c r="Q104" s="29"/>
      <c r="S104" s="5" t="s">
        <v>108</v>
      </c>
      <c r="T104" s="5" t="s">
        <v>153</v>
      </c>
      <c r="U104" s="5"/>
    </row>
    <row r="105" spans="1:22" x14ac:dyDescent="0.25">
      <c r="A105" s="29"/>
      <c r="B105" s="29"/>
      <c r="C105" s="29"/>
      <c r="D105" s="29"/>
      <c r="E105" s="29"/>
      <c r="F105" s="29"/>
      <c r="G105" s="29"/>
      <c r="H105" s="29"/>
      <c r="I105" s="29"/>
      <c r="J105" s="29"/>
      <c r="K105" s="29"/>
      <c r="L105" s="29"/>
      <c r="M105" s="29"/>
      <c r="N105" s="29"/>
      <c r="O105" s="29"/>
      <c r="P105" s="29"/>
      <c r="Q105" s="29"/>
      <c r="S105" s="5" t="s">
        <v>152</v>
      </c>
      <c r="T105" s="5" t="s">
        <v>125</v>
      </c>
      <c r="U105" s="5"/>
    </row>
    <row r="106" spans="1:22" x14ac:dyDescent="0.25">
      <c r="A106" s="29"/>
      <c r="B106" s="29"/>
      <c r="C106" s="29"/>
      <c r="D106" s="29"/>
      <c r="E106" s="29"/>
      <c r="F106" s="29"/>
      <c r="G106" s="29"/>
      <c r="H106" s="29"/>
      <c r="I106" s="29"/>
      <c r="J106" s="29"/>
      <c r="K106" s="29"/>
      <c r="L106" s="29"/>
      <c r="M106" s="29"/>
      <c r="N106" s="29"/>
      <c r="O106" s="29"/>
      <c r="P106" s="29"/>
      <c r="Q106" s="29"/>
      <c r="S106" s="5" t="s">
        <v>167</v>
      </c>
      <c r="T106" s="5">
        <v>20</v>
      </c>
      <c r="U106" s="5" t="s">
        <v>44</v>
      </c>
    </row>
    <row r="107" spans="1:22" x14ac:dyDescent="0.25">
      <c r="A107" s="29"/>
      <c r="B107" s="29"/>
      <c r="C107" s="29"/>
      <c r="D107" s="29"/>
      <c r="E107" s="29"/>
      <c r="F107" s="29"/>
      <c r="G107" s="29"/>
      <c r="H107" s="29"/>
      <c r="I107" s="29"/>
      <c r="J107" s="29"/>
      <c r="K107" s="29"/>
      <c r="L107" s="29"/>
      <c r="M107" s="29"/>
      <c r="N107" s="29"/>
      <c r="O107" s="29"/>
      <c r="P107" s="29"/>
      <c r="Q107" s="29"/>
      <c r="S107" s="5" t="s">
        <v>168</v>
      </c>
      <c r="T107" s="5">
        <v>10</v>
      </c>
      <c r="U107" s="5" t="s">
        <v>44</v>
      </c>
    </row>
    <row r="108" spans="1:22" x14ac:dyDescent="0.25">
      <c r="A108" s="29"/>
      <c r="B108" s="29"/>
      <c r="C108" s="29"/>
      <c r="D108" s="29"/>
      <c r="E108" s="29"/>
      <c r="F108" s="29"/>
      <c r="G108" s="29"/>
      <c r="H108" s="29"/>
      <c r="I108" s="29"/>
      <c r="J108" s="29"/>
      <c r="K108" s="29"/>
      <c r="L108" s="29"/>
      <c r="M108" s="29"/>
      <c r="N108" s="29"/>
      <c r="O108" s="29"/>
      <c r="P108" s="29"/>
      <c r="Q108" s="29"/>
      <c r="S108" s="5" t="s">
        <v>169</v>
      </c>
      <c r="T108" s="5">
        <v>0.3</v>
      </c>
      <c r="U108" s="5" t="s">
        <v>44</v>
      </c>
    </row>
    <row r="109" spans="1:22" x14ac:dyDescent="0.25">
      <c r="A109" s="29"/>
      <c r="B109" s="29"/>
      <c r="C109" s="29"/>
      <c r="D109" s="29"/>
      <c r="E109" s="29"/>
      <c r="F109" s="29"/>
      <c r="G109" s="29"/>
      <c r="H109" s="29"/>
      <c r="I109" s="29"/>
      <c r="J109" s="29"/>
      <c r="K109" s="29"/>
      <c r="L109" s="29"/>
      <c r="M109" s="29"/>
      <c r="N109" s="29"/>
      <c r="O109" s="29"/>
      <c r="P109" s="29"/>
      <c r="Q109" s="29"/>
      <c r="S109" s="78" t="s">
        <v>339</v>
      </c>
      <c r="T109" s="5">
        <v>0</v>
      </c>
      <c r="U109" s="5"/>
      <c r="V109" s="1"/>
    </row>
    <row r="110" spans="1:22" x14ac:dyDescent="0.25">
      <c r="A110" s="29"/>
      <c r="B110" s="29"/>
      <c r="C110" s="29"/>
      <c r="D110" s="29"/>
      <c r="E110" s="29"/>
      <c r="F110" s="29"/>
      <c r="G110" s="29"/>
      <c r="H110" s="29"/>
      <c r="I110" s="29"/>
      <c r="J110" s="29"/>
      <c r="K110" s="29"/>
      <c r="L110" s="29"/>
      <c r="M110" s="29"/>
      <c r="N110" s="29"/>
      <c r="O110" s="29"/>
      <c r="P110" s="29"/>
      <c r="Q110" s="29"/>
      <c r="S110" s="5" t="s">
        <v>154</v>
      </c>
      <c r="T110" s="5" t="s">
        <v>166</v>
      </c>
      <c r="U110" s="5" t="s">
        <v>158</v>
      </c>
    </row>
    <row r="111" spans="1:22" x14ac:dyDescent="0.25">
      <c r="A111" s="29"/>
      <c r="B111" s="29"/>
      <c r="C111" s="29"/>
      <c r="D111" s="29"/>
      <c r="E111" s="29"/>
      <c r="F111" s="29"/>
      <c r="G111" s="29"/>
      <c r="H111" s="29"/>
      <c r="I111" s="29"/>
      <c r="J111" s="29"/>
      <c r="K111" s="29"/>
      <c r="L111" s="29"/>
      <c r="M111" s="29"/>
      <c r="N111" s="29"/>
      <c r="O111" s="29"/>
      <c r="P111" s="29"/>
      <c r="Q111" s="29"/>
      <c r="S111" s="5" t="s">
        <v>159</v>
      </c>
      <c r="T111" s="5">
        <v>5</v>
      </c>
      <c r="U111" s="5" t="s">
        <v>44</v>
      </c>
      <c r="V111" s="1"/>
    </row>
    <row r="112" spans="1:22" x14ac:dyDescent="0.25">
      <c r="A112" s="29"/>
      <c r="B112" s="29"/>
      <c r="C112" s="29"/>
      <c r="D112" s="29"/>
      <c r="E112" s="29"/>
      <c r="F112" s="29"/>
      <c r="G112" s="29"/>
      <c r="H112" s="29"/>
      <c r="I112" s="29"/>
      <c r="J112" s="29"/>
      <c r="K112" s="29"/>
      <c r="L112" s="29"/>
      <c r="M112" s="29"/>
      <c r="N112" s="29"/>
      <c r="O112" s="29"/>
      <c r="P112" s="29"/>
      <c r="Q112" s="29"/>
      <c r="S112" s="5" t="s">
        <v>160</v>
      </c>
      <c r="T112" s="5">
        <v>7</v>
      </c>
      <c r="U112" s="5" t="s">
        <v>90</v>
      </c>
    </row>
    <row r="113" spans="1:46" x14ac:dyDescent="0.25">
      <c r="A113" s="29"/>
      <c r="B113" s="29"/>
      <c r="C113" s="29"/>
      <c r="D113" s="29"/>
      <c r="E113" s="29"/>
      <c r="F113" s="29"/>
      <c r="G113" s="29"/>
      <c r="H113" s="29"/>
      <c r="I113" s="29"/>
      <c r="J113" s="29"/>
      <c r="K113" s="29"/>
      <c r="L113" s="29"/>
      <c r="M113" s="29"/>
      <c r="N113" s="29"/>
      <c r="O113" s="29"/>
      <c r="P113" s="29"/>
      <c r="Q113" s="29"/>
      <c r="S113" s="5" t="s">
        <v>161</v>
      </c>
      <c r="T113" s="5">
        <v>2500</v>
      </c>
      <c r="U113" s="5" t="s">
        <v>45</v>
      </c>
    </row>
    <row r="114" spans="1:46" x14ac:dyDescent="0.25">
      <c r="A114" s="29"/>
      <c r="B114" s="29"/>
      <c r="C114" s="29"/>
      <c r="D114" s="29"/>
      <c r="E114" s="29"/>
      <c r="F114" s="29"/>
      <c r="G114" s="29"/>
      <c r="H114" s="29"/>
      <c r="I114" s="29"/>
      <c r="J114" s="29"/>
      <c r="K114" s="29"/>
      <c r="L114" s="29"/>
      <c r="M114" s="29"/>
      <c r="N114" s="29"/>
      <c r="O114" s="29"/>
      <c r="P114" s="29"/>
      <c r="Q114" s="29"/>
      <c r="S114" s="5" t="s">
        <v>162</v>
      </c>
      <c r="T114" s="5">
        <f>-T112</f>
        <v>-7</v>
      </c>
      <c r="U114" s="5" t="s">
        <v>90</v>
      </c>
    </row>
    <row r="115" spans="1:46" x14ac:dyDescent="0.25">
      <c r="A115" s="29"/>
      <c r="B115" s="29"/>
      <c r="C115" s="29"/>
      <c r="D115" s="29"/>
      <c r="E115" s="29"/>
      <c r="F115" s="29"/>
      <c r="G115" s="29"/>
      <c r="H115" s="29"/>
      <c r="I115" s="29"/>
      <c r="J115" s="29"/>
      <c r="K115" s="29"/>
      <c r="L115" s="29"/>
      <c r="M115" s="29"/>
      <c r="N115" s="29"/>
      <c r="O115" s="29"/>
      <c r="P115" s="29"/>
      <c r="Q115" s="29"/>
      <c r="S115" s="3" t="s">
        <v>163</v>
      </c>
      <c r="T115" s="3">
        <f>T113</f>
        <v>2500</v>
      </c>
      <c r="U115" s="5" t="s">
        <v>45</v>
      </c>
    </row>
    <row r="116" spans="1:46" x14ac:dyDescent="0.25">
      <c r="A116" s="29"/>
      <c r="B116" s="29"/>
      <c r="C116" s="29"/>
      <c r="D116" s="29"/>
      <c r="E116" s="29"/>
      <c r="F116" s="29"/>
      <c r="G116" s="29"/>
      <c r="H116" s="29"/>
      <c r="I116" s="29"/>
      <c r="J116" s="29"/>
      <c r="K116" s="29"/>
      <c r="L116" s="29"/>
      <c r="M116" s="29"/>
      <c r="N116" s="29"/>
      <c r="O116" s="29"/>
      <c r="P116" s="29"/>
      <c r="Q116" s="29"/>
      <c r="S116" s="3" t="s">
        <v>164</v>
      </c>
      <c r="T116" s="3">
        <v>0.2</v>
      </c>
      <c r="U116" s="5" t="s">
        <v>44</v>
      </c>
    </row>
    <row r="117" spans="1:46" x14ac:dyDescent="0.25">
      <c r="A117" s="29"/>
      <c r="B117" s="29"/>
      <c r="C117" s="29"/>
      <c r="D117" s="29"/>
      <c r="E117" s="29"/>
      <c r="F117" s="29"/>
      <c r="G117" s="29"/>
      <c r="H117" s="29"/>
      <c r="I117" s="29"/>
      <c r="J117" s="29"/>
      <c r="K117" s="29"/>
      <c r="L117" s="29"/>
      <c r="M117" s="29"/>
      <c r="N117" s="29"/>
      <c r="O117" s="29"/>
      <c r="P117" s="29"/>
      <c r="Q117" s="29"/>
      <c r="S117" s="3" t="s">
        <v>165</v>
      </c>
      <c r="T117" s="3">
        <v>7500</v>
      </c>
      <c r="U117" s="5" t="s">
        <v>45</v>
      </c>
    </row>
    <row r="118" spans="1:46" x14ac:dyDescent="0.25">
      <c r="A118" s="29"/>
      <c r="B118" s="29"/>
      <c r="C118" s="29"/>
      <c r="D118" s="29"/>
      <c r="E118" s="29"/>
      <c r="F118" s="29"/>
      <c r="G118" s="29"/>
      <c r="H118" s="29"/>
      <c r="I118" s="29"/>
      <c r="J118" s="29"/>
      <c r="K118" s="29"/>
      <c r="L118" s="29"/>
      <c r="M118" s="29"/>
      <c r="N118" s="29"/>
      <c r="O118" s="29"/>
      <c r="P118" s="29"/>
      <c r="Q118" s="29"/>
      <c r="S118" s="29"/>
      <c r="T118" s="29"/>
      <c r="U118" s="91"/>
      <c r="V118" s="29"/>
      <c r="W118" s="29"/>
      <c r="X118" s="29"/>
      <c r="Y118" s="29"/>
      <c r="Z118" s="29"/>
      <c r="AA118" s="29"/>
      <c r="AB118" s="29"/>
      <c r="AC118" s="29"/>
      <c r="AE118" s="29"/>
      <c r="AF118" s="29"/>
    </row>
    <row r="119" spans="1:46" x14ac:dyDescent="0.25">
      <c r="A119" s="29"/>
      <c r="B119" s="29"/>
      <c r="C119" s="29"/>
      <c r="D119" s="29"/>
      <c r="E119" s="29"/>
      <c r="F119" s="29"/>
      <c r="G119" s="29"/>
      <c r="H119" s="29"/>
      <c r="I119" s="29"/>
      <c r="J119" s="29"/>
      <c r="K119" s="29"/>
      <c r="L119" s="29"/>
      <c r="M119" s="29"/>
      <c r="N119" s="29"/>
      <c r="O119" s="29"/>
      <c r="P119" s="29"/>
      <c r="Q119" s="29"/>
      <c r="S119" s="96" t="s">
        <v>292</v>
      </c>
      <c r="T119" s="96" t="s">
        <v>293</v>
      </c>
      <c r="U119" s="97" t="s">
        <v>331</v>
      </c>
      <c r="V119" s="29"/>
      <c r="W119" s="29"/>
      <c r="X119" s="29"/>
      <c r="Y119" s="29"/>
      <c r="Z119" s="29"/>
      <c r="AA119" s="29"/>
      <c r="AB119" s="29"/>
      <c r="AC119" s="29"/>
      <c r="AD119" s="29"/>
      <c r="AE119" s="29"/>
      <c r="AF119" s="29"/>
    </row>
    <row r="120" spans="1:46" x14ac:dyDescent="0.25">
      <c r="A120" s="29"/>
      <c r="B120" s="29"/>
      <c r="C120" s="29"/>
      <c r="D120" s="29"/>
      <c r="E120" s="29"/>
      <c r="F120" s="29"/>
      <c r="G120" s="29"/>
      <c r="H120" s="29"/>
      <c r="I120" s="29"/>
      <c r="J120" s="29"/>
      <c r="K120" s="29"/>
      <c r="L120" s="29"/>
      <c r="M120" s="29"/>
      <c r="N120" s="29"/>
      <c r="O120" s="29"/>
      <c r="P120" s="29"/>
      <c r="Q120" s="29"/>
      <c r="S120" s="75"/>
      <c r="T120" s="75"/>
      <c r="U120" s="92"/>
      <c r="V120" s="29"/>
      <c r="W120" s="29"/>
      <c r="X120" s="29"/>
      <c r="Y120" s="29"/>
      <c r="Z120" s="29"/>
      <c r="AA120" s="29"/>
      <c r="AB120" s="29"/>
      <c r="AC120" s="29"/>
      <c r="AD120" s="29"/>
      <c r="AE120" s="29"/>
      <c r="AF120" s="29"/>
    </row>
    <row r="121" spans="1:46" x14ac:dyDescent="0.25">
      <c r="A121" s="29"/>
      <c r="B121" s="29"/>
      <c r="C121" s="29"/>
      <c r="D121" s="29"/>
      <c r="E121" s="29"/>
      <c r="F121" s="29"/>
      <c r="G121" s="29"/>
      <c r="H121" s="29"/>
      <c r="I121" s="29"/>
      <c r="J121" s="29"/>
      <c r="K121" s="29"/>
      <c r="L121" s="29"/>
      <c r="M121" s="29"/>
      <c r="N121" s="29"/>
      <c r="O121" s="29"/>
      <c r="P121" s="29"/>
      <c r="Q121" s="29"/>
      <c r="S121" s="75" t="s">
        <v>14</v>
      </c>
      <c r="T121" s="75">
        <v>12</v>
      </c>
      <c r="U121" s="92" t="s">
        <v>44</v>
      </c>
      <c r="V121" s="29"/>
      <c r="W121" s="29"/>
      <c r="X121" s="29"/>
      <c r="Y121" s="29"/>
      <c r="Z121" s="29"/>
      <c r="AA121" s="29"/>
      <c r="AB121" s="29"/>
      <c r="AC121" s="29"/>
      <c r="AD121" s="29"/>
      <c r="AE121" s="29"/>
      <c r="AF121" s="29"/>
    </row>
    <row r="122" spans="1:46" x14ac:dyDescent="0.25">
      <c r="A122" s="29"/>
      <c r="B122" s="29"/>
      <c r="C122" s="29"/>
      <c r="D122" s="29"/>
      <c r="E122" s="29"/>
      <c r="F122" s="29"/>
      <c r="G122" s="29"/>
      <c r="H122" s="29"/>
      <c r="I122" s="29"/>
      <c r="J122" s="29"/>
      <c r="K122" s="29"/>
      <c r="L122" s="29"/>
      <c r="M122" s="29"/>
      <c r="N122" s="29"/>
      <c r="O122" s="29"/>
      <c r="P122" s="29"/>
      <c r="Q122" s="29"/>
      <c r="S122" s="75" t="s">
        <v>330</v>
      </c>
      <c r="T122" s="75">
        <v>2</v>
      </c>
      <c r="U122" s="92" t="s">
        <v>44</v>
      </c>
      <c r="V122" s="29"/>
      <c r="W122" s="29"/>
      <c r="X122" s="29"/>
      <c r="Y122" s="29"/>
      <c r="Z122" s="29"/>
      <c r="AA122" s="29"/>
      <c r="AB122" s="29"/>
      <c r="AC122" s="29"/>
      <c r="AD122" s="29"/>
      <c r="AE122" s="29"/>
      <c r="AF122" s="29"/>
    </row>
    <row r="123" spans="1:46" x14ac:dyDescent="0.25">
      <c r="A123" s="29"/>
      <c r="B123" s="29"/>
      <c r="C123" s="29"/>
      <c r="D123" s="29"/>
      <c r="E123" s="29"/>
      <c r="F123" s="29"/>
      <c r="G123" s="29"/>
      <c r="H123" s="29"/>
      <c r="I123" s="29"/>
      <c r="J123" s="29"/>
      <c r="K123" s="29"/>
      <c r="L123" s="29"/>
      <c r="M123" s="29"/>
      <c r="N123" s="29"/>
      <c r="O123" s="29"/>
      <c r="P123" s="29"/>
      <c r="Q123" s="29"/>
      <c r="R123" s="29"/>
      <c r="S123" s="75"/>
      <c r="T123" s="75"/>
      <c r="U123" s="92"/>
      <c r="V123" s="29"/>
      <c r="W123" s="29"/>
      <c r="X123" s="29"/>
      <c r="Y123" s="29"/>
      <c r="Z123" s="29"/>
      <c r="AA123" s="29"/>
      <c r="AB123" s="29"/>
      <c r="AC123" s="29"/>
      <c r="AD123" s="29"/>
      <c r="AE123" s="29"/>
      <c r="AF123" s="29"/>
      <c r="AG123" s="29"/>
      <c r="AH123" s="29"/>
      <c r="AI123" s="29"/>
      <c r="AJ123" s="29"/>
      <c r="AK123" s="29"/>
      <c r="AL123" s="29"/>
      <c r="AM123" s="29"/>
      <c r="AN123" s="29"/>
    </row>
    <row r="124" spans="1:46" x14ac:dyDescent="0.25">
      <c r="A124" s="29"/>
      <c r="B124" s="29"/>
      <c r="C124" s="29"/>
      <c r="D124" s="29"/>
      <c r="E124" s="29"/>
      <c r="F124" s="29"/>
      <c r="G124" s="29"/>
      <c r="H124" s="29"/>
      <c r="I124" s="29"/>
      <c r="J124" s="29"/>
      <c r="K124" s="29"/>
      <c r="L124" s="29"/>
      <c r="M124" s="29"/>
      <c r="N124" s="29"/>
      <c r="O124" s="29"/>
      <c r="P124" s="29"/>
      <c r="Q124" s="29"/>
      <c r="R124" s="29"/>
      <c r="S124" s="29"/>
      <c r="T124" s="29"/>
      <c r="U124" s="91"/>
      <c r="V124" s="29"/>
      <c r="W124" s="29"/>
      <c r="X124" s="29"/>
      <c r="Y124" s="29"/>
      <c r="Z124" s="29"/>
      <c r="AA124" s="29"/>
      <c r="AB124" s="29"/>
      <c r="AC124" s="29"/>
      <c r="AD124" s="29"/>
      <c r="AE124" s="29"/>
      <c r="AF124" s="29"/>
      <c r="AG124" s="29"/>
      <c r="AH124" s="29"/>
      <c r="AI124" s="29"/>
      <c r="AJ124" s="29"/>
      <c r="AK124" s="29"/>
      <c r="AL124" s="29"/>
      <c r="AM124" s="29"/>
      <c r="AN124" s="29"/>
    </row>
    <row r="125" spans="1:46" x14ac:dyDescent="0.25">
      <c r="A125" s="58" t="s">
        <v>129</v>
      </c>
      <c r="B125" s="2" t="s">
        <v>299</v>
      </c>
      <c r="C125" s="58" t="s">
        <v>128</v>
      </c>
      <c r="D125" s="2" t="s">
        <v>334</v>
      </c>
      <c r="E125" s="29"/>
      <c r="F125" s="29"/>
      <c r="G125" s="29"/>
      <c r="H125" s="29"/>
      <c r="I125" s="29"/>
      <c r="J125" s="29"/>
      <c r="K125" s="29"/>
      <c r="L125" s="29"/>
      <c r="M125" s="29"/>
      <c r="N125" s="29"/>
      <c r="O125" s="29"/>
      <c r="P125" s="29"/>
      <c r="AO125" t="s">
        <v>130</v>
      </c>
      <c r="AP125" t="s">
        <v>300</v>
      </c>
      <c r="AQ125" t="s">
        <v>129</v>
      </c>
      <c r="AR125" t="s">
        <v>299</v>
      </c>
      <c r="AS125" t="s">
        <v>128</v>
      </c>
      <c r="AT125" t="s">
        <v>334</v>
      </c>
    </row>
    <row r="126" spans="1:46" x14ac:dyDescent="0.25">
      <c r="A126" s="40" t="s">
        <v>0</v>
      </c>
      <c r="B126" s="41"/>
      <c r="C126" s="18"/>
      <c r="D126" s="18"/>
      <c r="E126" s="18"/>
      <c r="F126" s="18"/>
      <c r="G126" s="18"/>
      <c r="H126" s="18"/>
      <c r="I126" s="18"/>
      <c r="J126" s="18"/>
      <c r="K126" s="18"/>
      <c r="L126" s="18"/>
      <c r="M126" s="18"/>
      <c r="N126" s="18"/>
      <c r="O126" s="18"/>
      <c r="P126" s="18"/>
      <c r="Q126" s="58" t="s">
        <v>289</v>
      </c>
    </row>
    <row r="127" spans="1:46" x14ac:dyDescent="0.25">
      <c r="A127" s="20">
        <v>1</v>
      </c>
      <c r="B127" s="43" t="s">
        <v>65</v>
      </c>
      <c r="C127" s="43">
        <v>50</v>
      </c>
      <c r="D127" s="43">
        <v>50</v>
      </c>
      <c r="E127" s="43">
        <v>0</v>
      </c>
      <c r="F127" s="43">
        <v>10</v>
      </c>
      <c r="G127" s="43">
        <v>180</v>
      </c>
      <c r="H127" s="43" t="s">
        <v>20</v>
      </c>
      <c r="I127" s="43" t="e">
        <f>Sides</f>
        <v>#NAME?</v>
      </c>
      <c r="J127" s="43">
        <v>0.6</v>
      </c>
      <c r="K127" s="43">
        <v>0.2</v>
      </c>
      <c r="L127" s="43"/>
      <c r="M127" s="43"/>
      <c r="N127" s="43"/>
      <c r="O127" s="43"/>
      <c r="P127" s="43"/>
      <c r="Q127" s="43" t="s">
        <v>296</v>
      </c>
      <c r="S127" s="95" t="s">
        <v>40</v>
      </c>
      <c r="T127" s="3"/>
      <c r="U127" s="5"/>
    </row>
    <row r="128" spans="1:46" x14ac:dyDescent="0.25">
      <c r="A128" s="20">
        <v>2</v>
      </c>
      <c r="B128" s="27" t="s">
        <v>55</v>
      </c>
      <c r="C128" s="27">
        <v>1</v>
      </c>
      <c r="D128" s="27">
        <v>0</v>
      </c>
      <c r="E128" s="27">
        <v>0</v>
      </c>
      <c r="F128" s="27">
        <v>0.2</v>
      </c>
      <c r="G128" s="27" t="e">
        <f>Layers</f>
        <v>#NAME?</v>
      </c>
      <c r="H128" s="27"/>
      <c r="I128" s="27"/>
      <c r="J128" s="27"/>
      <c r="K128" s="27"/>
      <c r="L128" s="27"/>
      <c r="M128" s="27"/>
      <c r="N128" s="27"/>
      <c r="O128" s="27"/>
      <c r="P128" s="27"/>
      <c r="Q128" s="27" t="s">
        <v>297</v>
      </c>
      <c r="S128" s="5" t="s">
        <v>98</v>
      </c>
      <c r="T128" s="5">
        <v>0.2</v>
      </c>
      <c r="U128" s="5" t="s">
        <v>44</v>
      </c>
    </row>
    <row r="129" spans="1:22" x14ac:dyDescent="0.25">
      <c r="A129" s="20">
        <v>3</v>
      </c>
      <c r="B129" s="111" t="s">
        <v>291</v>
      </c>
      <c r="C129" s="42">
        <v>2</v>
      </c>
      <c r="D129" s="42">
        <v>1</v>
      </c>
      <c r="E129" s="42">
        <v>1</v>
      </c>
      <c r="F129" s="42" t="e">
        <f>Layers</f>
        <v>#NAME?</v>
      </c>
      <c r="G129" s="42" t="s">
        <v>138</v>
      </c>
      <c r="H129" s="42">
        <v>0</v>
      </c>
      <c r="I129" s="47" t="s">
        <v>113</v>
      </c>
      <c r="J129" s="47" t="s">
        <v>140</v>
      </c>
      <c r="K129" s="42" t="s">
        <v>118</v>
      </c>
      <c r="L129" s="42" t="s">
        <v>118</v>
      </c>
      <c r="M129" s="42"/>
      <c r="N129" s="42"/>
      <c r="O129" s="42"/>
      <c r="P129" s="42"/>
      <c r="Q129" s="4" t="s">
        <v>301</v>
      </c>
      <c r="S129" s="5" t="s">
        <v>87</v>
      </c>
      <c r="T129" s="5">
        <v>1</v>
      </c>
      <c r="U129" s="5" t="s">
        <v>89</v>
      </c>
    </row>
    <row r="130" spans="1:22" x14ac:dyDescent="0.25">
      <c r="A130" s="20">
        <v>4</v>
      </c>
      <c r="B130" s="42" t="s">
        <v>246</v>
      </c>
      <c r="C130" s="42" t="s">
        <v>22</v>
      </c>
      <c r="D130" s="42" t="s">
        <v>170</v>
      </c>
      <c r="E130" s="42">
        <f>C127</f>
        <v>50</v>
      </c>
      <c r="F130" s="42">
        <f>D127</f>
        <v>50</v>
      </c>
      <c r="G130" s="42">
        <v>0</v>
      </c>
      <c r="H130" s="42">
        <v>0</v>
      </c>
      <c r="I130" s="42" t="s">
        <v>261</v>
      </c>
      <c r="J130" s="42" t="s">
        <v>118</v>
      </c>
      <c r="K130" s="42" t="s">
        <v>118</v>
      </c>
      <c r="L130" s="42"/>
      <c r="M130" s="42"/>
      <c r="N130" s="42"/>
      <c r="O130" s="42"/>
      <c r="P130" s="42"/>
      <c r="Q130" s="4" t="s">
        <v>301</v>
      </c>
      <c r="S130" s="5" t="s">
        <v>88</v>
      </c>
      <c r="T130" s="5">
        <v>1</v>
      </c>
      <c r="U130" s="5" t="s">
        <v>89</v>
      </c>
    </row>
    <row r="131" spans="1:22" x14ac:dyDescent="0.25">
      <c r="A131" s="20">
        <v>5</v>
      </c>
      <c r="B131" s="20"/>
      <c r="C131" s="20"/>
      <c r="D131" s="20"/>
      <c r="E131" s="20"/>
      <c r="F131" s="20"/>
      <c r="G131" s="20"/>
      <c r="H131" s="20"/>
      <c r="I131" s="20"/>
      <c r="J131" s="20"/>
      <c r="K131" s="20"/>
      <c r="L131" s="20"/>
      <c r="M131" s="20"/>
      <c r="N131" s="20"/>
      <c r="O131" s="20"/>
      <c r="P131" s="20"/>
      <c r="Q131" s="20"/>
      <c r="S131" s="5" t="s">
        <v>193</v>
      </c>
      <c r="T131" s="5" t="s">
        <v>204</v>
      </c>
      <c r="U131" s="5"/>
    </row>
    <row r="132" spans="1:22" x14ac:dyDescent="0.25">
      <c r="A132" s="20">
        <v>6</v>
      </c>
      <c r="B132" s="20"/>
      <c r="C132" s="21" t="s">
        <v>335</v>
      </c>
      <c r="D132" s="21"/>
      <c r="E132" s="21"/>
      <c r="F132" s="21"/>
      <c r="G132" s="21"/>
      <c r="H132" s="21"/>
      <c r="I132" s="21"/>
      <c r="J132" s="20"/>
      <c r="K132" s="20"/>
      <c r="L132" s="20"/>
      <c r="M132" s="20"/>
      <c r="N132" s="20"/>
      <c r="O132" s="20"/>
      <c r="P132" s="20"/>
      <c r="Q132" s="20"/>
      <c r="S132" s="5" t="s">
        <v>194</v>
      </c>
      <c r="T132" s="5">
        <v>0</v>
      </c>
      <c r="U132" s="5"/>
    </row>
    <row r="133" spans="1:22" x14ac:dyDescent="0.25">
      <c r="A133" s="20">
        <v>7</v>
      </c>
      <c r="B133" s="20"/>
      <c r="C133" s="20"/>
      <c r="D133" s="20"/>
      <c r="E133" s="20"/>
      <c r="F133" s="20"/>
      <c r="G133" s="20"/>
      <c r="H133" s="20"/>
      <c r="I133" s="20"/>
      <c r="J133" s="20"/>
      <c r="K133" s="20"/>
      <c r="L133" s="20"/>
      <c r="M133" s="20"/>
      <c r="N133" s="20"/>
      <c r="O133" s="20"/>
      <c r="P133" s="20"/>
      <c r="Q133" s="20"/>
      <c r="S133" s="57"/>
      <c r="T133" s="57"/>
      <c r="U133" s="90"/>
    </row>
    <row r="134" spans="1:22" x14ac:dyDescent="0.25">
      <c r="A134" s="20">
        <v>8</v>
      </c>
      <c r="B134" s="20"/>
      <c r="C134" s="20"/>
      <c r="D134" s="20"/>
      <c r="E134" s="20"/>
      <c r="F134" s="20"/>
      <c r="G134" s="20"/>
      <c r="H134" s="20"/>
      <c r="I134" s="20"/>
      <c r="J134" s="20"/>
      <c r="K134" s="20"/>
      <c r="L134" s="20"/>
      <c r="M134" s="20"/>
      <c r="N134" s="20"/>
      <c r="O134" s="20"/>
      <c r="P134" s="20"/>
      <c r="Q134" s="20"/>
      <c r="S134" s="5" t="s">
        <v>338</v>
      </c>
      <c r="T134" s="5">
        <v>60</v>
      </c>
      <c r="U134" s="5" t="s">
        <v>43</v>
      </c>
      <c r="V134" s="1"/>
    </row>
    <row r="135" spans="1:22" x14ac:dyDescent="0.25">
      <c r="A135" s="20">
        <v>9</v>
      </c>
      <c r="B135" s="20"/>
      <c r="C135" s="20"/>
      <c r="D135" s="20"/>
      <c r="E135" s="20"/>
      <c r="F135" s="20"/>
      <c r="G135" s="20"/>
      <c r="H135" s="20"/>
      <c r="I135" s="20"/>
      <c r="J135" s="20"/>
      <c r="K135" s="20"/>
      <c r="L135" s="20"/>
      <c r="M135" s="20"/>
      <c r="N135" s="20"/>
      <c r="O135" s="20"/>
      <c r="P135" s="20"/>
      <c r="Q135" s="20"/>
      <c r="S135" s="5" t="s">
        <v>85</v>
      </c>
      <c r="T135" s="5">
        <v>1000</v>
      </c>
      <c r="U135" s="5" t="s">
        <v>45</v>
      </c>
    </row>
    <row r="136" spans="1:22" x14ac:dyDescent="0.25">
      <c r="A136" s="20">
        <v>10</v>
      </c>
      <c r="B136" s="20"/>
      <c r="C136" s="20"/>
      <c r="D136" s="20"/>
      <c r="E136" s="20"/>
      <c r="F136" s="20"/>
      <c r="G136" s="20"/>
      <c r="H136" s="20"/>
      <c r="I136" s="20"/>
      <c r="J136" s="20"/>
      <c r="K136" s="20"/>
      <c r="L136" s="20"/>
      <c r="M136" s="20"/>
      <c r="N136" s="20"/>
      <c r="O136" s="20"/>
      <c r="P136" s="20"/>
      <c r="Q136" s="20"/>
      <c r="S136" s="5" t="s">
        <v>86</v>
      </c>
      <c r="T136" s="5">
        <v>9000</v>
      </c>
      <c r="U136" s="5" t="s">
        <v>45</v>
      </c>
    </row>
    <row r="137" spans="1:22" x14ac:dyDescent="0.25">
      <c r="A137" s="20">
        <v>11</v>
      </c>
      <c r="B137" s="20"/>
      <c r="C137" s="20"/>
      <c r="D137" s="20"/>
      <c r="E137" s="20"/>
      <c r="F137" s="20"/>
      <c r="G137" s="20"/>
      <c r="H137" s="20"/>
      <c r="I137" s="20"/>
      <c r="J137" s="20"/>
      <c r="K137" s="20"/>
      <c r="L137" s="20"/>
      <c r="M137" s="20"/>
      <c r="N137" s="20"/>
      <c r="O137" s="20"/>
      <c r="P137" s="20"/>
      <c r="Q137" s="20"/>
      <c r="S137" s="5" t="s">
        <v>41</v>
      </c>
      <c r="T137" s="5">
        <v>210</v>
      </c>
      <c r="U137" s="5" t="s">
        <v>43</v>
      </c>
      <c r="V137" s="1"/>
    </row>
    <row r="138" spans="1:22" x14ac:dyDescent="0.25">
      <c r="A138" s="29"/>
      <c r="B138" s="29"/>
      <c r="C138" s="29"/>
      <c r="D138" s="29"/>
      <c r="E138" s="29"/>
      <c r="F138" s="29"/>
      <c r="G138" s="29"/>
      <c r="H138" s="29"/>
      <c r="I138" s="29"/>
      <c r="J138" s="29"/>
      <c r="K138" s="29"/>
      <c r="L138" s="29"/>
      <c r="M138" s="29"/>
      <c r="N138" s="29"/>
      <c r="O138" s="29"/>
      <c r="P138" s="29"/>
      <c r="Q138" s="29"/>
      <c r="S138" s="5" t="s">
        <v>42</v>
      </c>
      <c r="T138" s="5">
        <v>2.85</v>
      </c>
      <c r="U138" s="5" t="s">
        <v>44</v>
      </c>
    </row>
    <row r="139" spans="1:22" x14ac:dyDescent="0.25">
      <c r="A139" s="29"/>
      <c r="B139" s="29"/>
      <c r="C139" s="29"/>
      <c r="D139" s="29"/>
      <c r="E139" s="29"/>
      <c r="F139" s="29"/>
      <c r="G139" s="29"/>
      <c r="H139" s="29"/>
      <c r="I139" s="29"/>
      <c r="J139" s="29"/>
      <c r="K139" s="29"/>
      <c r="L139" s="29"/>
      <c r="M139" s="29"/>
      <c r="N139" s="29"/>
      <c r="O139" s="29"/>
      <c r="P139" s="29"/>
      <c r="Q139" s="29"/>
      <c r="S139" s="5" t="s">
        <v>46</v>
      </c>
      <c r="T139" s="5" t="s">
        <v>82</v>
      </c>
      <c r="U139" s="5" t="s">
        <v>90</v>
      </c>
    </row>
    <row r="140" spans="1:22" x14ac:dyDescent="0.25">
      <c r="A140" s="29"/>
      <c r="B140" s="29"/>
      <c r="C140" s="29"/>
      <c r="D140" s="29"/>
      <c r="E140" s="29"/>
      <c r="F140" s="29"/>
      <c r="G140" s="29"/>
      <c r="H140" s="29"/>
      <c r="I140" s="29"/>
      <c r="J140" s="29"/>
      <c r="K140" s="29"/>
      <c r="L140" s="29"/>
      <c r="M140" s="29"/>
      <c r="N140" s="29"/>
      <c r="O140" s="29"/>
      <c r="P140" s="29"/>
      <c r="Q140" s="29"/>
      <c r="S140" s="5" t="s">
        <v>108</v>
      </c>
      <c r="T140" s="5" t="s">
        <v>153</v>
      </c>
      <c r="U140" s="5"/>
    </row>
    <row r="141" spans="1:22" x14ac:dyDescent="0.25">
      <c r="A141" s="29"/>
      <c r="B141" s="29"/>
      <c r="C141" s="29"/>
      <c r="D141" s="29"/>
      <c r="E141" s="29"/>
      <c r="F141" s="29"/>
      <c r="G141" s="29"/>
      <c r="H141" s="29"/>
      <c r="I141" s="29"/>
      <c r="J141" s="29"/>
      <c r="K141" s="29"/>
      <c r="L141" s="29"/>
      <c r="M141" s="29"/>
      <c r="N141" s="29"/>
      <c r="O141" s="29"/>
      <c r="P141" s="29"/>
      <c r="Q141" s="29"/>
      <c r="S141" s="5" t="s">
        <v>152</v>
      </c>
      <c r="T141" s="5" t="s">
        <v>125</v>
      </c>
      <c r="U141" s="5"/>
    </row>
    <row r="142" spans="1:22" x14ac:dyDescent="0.25">
      <c r="A142" s="29"/>
      <c r="B142" s="29"/>
      <c r="C142" s="29"/>
      <c r="D142" s="29"/>
      <c r="E142" s="29"/>
      <c r="F142" s="29"/>
      <c r="G142" s="29"/>
      <c r="H142" s="29"/>
      <c r="I142" s="29"/>
      <c r="J142" s="29"/>
      <c r="K142" s="29"/>
      <c r="L142" s="29"/>
      <c r="M142" s="29"/>
      <c r="N142" s="29"/>
      <c r="O142" s="29"/>
      <c r="P142" s="29"/>
      <c r="Q142" s="29"/>
      <c r="S142" s="5" t="s">
        <v>167</v>
      </c>
      <c r="T142" s="5">
        <v>20</v>
      </c>
      <c r="U142" s="5" t="s">
        <v>44</v>
      </c>
    </row>
    <row r="143" spans="1:22" x14ac:dyDescent="0.25">
      <c r="A143" s="29"/>
      <c r="B143" s="29"/>
      <c r="C143" s="29"/>
      <c r="D143" s="29"/>
      <c r="E143" s="29"/>
      <c r="F143" s="29"/>
      <c r="G143" s="29"/>
      <c r="H143" s="29"/>
      <c r="I143" s="29"/>
      <c r="J143" s="29"/>
      <c r="K143" s="29"/>
      <c r="L143" s="29"/>
      <c r="M143" s="29"/>
      <c r="N143" s="29"/>
      <c r="O143" s="29"/>
      <c r="P143" s="29"/>
      <c r="Q143" s="29"/>
      <c r="S143" s="5" t="s">
        <v>168</v>
      </c>
      <c r="T143" s="5">
        <v>10</v>
      </c>
      <c r="U143" s="5" t="s">
        <v>44</v>
      </c>
    </row>
    <row r="144" spans="1:22" x14ac:dyDescent="0.25">
      <c r="A144" s="29"/>
      <c r="B144" s="29"/>
      <c r="C144" s="29"/>
      <c r="D144" s="29"/>
      <c r="E144" s="29"/>
      <c r="F144" s="29"/>
      <c r="G144" s="29"/>
      <c r="H144" s="29"/>
      <c r="I144" s="29"/>
      <c r="J144" s="29"/>
      <c r="K144" s="29"/>
      <c r="L144" s="29"/>
      <c r="M144" s="29"/>
      <c r="N144" s="29"/>
      <c r="O144" s="29"/>
      <c r="P144" s="29"/>
      <c r="Q144" s="29"/>
      <c r="S144" s="5" t="s">
        <v>169</v>
      </c>
      <c r="T144" s="5">
        <v>0.3</v>
      </c>
      <c r="U144" s="5" t="s">
        <v>44</v>
      </c>
    </row>
    <row r="145" spans="1:46" x14ac:dyDescent="0.25">
      <c r="A145" s="29"/>
      <c r="B145" s="29"/>
      <c r="C145" s="29"/>
      <c r="D145" s="29"/>
      <c r="E145" s="29"/>
      <c r="F145" s="29"/>
      <c r="G145" s="29"/>
      <c r="H145" s="29"/>
      <c r="I145" s="29"/>
      <c r="J145" s="29"/>
      <c r="K145" s="29"/>
      <c r="L145" s="29"/>
      <c r="M145" s="29"/>
      <c r="N145" s="29"/>
      <c r="O145" s="29"/>
      <c r="P145" s="29"/>
      <c r="Q145" s="29"/>
      <c r="S145" s="78" t="s">
        <v>339</v>
      </c>
      <c r="T145" s="5">
        <v>0</v>
      </c>
      <c r="U145" s="5"/>
      <c r="V145" s="1"/>
    </row>
    <row r="146" spans="1:46" x14ac:dyDescent="0.25">
      <c r="A146" s="29"/>
      <c r="B146" s="29"/>
      <c r="C146" s="29"/>
      <c r="D146" s="29"/>
      <c r="E146" s="29"/>
      <c r="F146" s="29"/>
      <c r="G146" s="29"/>
      <c r="H146" s="29"/>
      <c r="I146" s="29"/>
      <c r="J146" s="29"/>
      <c r="K146" s="29"/>
      <c r="L146" s="29"/>
      <c r="M146" s="29"/>
      <c r="N146" s="29"/>
      <c r="O146" s="29"/>
      <c r="P146" s="29"/>
      <c r="Q146" s="29"/>
      <c r="S146" s="5" t="s">
        <v>154</v>
      </c>
      <c r="T146" s="5" t="s">
        <v>166</v>
      </c>
      <c r="U146" s="5" t="s">
        <v>158</v>
      </c>
    </row>
    <row r="147" spans="1:46" x14ac:dyDescent="0.25">
      <c r="A147" s="29"/>
      <c r="B147" s="29"/>
      <c r="C147" s="29"/>
      <c r="D147" s="29"/>
      <c r="E147" s="29"/>
      <c r="F147" s="29"/>
      <c r="G147" s="29"/>
      <c r="H147" s="29"/>
      <c r="I147" s="29"/>
      <c r="J147" s="29"/>
      <c r="K147" s="29"/>
      <c r="L147" s="29"/>
      <c r="M147" s="29"/>
      <c r="N147" s="29"/>
      <c r="O147" s="29"/>
      <c r="P147" s="29"/>
      <c r="Q147" s="29"/>
      <c r="S147" s="5" t="s">
        <v>159</v>
      </c>
      <c r="T147" s="5">
        <v>5</v>
      </c>
      <c r="U147" s="5" t="s">
        <v>44</v>
      </c>
      <c r="V147" s="1"/>
    </row>
    <row r="148" spans="1:46" x14ac:dyDescent="0.25">
      <c r="A148" s="29"/>
      <c r="B148" s="29"/>
      <c r="C148" s="29"/>
      <c r="D148" s="29"/>
      <c r="E148" s="29"/>
      <c r="F148" s="29"/>
      <c r="G148" s="29"/>
      <c r="H148" s="29"/>
      <c r="I148" s="29"/>
      <c r="J148" s="29"/>
      <c r="K148" s="29"/>
      <c r="L148" s="29"/>
      <c r="M148" s="29"/>
      <c r="N148" s="29"/>
      <c r="O148" s="29"/>
      <c r="P148" s="29"/>
      <c r="Q148" s="29"/>
      <c r="S148" s="5" t="s">
        <v>160</v>
      </c>
      <c r="T148" s="5">
        <v>7</v>
      </c>
      <c r="U148" s="5" t="s">
        <v>90</v>
      </c>
    </row>
    <row r="149" spans="1:46" x14ac:dyDescent="0.25">
      <c r="A149" s="29"/>
      <c r="B149" s="29"/>
      <c r="C149" s="29"/>
      <c r="D149" s="29"/>
      <c r="E149" s="29"/>
      <c r="F149" s="29"/>
      <c r="G149" s="29"/>
      <c r="H149" s="29"/>
      <c r="I149" s="29"/>
      <c r="J149" s="29"/>
      <c r="K149" s="29"/>
      <c r="L149" s="29"/>
      <c r="M149" s="29"/>
      <c r="N149" s="29"/>
      <c r="O149" s="29"/>
      <c r="P149" s="29"/>
      <c r="Q149" s="29"/>
      <c r="S149" s="5" t="s">
        <v>161</v>
      </c>
      <c r="T149" s="5">
        <v>2500</v>
      </c>
      <c r="U149" s="5" t="s">
        <v>45</v>
      </c>
    </row>
    <row r="150" spans="1:46" x14ac:dyDescent="0.25">
      <c r="A150" s="29"/>
      <c r="B150" s="29"/>
      <c r="C150" s="29"/>
      <c r="D150" s="29"/>
      <c r="E150" s="29"/>
      <c r="F150" s="29"/>
      <c r="G150" s="29"/>
      <c r="H150" s="29"/>
      <c r="I150" s="29"/>
      <c r="J150" s="29"/>
      <c r="K150" s="29"/>
      <c r="L150" s="29"/>
      <c r="M150" s="29"/>
      <c r="N150" s="29"/>
      <c r="O150" s="29"/>
      <c r="P150" s="29"/>
      <c r="Q150" s="29"/>
      <c r="S150" s="5" t="s">
        <v>162</v>
      </c>
      <c r="T150" s="5">
        <f>-T148</f>
        <v>-7</v>
      </c>
      <c r="U150" s="5" t="s">
        <v>90</v>
      </c>
    </row>
    <row r="151" spans="1:46" x14ac:dyDescent="0.25">
      <c r="A151" s="29"/>
      <c r="B151" s="29"/>
      <c r="C151" s="29"/>
      <c r="D151" s="29"/>
      <c r="E151" s="29"/>
      <c r="F151" s="29"/>
      <c r="G151" s="29"/>
      <c r="H151" s="29"/>
      <c r="I151" s="29"/>
      <c r="J151" s="29"/>
      <c r="K151" s="29"/>
      <c r="L151" s="29"/>
      <c r="M151" s="29"/>
      <c r="N151" s="29"/>
      <c r="O151" s="29"/>
      <c r="P151" s="29"/>
      <c r="Q151" s="29"/>
      <c r="S151" s="3" t="s">
        <v>163</v>
      </c>
      <c r="T151" s="3">
        <f>T149</f>
        <v>2500</v>
      </c>
      <c r="U151" s="5" t="s">
        <v>45</v>
      </c>
    </row>
    <row r="152" spans="1:46" x14ac:dyDescent="0.25">
      <c r="A152" s="29"/>
      <c r="B152" s="29"/>
      <c r="C152" s="29"/>
      <c r="D152" s="29"/>
      <c r="E152" s="29"/>
      <c r="F152" s="29"/>
      <c r="G152" s="29"/>
      <c r="H152" s="29"/>
      <c r="I152" s="29"/>
      <c r="J152" s="29"/>
      <c r="K152" s="29"/>
      <c r="L152" s="29"/>
      <c r="M152" s="29"/>
      <c r="N152" s="29"/>
      <c r="O152" s="29"/>
      <c r="P152" s="29"/>
      <c r="Q152" s="29"/>
      <c r="S152" s="3" t="s">
        <v>164</v>
      </c>
      <c r="T152" s="3">
        <v>0.2</v>
      </c>
      <c r="U152" s="5" t="s">
        <v>44</v>
      </c>
    </row>
    <row r="153" spans="1:46" x14ac:dyDescent="0.25">
      <c r="A153" s="29"/>
      <c r="B153" s="29"/>
      <c r="C153" s="29"/>
      <c r="D153" s="29"/>
      <c r="E153" s="29"/>
      <c r="F153" s="29"/>
      <c r="G153" s="29"/>
      <c r="H153" s="29"/>
      <c r="I153" s="29"/>
      <c r="J153" s="29"/>
      <c r="K153" s="29"/>
      <c r="L153" s="29"/>
      <c r="M153" s="29"/>
      <c r="N153" s="29"/>
      <c r="O153" s="29"/>
      <c r="P153" s="29"/>
      <c r="Q153" s="29"/>
      <c r="S153" s="3" t="s">
        <v>165</v>
      </c>
      <c r="T153" s="3">
        <v>7500</v>
      </c>
      <c r="U153" s="5" t="s">
        <v>45</v>
      </c>
    </row>
    <row r="154" spans="1:46" x14ac:dyDescent="0.25">
      <c r="A154" s="29"/>
      <c r="B154" s="29"/>
      <c r="C154" s="29"/>
      <c r="D154" s="29"/>
      <c r="E154" s="29"/>
      <c r="F154" s="29"/>
      <c r="G154" s="29"/>
      <c r="H154" s="29"/>
      <c r="I154" s="29"/>
      <c r="J154" s="29"/>
      <c r="K154" s="29"/>
      <c r="L154" s="29"/>
      <c r="M154" s="29"/>
      <c r="N154" s="29"/>
      <c r="O154" s="29"/>
      <c r="P154" s="29"/>
      <c r="Q154" s="29"/>
      <c r="S154" s="29"/>
      <c r="T154" s="29"/>
      <c r="U154" s="91"/>
      <c r="V154" s="29"/>
      <c r="W154" s="29"/>
      <c r="X154" s="29"/>
      <c r="Y154" s="29"/>
      <c r="Z154" s="29"/>
      <c r="AA154" s="29"/>
      <c r="AB154" s="29"/>
      <c r="AC154" s="29"/>
      <c r="AE154" s="29"/>
      <c r="AF154" s="29"/>
    </row>
    <row r="155" spans="1:46" x14ac:dyDescent="0.25">
      <c r="A155" s="29"/>
      <c r="B155" s="29"/>
      <c r="C155" s="29"/>
      <c r="D155" s="29"/>
      <c r="E155" s="29"/>
      <c r="F155" s="29"/>
      <c r="G155" s="29"/>
      <c r="H155" s="29"/>
      <c r="I155" s="29"/>
      <c r="J155" s="29"/>
      <c r="K155" s="29"/>
      <c r="L155" s="29"/>
      <c r="M155" s="29"/>
      <c r="N155" s="29"/>
      <c r="O155" s="29"/>
      <c r="P155" s="29"/>
      <c r="Q155" s="29"/>
      <c r="S155" s="96" t="s">
        <v>292</v>
      </c>
      <c r="T155" s="96" t="s">
        <v>293</v>
      </c>
      <c r="U155" s="97" t="s">
        <v>331</v>
      </c>
      <c r="V155" s="29"/>
      <c r="W155" s="29"/>
      <c r="X155" s="29"/>
      <c r="Y155" s="29"/>
      <c r="Z155" s="29"/>
      <c r="AA155" s="29"/>
      <c r="AB155" s="29"/>
      <c r="AC155" s="29"/>
      <c r="AD155" s="29"/>
      <c r="AE155" s="29"/>
      <c r="AF155" s="29"/>
    </row>
    <row r="156" spans="1:46" x14ac:dyDescent="0.25">
      <c r="A156" s="29"/>
      <c r="B156" s="29"/>
      <c r="C156" s="29"/>
      <c r="D156" s="29"/>
      <c r="E156" s="29"/>
      <c r="F156" s="29"/>
      <c r="G156" s="29"/>
      <c r="H156" s="29"/>
      <c r="I156" s="29"/>
      <c r="J156" s="29"/>
      <c r="K156" s="29"/>
      <c r="L156" s="29"/>
      <c r="M156" s="29"/>
      <c r="N156" s="29"/>
      <c r="O156" s="29"/>
      <c r="P156" s="29"/>
      <c r="Q156" s="29"/>
      <c r="R156" s="29"/>
      <c r="S156" s="75"/>
      <c r="T156" s="75"/>
      <c r="U156" s="92"/>
      <c r="V156" s="29"/>
      <c r="W156" s="29"/>
      <c r="X156" s="29"/>
      <c r="Y156" s="29"/>
      <c r="Z156" s="29"/>
      <c r="AA156" s="29"/>
      <c r="AB156" s="29"/>
      <c r="AC156" s="29"/>
      <c r="AD156" s="29"/>
      <c r="AE156" s="29"/>
      <c r="AF156" s="29"/>
      <c r="AG156" s="29"/>
      <c r="AH156" s="29"/>
      <c r="AI156" s="29"/>
      <c r="AJ156" s="29"/>
      <c r="AK156" s="29"/>
      <c r="AL156" s="29"/>
      <c r="AM156" s="29"/>
      <c r="AN156" s="29"/>
    </row>
    <row r="157" spans="1:46" x14ac:dyDescent="0.25">
      <c r="A157" s="29"/>
      <c r="B157" s="29"/>
      <c r="C157" s="29"/>
      <c r="D157" s="29"/>
      <c r="E157" s="29"/>
      <c r="F157" s="29"/>
      <c r="G157" s="29"/>
      <c r="H157" s="29"/>
      <c r="I157" s="29"/>
      <c r="J157" s="29"/>
      <c r="K157" s="29"/>
      <c r="L157" s="29"/>
      <c r="M157" s="29"/>
      <c r="N157" s="29"/>
      <c r="O157" s="29"/>
      <c r="P157" s="29"/>
      <c r="Q157" s="29"/>
      <c r="R157" s="29"/>
      <c r="S157" s="75" t="s">
        <v>295</v>
      </c>
      <c r="T157" s="75">
        <v>12</v>
      </c>
      <c r="U157" s="92" t="s">
        <v>89</v>
      </c>
      <c r="V157" s="29"/>
      <c r="W157" s="29"/>
      <c r="X157" s="29"/>
      <c r="Y157" s="29"/>
      <c r="Z157" s="29"/>
      <c r="AA157" s="29"/>
      <c r="AB157" s="29"/>
      <c r="AC157" s="29"/>
      <c r="AD157" s="29"/>
      <c r="AE157" s="29"/>
      <c r="AF157" s="29"/>
      <c r="AG157" s="29"/>
      <c r="AH157" s="29"/>
      <c r="AI157" s="29"/>
      <c r="AJ157" s="29"/>
      <c r="AK157" s="29"/>
      <c r="AL157" s="29"/>
      <c r="AM157" s="29"/>
      <c r="AN157" s="29"/>
    </row>
    <row r="158" spans="1:46" x14ac:dyDescent="0.25">
      <c r="A158" s="29"/>
      <c r="B158" s="29"/>
      <c r="C158" s="29"/>
      <c r="D158" s="29"/>
      <c r="E158" s="29"/>
      <c r="F158" s="29"/>
      <c r="G158" s="29"/>
      <c r="H158" s="29"/>
      <c r="I158" s="29"/>
      <c r="J158" s="29"/>
      <c r="K158" s="29"/>
      <c r="L158" s="29"/>
      <c r="M158" s="29"/>
      <c r="N158" s="29"/>
      <c r="O158" s="29"/>
      <c r="P158" s="29"/>
      <c r="Q158" s="29"/>
      <c r="R158" s="29"/>
      <c r="S158" s="75" t="s">
        <v>298</v>
      </c>
      <c r="T158" s="75">
        <v>100</v>
      </c>
      <c r="U158" s="92" t="s">
        <v>89</v>
      </c>
      <c r="V158" s="29"/>
      <c r="W158" s="29"/>
      <c r="X158" s="29"/>
      <c r="Y158" s="29"/>
      <c r="Z158" s="29"/>
      <c r="AA158" s="29"/>
      <c r="AB158" s="29"/>
      <c r="AC158" s="29"/>
      <c r="AD158" s="29"/>
      <c r="AE158" s="29"/>
      <c r="AF158" s="29"/>
      <c r="AG158" s="29"/>
      <c r="AH158" s="29"/>
      <c r="AI158" s="29"/>
      <c r="AJ158" s="29"/>
      <c r="AK158" s="29"/>
      <c r="AL158" s="29"/>
      <c r="AM158" s="29"/>
      <c r="AN158" s="29"/>
    </row>
    <row r="160" spans="1:46" x14ac:dyDescent="0.25">
      <c r="A160" s="58" t="s">
        <v>129</v>
      </c>
      <c r="B160" s="2" t="s">
        <v>303</v>
      </c>
      <c r="C160" s="58" t="s">
        <v>128</v>
      </c>
      <c r="D160" s="2" t="s">
        <v>334</v>
      </c>
      <c r="E160" s="29"/>
      <c r="F160" s="29"/>
      <c r="G160" s="29"/>
      <c r="H160" s="29"/>
      <c r="I160" s="29"/>
      <c r="J160" s="29"/>
      <c r="K160" s="29"/>
      <c r="L160" s="29"/>
      <c r="M160" s="29"/>
      <c r="N160" s="29"/>
      <c r="O160" s="29"/>
      <c r="P160" s="29"/>
      <c r="AO160" t="s">
        <v>130</v>
      </c>
      <c r="AP160" t="s">
        <v>304</v>
      </c>
      <c r="AQ160" t="s">
        <v>129</v>
      </c>
      <c r="AR160" t="s">
        <v>303</v>
      </c>
      <c r="AS160" t="s">
        <v>128</v>
      </c>
      <c r="AT160" t="s">
        <v>334</v>
      </c>
    </row>
    <row r="161" spans="1:22" x14ac:dyDescent="0.25">
      <c r="A161" s="40" t="s">
        <v>0</v>
      </c>
      <c r="B161" s="41"/>
      <c r="C161" s="18"/>
      <c r="D161" s="18"/>
      <c r="E161" s="18"/>
      <c r="F161" s="18"/>
      <c r="G161" s="18"/>
      <c r="H161" s="18"/>
      <c r="I161" s="18"/>
      <c r="J161" s="18"/>
      <c r="K161" s="18"/>
      <c r="L161" s="18"/>
      <c r="M161" s="18"/>
      <c r="N161" s="18"/>
      <c r="O161" s="18"/>
      <c r="P161" s="18"/>
      <c r="Q161" s="58" t="s">
        <v>289</v>
      </c>
    </row>
    <row r="162" spans="1:22" x14ac:dyDescent="0.25">
      <c r="A162" s="20">
        <v>1</v>
      </c>
      <c r="B162" s="8" t="s">
        <v>1</v>
      </c>
      <c r="C162" s="8" t="s">
        <v>18</v>
      </c>
      <c r="D162" s="8">
        <v>20</v>
      </c>
      <c r="E162" s="8">
        <v>10</v>
      </c>
      <c r="F162" s="8">
        <v>0</v>
      </c>
      <c r="G162" s="8">
        <v>30</v>
      </c>
      <c r="H162" s="8">
        <v>10</v>
      </c>
      <c r="I162" s="8">
        <v>0</v>
      </c>
      <c r="J162" s="8" t="s">
        <v>19</v>
      </c>
      <c r="K162" s="8">
        <v>0.6</v>
      </c>
      <c r="L162" s="8">
        <v>0.2</v>
      </c>
      <c r="M162" s="8"/>
      <c r="N162" s="8"/>
      <c r="O162" s="8"/>
      <c r="P162" s="8"/>
      <c r="Q162" s="9" t="s">
        <v>302</v>
      </c>
      <c r="S162" s="95" t="s">
        <v>40</v>
      </c>
      <c r="T162" s="3"/>
      <c r="U162" s="5"/>
    </row>
    <row r="163" spans="1:22" x14ac:dyDescent="0.25">
      <c r="A163" s="20">
        <v>2</v>
      </c>
      <c r="B163" s="8" t="s">
        <v>9</v>
      </c>
      <c r="C163" s="8" t="s">
        <v>100</v>
      </c>
      <c r="D163" s="8" t="s">
        <v>100</v>
      </c>
      <c r="E163" s="8" t="s">
        <v>115</v>
      </c>
      <c r="F163" s="8" t="s">
        <v>106</v>
      </c>
      <c r="G163" s="8">
        <v>0</v>
      </c>
      <c r="H163" s="8" t="s">
        <v>20</v>
      </c>
      <c r="I163" s="8">
        <v>0.6</v>
      </c>
      <c r="J163" s="8">
        <v>0.2</v>
      </c>
      <c r="K163" s="8"/>
      <c r="L163" s="8"/>
      <c r="M163" s="8"/>
      <c r="N163" s="8"/>
      <c r="O163" s="8"/>
      <c r="P163" s="8"/>
      <c r="Q163" s="9" t="s">
        <v>302</v>
      </c>
      <c r="S163" s="5" t="s">
        <v>98</v>
      </c>
      <c r="T163" s="5">
        <v>0.2</v>
      </c>
      <c r="U163" s="5" t="s">
        <v>44</v>
      </c>
    </row>
    <row r="164" spans="1:22" x14ac:dyDescent="0.25">
      <c r="A164" s="20">
        <v>3</v>
      </c>
      <c r="B164" s="8" t="s">
        <v>1</v>
      </c>
      <c r="C164" s="8" t="s">
        <v>18</v>
      </c>
      <c r="D164" s="8" t="s">
        <v>100</v>
      </c>
      <c r="E164" s="8" t="s">
        <v>100</v>
      </c>
      <c r="F164" s="8" t="s">
        <v>100</v>
      </c>
      <c r="G164" s="8">
        <f>_xlfn.SINGLE(StartX)</f>
        <v>275</v>
      </c>
      <c r="H164" s="8">
        <f>_xlfn.SINGLE(StartY)</f>
        <v>100</v>
      </c>
      <c r="I164" s="8">
        <v>0</v>
      </c>
      <c r="J164" s="8" t="s">
        <v>19</v>
      </c>
      <c r="K164" s="8">
        <v>0.6</v>
      </c>
      <c r="L164" s="8">
        <v>0.2</v>
      </c>
      <c r="M164" s="8"/>
      <c r="N164" s="8"/>
      <c r="O164" s="8"/>
      <c r="P164" s="8"/>
      <c r="Q164" s="9" t="s">
        <v>302</v>
      </c>
      <c r="S164" s="5" t="s">
        <v>87</v>
      </c>
      <c r="T164" s="5">
        <v>1</v>
      </c>
      <c r="U164" s="5" t="s">
        <v>89</v>
      </c>
    </row>
    <row r="165" spans="1:22" x14ac:dyDescent="0.25">
      <c r="A165" s="20">
        <v>4</v>
      </c>
      <c r="B165" s="20"/>
      <c r="C165" s="20"/>
      <c r="D165" s="20"/>
      <c r="E165" s="20"/>
      <c r="F165" s="20"/>
      <c r="G165" s="20"/>
      <c r="H165" s="20"/>
      <c r="I165" s="20"/>
      <c r="J165" s="20"/>
      <c r="K165" s="20"/>
      <c r="L165" s="20"/>
      <c r="M165" s="20"/>
      <c r="N165" s="20"/>
      <c r="O165" s="20"/>
      <c r="P165" s="20"/>
      <c r="Q165" s="20"/>
      <c r="S165" s="5" t="s">
        <v>88</v>
      </c>
      <c r="T165" s="5">
        <v>1</v>
      </c>
      <c r="U165" s="5" t="s">
        <v>89</v>
      </c>
    </row>
    <row r="166" spans="1:22" x14ac:dyDescent="0.25">
      <c r="A166" s="20">
        <v>5</v>
      </c>
      <c r="B166" s="20"/>
      <c r="C166" s="20"/>
      <c r="D166" s="20"/>
      <c r="E166" s="20"/>
      <c r="F166" s="20"/>
      <c r="G166" s="20"/>
      <c r="H166" s="20"/>
      <c r="I166" s="20"/>
      <c r="J166" s="20"/>
      <c r="K166" s="20"/>
      <c r="L166" s="20"/>
      <c r="M166" s="20"/>
      <c r="N166" s="20"/>
      <c r="O166" s="20"/>
      <c r="P166" s="20"/>
      <c r="Q166" s="20"/>
      <c r="S166" s="5" t="s">
        <v>193</v>
      </c>
      <c r="T166" s="5" t="s">
        <v>204</v>
      </c>
      <c r="U166" s="5"/>
    </row>
    <row r="167" spans="1:22" x14ac:dyDescent="0.25">
      <c r="A167" s="20">
        <v>6</v>
      </c>
      <c r="B167" s="20"/>
      <c r="C167" s="20"/>
      <c r="D167" s="20"/>
      <c r="E167" s="20"/>
      <c r="F167" s="20"/>
      <c r="G167" s="20"/>
      <c r="H167" s="20"/>
      <c r="I167" s="20"/>
      <c r="J167" s="20"/>
      <c r="K167" s="20"/>
      <c r="L167" s="20"/>
      <c r="M167" s="20"/>
      <c r="N167" s="20"/>
      <c r="O167" s="20"/>
      <c r="P167" s="20"/>
      <c r="Q167" s="20"/>
      <c r="S167" s="5" t="s">
        <v>194</v>
      </c>
      <c r="T167" s="5">
        <v>0</v>
      </c>
      <c r="U167" s="5"/>
    </row>
    <row r="168" spans="1:22" x14ac:dyDescent="0.25">
      <c r="A168" s="20">
        <v>7</v>
      </c>
      <c r="B168" s="20"/>
      <c r="C168" s="20"/>
      <c r="D168" s="20"/>
      <c r="E168" s="20"/>
      <c r="F168" s="20"/>
      <c r="G168" s="20"/>
      <c r="H168" s="20"/>
      <c r="I168" s="20"/>
      <c r="J168" s="20"/>
      <c r="K168" s="20"/>
      <c r="L168" s="20"/>
      <c r="M168" s="20"/>
      <c r="N168" s="20"/>
      <c r="O168" s="20"/>
      <c r="P168" s="20"/>
      <c r="Q168" s="20"/>
      <c r="S168" s="57"/>
      <c r="T168" s="57"/>
      <c r="U168" s="90"/>
    </row>
    <row r="169" spans="1:22" x14ac:dyDescent="0.25">
      <c r="A169" s="20">
        <v>8</v>
      </c>
      <c r="B169" s="20"/>
      <c r="C169" s="20"/>
      <c r="D169" s="20"/>
      <c r="E169" s="20"/>
      <c r="F169" s="20"/>
      <c r="G169" s="20"/>
      <c r="H169" s="20"/>
      <c r="I169" s="20"/>
      <c r="J169" s="20"/>
      <c r="K169" s="20"/>
      <c r="L169" s="20"/>
      <c r="M169" s="20"/>
      <c r="N169" s="20"/>
      <c r="O169" s="20"/>
      <c r="P169" s="20"/>
      <c r="Q169" s="20"/>
      <c r="S169" s="5" t="s">
        <v>338</v>
      </c>
      <c r="T169" s="5">
        <v>60</v>
      </c>
      <c r="U169" s="5" t="s">
        <v>43</v>
      </c>
      <c r="V169" s="1"/>
    </row>
    <row r="170" spans="1:22" x14ac:dyDescent="0.25">
      <c r="A170" s="20">
        <v>9</v>
      </c>
      <c r="B170" s="20"/>
      <c r="C170" s="20"/>
      <c r="D170" s="20"/>
      <c r="E170" s="20"/>
      <c r="F170" s="20"/>
      <c r="G170" s="20"/>
      <c r="H170" s="20"/>
      <c r="I170" s="20"/>
      <c r="J170" s="20"/>
      <c r="K170" s="20"/>
      <c r="L170" s="20"/>
      <c r="M170" s="20"/>
      <c r="N170" s="20"/>
      <c r="O170" s="20"/>
      <c r="P170" s="20"/>
      <c r="Q170" s="20"/>
      <c r="S170" s="5" t="s">
        <v>85</v>
      </c>
      <c r="T170" s="5">
        <v>1000</v>
      </c>
      <c r="U170" s="5" t="s">
        <v>45</v>
      </c>
    </row>
    <row r="171" spans="1:22" x14ac:dyDescent="0.25">
      <c r="A171" s="20">
        <v>10</v>
      </c>
      <c r="B171" s="20"/>
      <c r="C171" s="20"/>
      <c r="D171" s="20"/>
      <c r="E171" s="20"/>
      <c r="F171" s="20"/>
      <c r="G171" s="20"/>
      <c r="H171" s="20"/>
      <c r="I171" s="20"/>
      <c r="J171" s="20"/>
      <c r="K171" s="20"/>
      <c r="L171" s="20"/>
      <c r="M171" s="20"/>
      <c r="N171" s="20"/>
      <c r="O171" s="20"/>
      <c r="P171" s="20"/>
      <c r="Q171" s="20"/>
      <c r="S171" s="5" t="s">
        <v>86</v>
      </c>
      <c r="T171" s="5">
        <v>9000</v>
      </c>
      <c r="U171" s="5" t="s">
        <v>45</v>
      </c>
    </row>
    <row r="172" spans="1:22" x14ac:dyDescent="0.25">
      <c r="A172" s="20">
        <v>11</v>
      </c>
      <c r="B172" s="20"/>
      <c r="C172" s="20"/>
      <c r="D172" s="20"/>
      <c r="E172" s="20"/>
      <c r="F172" s="20"/>
      <c r="G172" s="20"/>
      <c r="H172" s="20"/>
      <c r="I172" s="20"/>
      <c r="J172" s="20"/>
      <c r="K172" s="20"/>
      <c r="L172" s="20"/>
      <c r="M172" s="20"/>
      <c r="N172" s="20"/>
      <c r="O172" s="20"/>
      <c r="P172" s="20"/>
      <c r="Q172" s="20"/>
      <c r="S172" s="5" t="s">
        <v>41</v>
      </c>
      <c r="T172" s="5">
        <v>210</v>
      </c>
      <c r="U172" s="5" t="s">
        <v>43</v>
      </c>
      <c r="V172" s="1"/>
    </row>
    <row r="173" spans="1:22" x14ac:dyDescent="0.25">
      <c r="A173" s="29"/>
      <c r="B173" s="29"/>
      <c r="C173" s="29"/>
      <c r="D173" s="29"/>
      <c r="E173" s="29"/>
      <c r="F173" s="29"/>
      <c r="G173" s="29"/>
      <c r="H173" s="29"/>
      <c r="I173" s="29"/>
      <c r="J173" s="29"/>
      <c r="K173" s="29"/>
      <c r="L173" s="29"/>
      <c r="M173" s="29"/>
      <c r="N173" s="29"/>
      <c r="O173" s="29"/>
      <c r="P173" s="29"/>
      <c r="Q173" s="29"/>
      <c r="S173" s="5" t="s">
        <v>42</v>
      </c>
      <c r="T173" s="5">
        <v>2.85</v>
      </c>
      <c r="U173" s="5" t="s">
        <v>44</v>
      </c>
    </row>
    <row r="174" spans="1:22" x14ac:dyDescent="0.25">
      <c r="A174" s="29"/>
      <c r="B174" s="29"/>
      <c r="C174" s="29"/>
      <c r="D174" s="29"/>
      <c r="E174" s="29"/>
      <c r="F174" s="29"/>
      <c r="G174" s="29"/>
      <c r="H174" s="29"/>
      <c r="I174" s="29"/>
      <c r="J174" s="29"/>
      <c r="K174" s="29"/>
      <c r="L174" s="29"/>
      <c r="M174" s="29"/>
      <c r="N174" s="29"/>
      <c r="O174" s="29"/>
      <c r="P174" s="29"/>
      <c r="Q174" s="29"/>
      <c r="S174" s="5" t="s">
        <v>46</v>
      </c>
      <c r="T174" s="5" t="s">
        <v>82</v>
      </c>
      <c r="U174" s="5" t="s">
        <v>90</v>
      </c>
    </row>
    <row r="175" spans="1:22" x14ac:dyDescent="0.25">
      <c r="A175" s="29"/>
      <c r="B175" s="29"/>
      <c r="C175" s="29"/>
      <c r="D175" s="29"/>
      <c r="E175" s="29"/>
      <c r="F175" s="29"/>
      <c r="G175" s="29"/>
      <c r="H175" s="29"/>
      <c r="I175" s="29"/>
      <c r="J175" s="29"/>
      <c r="K175" s="29"/>
      <c r="L175" s="29"/>
      <c r="M175" s="29"/>
      <c r="N175" s="29"/>
      <c r="O175" s="29"/>
      <c r="P175" s="29"/>
      <c r="Q175" s="29"/>
      <c r="S175" s="5" t="s">
        <v>108</v>
      </c>
      <c r="T175" s="5" t="s">
        <v>153</v>
      </c>
      <c r="U175" s="5"/>
    </row>
    <row r="176" spans="1:22" x14ac:dyDescent="0.25">
      <c r="A176" s="29"/>
      <c r="B176" s="29"/>
      <c r="C176" s="29"/>
      <c r="D176" s="29"/>
      <c r="E176" s="29"/>
      <c r="F176" s="29"/>
      <c r="G176" s="29"/>
      <c r="H176" s="29"/>
      <c r="I176" s="29"/>
      <c r="J176" s="29"/>
      <c r="K176" s="29"/>
      <c r="L176" s="29"/>
      <c r="M176" s="29"/>
      <c r="N176" s="29"/>
      <c r="O176" s="29"/>
      <c r="P176" s="29"/>
      <c r="Q176" s="29"/>
      <c r="S176" s="5" t="s">
        <v>152</v>
      </c>
      <c r="T176" s="5" t="s">
        <v>125</v>
      </c>
      <c r="U176" s="5"/>
    </row>
    <row r="177" spans="1:32" x14ac:dyDescent="0.25">
      <c r="A177" s="29"/>
      <c r="B177" s="29"/>
      <c r="C177" s="29"/>
      <c r="D177" s="29"/>
      <c r="E177" s="29"/>
      <c r="F177" s="29"/>
      <c r="G177" s="29"/>
      <c r="H177" s="29"/>
      <c r="I177" s="29"/>
      <c r="J177" s="29"/>
      <c r="K177" s="29"/>
      <c r="L177" s="29"/>
      <c r="M177" s="29"/>
      <c r="N177" s="29"/>
      <c r="O177" s="29"/>
      <c r="P177" s="29"/>
      <c r="Q177" s="29"/>
      <c r="S177" s="5" t="s">
        <v>167</v>
      </c>
      <c r="T177" s="5">
        <v>20</v>
      </c>
      <c r="U177" s="5" t="s">
        <v>44</v>
      </c>
    </row>
    <row r="178" spans="1:32" x14ac:dyDescent="0.25">
      <c r="A178" s="29"/>
      <c r="B178" s="29"/>
      <c r="C178" s="29"/>
      <c r="D178" s="29"/>
      <c r="E178" s="29"/>
      <c r="F178" s="29"/>
      <c r="G178" s="29"/>
      <c r="H178" s="29"/>
      <c r="I178" s="29"/>
      <c r="J178" s="29"/>
      <c r="K178" s="29"/>
      <c r="L178" s="29"/>
      <c r="M178" s="29"/>
      <c r="N178" s="29"/>
      <c r="O178" s="29"/>
      <c r="P178" s="29"/>
      <c r="Q178" s="29"/>
      <c r="S178" s="5" t="s">
        <v>168</v>
      </c>
      <c r="T178" s="5">
        <v>10</v>
      </c>
      <c r="U178" s="5" t="s">
        <v>44</v>
      </c>
    </row>
    <row r="179" spans="1:32" x14ac:dyDescent="0.25">
      <c r="A179" s="29"/>
      <c r="B179" s="29"/>
      <c r="C179" s="29"/>
      <c r="D179" s="29"/>
      <c r="E179" s="29"/>
      <c r="F179" s="29"/>
      <c r="G179" s="29"/>
      <c r="H179" s="29"/>
      <c r="I179" s="29"/>
      <c r="J179" s="29"/>
      <c r="K179" s="29"/>
      <c r="L179" s="29"/>
      <c r="M179" s="29"/>
      <c r="N179" s="29"/>
      <c r="O179" s="29"/>
      <c r="P179" s="29"/>
      <c r="Q179" s="29"/>
      <c r="S179" s="5" t="s">
        <v>169</v>
      </c>
      <c r="T179" s="5">
        <v>0.3</v>
      </c>
      <c r="U179" s="5" t="s">
        <v>44</v>
      </c>
    </row>
    <row r="180" spans="1:32" x14ac:dyDescent="0.25">
      <c r="A180" s="29"/>
      <c r="B180" s="29"/>
      <c r="C180" s="29"/>
      <c r="D180" s="29"/>
      <c r="E180" s="29"/>
      <c r="F180" s="29"/>
      <c r="G180" s="29"/>
      <c r="H180" s="29"/>
      <c r="I180" s="29"/>
      <c r="J180" s="29"/>
      <c r="K180" s="29"/>
      <c r="L180" s="29"/>
      <c r="M180" s="29"/>
      <c r="N180" s="29"/>
      <c r="O180" s="29"/>
      <c r="P180" s="29"/>
      <c r="Q180" s="29"/>
      <c r="S180" s="78" t="s">
        <v>339</v>
      </c>
      <c r="T180" s="5">
        <v>0</v>
      </c>
      <c r="U180" s="5"/>
      <c r="V180" s="1"/>
    </row>
    <row r="181" spans="1:32" x14ac:dyDescent="0.25">
      <c r="A181" s="29"/>
      <c r="B181" s="29"/>
      <c r="C181" s="29"/>
      <c r="D181" s="29"/>
      <c r="E181" s="29"/>
      <c r="F181" s="29"/>
      <c r="G181" s="29"/>
      <c r="H181" s="29"/>
      <c r="I181" s="29"/>
      <c r="J181" s="29"/>
      <c r="K181" s="29"/>
      <c r="L181" s="29"/>
      <c r="M181" s="29"/>
      <c r="N181" s="29"/>
      <c r="O181" s="29"/>
      <c r="P181" s="29"/>
      <c r="Q181" s="29"/>
      <c r="S181" s="5" t="s">
        <v>154</v>
      </c>
      <c r="T181" s="5" t="s">
        <v>166</v>
      </c>
      <c r="U181" s="5" t="s">
        <v>158</v>
      </c>
    </row>
    <row r="182" spans="1:32" x14ac:dyDescent="0.25">
      <c r="A182" s="29"/>
      <c r="B182" s="29"/>
      <c r="C182" s="29"/>
      <c r="D182" s="29"/>
      <c r="E182" s="29"/>
      <c r="F182" s="29"/>
      <c r="G182" s="29"/>
      <c r="H182" s="29"/>
      <c r="I182" s="29"/>
      <c r="J182" s="29"/>
      <c r="K182" s="29"/>
      <c r="L182" s="29"/>
      <c r="M182" s="29"/>
      <c r="N182" s="29"/>
      <c r="O182" s="29"/>
      <c r="P182" s="29"/>
      <c r="Q182" s="29"/>
      <c r="S182" s="5" t="s">
        <v>159</v>
      </c>
      <c r="T182" s="5">
        <v>5</v>
      </c>
      <c r="U182" s="5" t="s">
        <v>44</v>
      </c>
      <c r="V182" s="1"/>
    </row>
    <row r="183" spans="1:32" x14ac:dyDescent="0.25">
      <c r="A183" s="29"/>
      <c r="B183" s="29"/>
      <c r="C183" s="29"/>
      <c r="D183" s="29"/>
      <c r="E183" s="29"/>
      <c r="F183" s="29"/>
      <c r="G183" s="29"/>
      <c r="H183" s="29"/>
      <c r="I183" s="29"/>
      <c r="J183" s="29"/>
      <c r="K183" s="29"/>
      <c r="L183" s="29"/>
      <c r="M183" s="29"/>
      <c r="N183" s="29"/>
      <c r="O183" s="29"/>
      <c r="P183" s="29"/>
      <c r="Q183" s="29"/>
      <c r="S183" s="5" t="s">
        <v>160</v>
      </c>
      <c r="T183" s="5">
        <v>7</v>
      </c>
      <c r="U183" s="5" t="s">
        <v>90</v>
      </c>
    </row>
    <row r="184" spans="1:32" x14ac:dyDescent="0.25">
      <c r="A184" s="29"/>
      <c r="B184" s="29"/>
      <c r="C184" s="29"/>
      <c r="D184" s="29"/>
      <c r="E184" s="29"/>
      <c r="F184" s="29"/>
      <c r="G184" s="29"/>
      <c r="H184" s="29"/>
      <c r="I184" s="29"/>
      <c r="J184" s="29"/>
      <c r="K184" s="29"/>
      <c r="L184" s="29"/>
      <c r="M184" s="29"/>
      <c r="N184" s="29"/>
      <c r="O184" s="29"/>
      <c r="P184" s="29"/>
      <c r="Q184" s="29"/>
      <c r="S184" s="5" t="s">
        <v>161</v>
      </c>
      <c r="T184" s="5">
        <v>2500</v>
      </c>
      <c r="U184" s="5" t="s">
        <v>45</v>
      </c>
    </row>
    <row r="185" spans="1:32" x14ac:dyDescent="0.25">
      <c r="A185" s="29"/>
      <c r="B185" s="29"/>
      <c r="C185" s="29"/>
      <c r="D185" s="29"/>
      <c r="E185" s="29"/>
      <c r="F185" s="29"/>
      <c r="G185" s="29"/>
      <c r="H185" s="29"/>
      <c r="I185" s="29"/>
      <c r="J185" s="29"/>
      <c r="K185" s="29"/>
      <c r="L185" s="29"/>
      <c r="M185" s="29"/>
      <c r="N185" s="29"/>
      <c r="O185" s="29"/>
      <c r="P185" s="29"/>
      <c r="Q185" s="29"/>
      <c r="S185" s="5" t="s">
        <v>162</v>
      </c>
      <c r="T185" s="5">
        <f>-T183</f>
        <v>-7</v>
      </c>
      <c r="U185" s="5" t="s">
        <v>90</v>
      </c>
    </row>
    <row r="186" spans="1:32" x14ac:dyDescent="0.25">
      <c r="A186" s="29"/>
      <c r="B186" s="29"/>
      <c r="C186" s="29"/>
      <c r="D186" s="29"/>
      <c r="E186" s="29"/>
      <c r="F186" s="29"/>
      <c r="G186" s="29"/>
      <c r="H186" s="29"/>
      <c r="I186" s="29"/>
      <c r="J186" s="29"/>
      <c r="K186" s="29"/>
      <c r="L186" s="29"/>
      <c r="M186" s="29"/>
      <c r="N186" s="29"/>
      <c r="O186" s="29"/>
      <c r="P186" s="29"/>
      <c r="Q186" s="29"/>
      <c r="S186" s="3" t="s">
        <v>163</v>
      </c>
      <c r="T186" s="3">
        <f>T184</f>
        <v>2500</v>
      </c>
      <c r="U186" s="5" t="s">
        <v>45</v>
      </c>
    </row>
    <row r="187" spans="1:32" x14ac:dyDescent="0.25">
      <c r="A187" s="29"/>
      <c r="B187" s="29"/>
      <c r="C187" s="29"/>
      <c r="D187" s="29"/>
      <c r="E187" s="29"/>
      <c r="F187" s="29"/>
      <c r="G187" s="29"/>
      <c r="H187" s="29"/>
      <c r="I187" s="29"/>
      <c r="J187" s="29"/>
      <c r="K187" s="29"/>
      <c r="L187" s="29"/>
      <c r="M187" s="29"/>
      <c r="N187" s="29"/>
      <c r="O187" s="29"/>
      <c r="P187" s="29"/>
      <c r="Q187" s="29"/>
      <c r="S187" s="3" t="s">
        <v>164</v>
      </c>
      <c r="T187" s="3">
        <v>0.2</v>
      </c>
      <c r="U187" s="5" t="s">
        <v>44</v>
      </c>
    </row>
    <row r="188" spans="1:32" x14ac:dyDescent="0.25">
      <c r="A188" s="29"/>
      <c r="B188" s="29"/>
      <c r="C188" s="29"/>
      <c r="D188" s="29"/>
      <c r="E188" s="29"/>
      <c r="F188" s="29"/>
      <c r="G188" s="29"/>
      <c r="H188" s="29"/>
      <c r="I188" s="29"/>
      <c r="J188" s="29"/>
      <c r="K188" s="29"/>
      <c r="L188" s="29"/>
      <c r="M188" s="29"/>
      <c r="N188" s="29"/>
      <c r="O188" s="29"/>
      <c r="P188" s="29"/>
      <c r="Q188" s="29"/>
      <c r="S188" s="3" t="s">
        <v>165</v>
      </c>
      <c r="T188" s="3">
        <v>7500</v>
      </c>
      <c r="U188" s="5" t="s">
        <v>45</v>
      </c>
    </row>
    <row r="189" spans="1:32" x14ac:dyDescent="0.25">
      <c r="A189" s="29"/>
      <c r="B189" s="29"/>
      <c r="C189" s="29"/>
      <c r="D189" s="29"/>
      <c r="E189" s="29"/>
      <c r="F189" s="29"/>
      <c r="G189" s="29"/>
      <c r="H189" s="29"/>
      <c r="I189" s="29"/>
      <c r="J189" s="29"/>
      <c r="K189" s="29"/>
      <c r="L189" s="29"/>
      <c r="M189" s="29"/>
      <c r="N189" s="29"/>
      <c r="O189" s="29"/>
      <c r="P189" s="29"/>
      <c r="Q189" s="29"/>
      <c r="S189" s="29"/>
      <c r="T189" s="29"/>
      <c r="U189" s="91"/>
      <c r="V189" s="29"/>
      <c r="W189" s="29"/>
      <c r="X189" s="29"/>
      <c r="Y189" s="29"/>
      <c r="Z189" s="29"/>
      <c r="AA189" s="29"/>
      <c r="AB189" s="29"/>
      <c r="AC189" s="29"/>
      <c r="AE189" s="29"/>
      <c r="AF189" s="29"/>
    </row>
    <row r="190" spans="1:32" x14ac:dyDescent="0.25">
      <c r="A190" s="29"/>
      <c r="B190" s="29"/>
      <c r="C190" s="29"/>
      <c r="D190" s="29"/>
      <c r="E190" s="29"/>
      <c r="F190" s="29"/>
      <c r="G190" s="29"/>
      <c r="H190" s="29"/>
      <c r="I190" s="29"/>
      <c r="J190" s="29"/>
      <c r="K190" s="29"/>
      <c r="L190" s="29"/>
      <c r="M190" s="29"/>
      <c r="N190" s="29"/>
      <c r="O190" s="29"/>
      <c r="P190" s="29"/>
      <c r="Q190" s="29"/>
      <c r="S190" s="96" t="s">
        <v>292</v>
      </c>
      <c r="T190" s="96" t="s">
        <v>293</v>
      </c>
      <c r="U190" s="97" t="s">
        <v>331</v>
      </c>
      <c r="V190" s="29"/>
      <c r="W190" s="29"/>
      <c r="X190" s="29"/>
      <c r="Y190" s="29"/>
      <c r="Z190" s="29"/>
      <c r="AA190" s="29"/>
      <c r="AB190" s="29"/>
      <c r="AC190" s="29"/>
      <c r="AD190" s="29"/>
      <c r="AE190" s="29"/>
      <c r="AF190" s="29"/>
    </row>
    <row r="191" spans="1:32" x14ac:dyDescent="0.25">
      <c r="S191" s="75"/>
      <c r="T191" s="75"/>
      <c r="U191" s="92"/>
    </row>
    <row r="192" spans="1:32" x14ac:dyDescent="0.25">
      <c r="S192" s="75" t="s">
        <v>271</v>
      </c>
      <c r="T192" s="75">
        <v>50</v>
      </c>
      <c r="U192" s="92" t="s">
        <v>44</v>
      </c>
    </row>
    <row r="193" spans="1:46" x14ac:dyDescent="0.25">
      <c r="S193" s="79" t="s">
        <v>272</v>
      </c>
      <c r="T193" s="79">
        <v>50</v>
      </c>
      <c r="U193" s="92" t="s">
        <v>44</v>
      </c>
    </row>
    <row r="195" spans="1:46" x14ac:dyDescent="0.25">
      <c r="A195" s="58" t="s">
        <v>129</v>
      </c>
      <c r="B195" s="2" t="s">
        <v>305</v>
      </c>
      <c r="C195" s="58" t="s">
        <v>128</v>
      </c>
      <c r="D195" s="2" t="s">
        <v>334</v>
      </c>
      <c r="E195" s="29"/>
      <c r="F195" s="29"/>
      <c r="G195" s="29"/>
      <c r="H195" s="29"/>
      <c r="I195" s="29"/>
      <c r="J195" s="29"/>
      <c r="K195" s="29"/>
      <c r="L195" s="29"/>
      <c r="M195" s="29"/>
      <c r="N195" s="29"/>
      <c r="O195" s="29"/>
      <c r="P195" s="29"/>
      <c r="AO195" t="s">
        <v>130</v>
      </c>
      <c r="AP195" t="s">
        <v>306</v>
      </c>
      <c r="AQ195" t="s">
        <v>129</v>
      </c>
      <c r="AR195" t="s">
        <v>305</v>
      </c>
      <c r="AS195" t="s">
        <v>128</v>
      </c>
      <c r="AT195" t="s">
        <v>334</v>
      </c>
    </row>
    <row r="196" spans="1:46" x14ac:dyDescent="0.25">
      <c r="A196" s="40" t="s">
        <v>0</v>
      </c>
      <c r="B196" s="41"/>
      <c r="C196" s="18"/>
      <c r="D196" s="18"/>
      <c r="E196" s="18"/>
      <c r="F196" s="18"/>
      <c r="G196" s="18"/>
      <c r="H196" s="18"/>
      <c r="I196" s="18"/>
      <c r="J196" s="18"/>
      <c r="K196" s="18"/>
      <c r="L196" s="18"/>
      <c r="M196" s="18"/>
      <c r="N196" s="18"/>
      <c r="O196" s="18"/>
      <c r="P196" s="18"/>
      <c r="Q196" s="58" t="s">
        <v>289</v>
      </c>
    </row>
    <row r="197" spans="1:46" x14ac:dyDescent="0.25">
      <c r="A197" s="20">
        <v>1</v>
      </c>
      <c r="B197" s="8" t="s">
        <v>1</v>
      </c>
      <c r="C197" s="8" t="s">
        <v>18</v>
      </c>
      <c r="D197" s="8">
        <v>20</v>
      </c>
      <c r="E197" s="8">
        <v>10</v>
      </c>
      <c r="F197" s="8">
        <v>0</v>
      </c>
      <c r="G197" s="8">
        <v>30</v>
      </c>
      <c r="H197" s="8">
        <v>10</v>
      </c>
      <c r="I197" s="8">
        <v>0</v>
      </c>
      <c r="J197" s="8" t="s">
        <v>19</v>
      </c>
      <c r="K197" s="8">
        <v>0.6</v>
      </c>
      <c r="L197" s="8">
        <v>0.2</v>
      </c>
      <c r="M197" s="8"/>
      <c r="N197" s="8"/>
      <c r="O197" s="8"/>
      <c r="P197" s="8"/>
      <c r="Q197" s="9" t="s">
        <v>302</v>
      </c>
      <c r="S197" s="95" t="s">
        <v>40</v>
      </c>
      <c r="T197" s="3"/>
      <c r="U197" s="5"/>
    </row>
    <row r="198" spans="1:46" x14ac:dyDescent="0.25">
      <c r="A198" s="20">
        <v>2</v>
      </c>
      <c r="B198" s="8" t="s">
        <v>9</v>
      </c>
      <c r="C198" s="8" t="s">
        <v>100</v>
      </c>
      <c r="D198" s="8" t="s">
        <v>100</v>
      </c>
      <c r="E198" s="8" t="s">
        <v>115</v>
      </c>
      <c r="F198" s="8" t="s">
        <v>106</v>
      </c>
      <c r="G198" s="8">
        <v>0</v>
      </c>
      <c r="H198" s="8" t="s">
        <v>20</v>
      </c>
      <c r="I198" s="8">
        <v>0.6</v>
      </c>
      <c r="J198" s="8">
        <v>0.2</v>
      </c>
      <c r="K198" s="8"/>
      <c r="L198" s="8"/>
      <c r="M198" s="8"/>
      <c r="N198" s="8"/>
      <c r="O198" s="8"/>
      <c r="P198" s="8"/>
      <c r="Q198" s="9" t="s">
        <v>302</v>
      </c>
      <c r="S198" s="5" t="s">
        <v>98</v>
      </c>
      <c r="T198" s="5">
        <v>0.2</v>
      </c>
      <c r="U198" s="5" t="s">
        <v>44</v>
      </c>
    </row>
    <row r="199" spans="1:46" x14ac:dyDescent="0.25">
      <c r="A199" s="20">
        <v>3</v>
      </c>
      <c r="B199" s="8" t="s">
        <v>1</v>
      </c>
      <c r="C199" s="8" t="s">
        <v>18</v>
      </c>
      <c r="D199" s="8" t="s">
        <v>100</v>
      </c>
      <c r="E199" s="8" t="s">
        <v>100</v>
      </c>
      <c r="F199" s="8" t="s">
        <v>100</v>
      </c>
      <c r="G199" s="8">
        <v>40</v>
      </c>
      <c r="H199" s="8">
        <v>50</v>
      </c>
      <c r="I199" s="8">
        <v>0</v>
      </c>
      <c r="J199" s="8" t="s">
        <v>19</v>
      </c>
      <c r="K199" s="8">
        <v>0.6</v>
      </c>
      <c r="L199" s="8">
        <v>0.2</v>
      </c>
      <c r="M199" s="8"/>
      <c r="N199" s="8"/>
      <c r="O199" s="8"/>
      <c r="P199" s="8"/>
      <c r="Q199" s="9" t="s">
        <v>302</v>
      </c>
      <c r="S199" s="5" t="s">
        <v>87</v>
      </c>
      <c r="T199" s="5">
        <v>1</v>
      </c>
      <c r="U199" s="5" t="s">
        <v>89</v>
      </c>
    </row>
    <row r="200" spans="1:46" x14ac:dyDescent="0.25">
      <c r="A200" s="20">
        <v>4</v>
      </c>
      <c r="B200" s="43" t="s">
        <v>65</v>
      </c>
      <c r="C200" s="43">
        <v>50</v>
      </c>
      <c r="D200" s="43">
        <v>50</v>
      </c>
      <c r="E200" s="43">
        <v>0</v>
      </c>
      <c r="F200" s="43">
        <v>10</v>
      </c>
      <c r="G200" s="43">
        <v>180</v>
      </c>
      <c r="H200" s="43" t="s">
        <v>20</v>
      </c>
      <c r="I200" s="43" t="e">
        <f>Sides</f>
        <v>#NAME?</v>
      </c>
      <c r="J200" s="43">
        <v>0.6</v>
      </c>
      <c r="K200" s="43">
        <v>0.2</v>
      </c>
      <c r="L200" s="43"/>
      <c r="M200" s="43"/>
      <c r="N200" s="43"/>
      <c r="O200" s="43"/>
      <c r="P200" s="43"/>
      <c r="Q200" s="43" t="s">
        <v>296</v>
      </c>
      <c r="S200" s="5" t="s">
        <v>88</v>
      </c>
      <c r="T200" s="5">
        <v>1</v>
      </c>
      <c r="U200" s="5" t="s">
        <v>89</v>
      </c>
    </row>
    <row r="201" spans="1:46" x14ac:dyDescent="0.25">
      <c r="A201" s="20">
        <v>5</v>
      </c>
      <c r="B201" s="27" t="s">
        <v>55</v>
      </c>
      <c r="C201" s="27">
        <v>4</v>
      </c>
      <c r="D201" s="27">
        <v>0</v>
      </c>
      <c r="E201" s="27">
        <v>0</v>
      </c>
      <c r="F201" s="27">
        <v>0.2</v>
      </c>
      <c r="G201" s="27" t="e">
        <f>Layers</f>
        <v>#NAME?</v>
      </c>
      <c r="H201" s="27"/>
      <c r="I201" s="27"/>
      <c r="J201" s="27"/>
      <c r="K201" s="27"/>
      <c r="L201" s="27"/>
      <c r="M201" s="27"/>
      <c r="N201" s="27"/>
      <c r="O201" s="27"/>
      <c r="P201" s="27"/>
      <c r="Q201" s="27" t="s">
        <v>297</v>
      </c>
      <c r="S201" s="5" t="s">
        <v>193</v>
      </c>
      <c r="T201" s="5" t="s">
        <v>204</v>
      </c>
      <c r="U201" s="5"/>
    </row>
    <row r="202" spans="1:46" x14ac:dyDescent="0.25">
      <c r="A202" s="20">
        <v>6</v>
      </c>
      <c r="B202" s="42" t="s">
        <v>52</v>
      </c>
      <c r="C202" s="42">
        <v>5</v>
      </c>
      <c r="D202" s="42">
        <v>4</v>
      </c>
      <c r="E202" s="42">
        <v>1</v>
      </c>
      <c r="F202" s="42" t="e">
        <f>Layers</f>
        <v>#NAME?</v>
      </c>
      <c r="G202" s="42" t="s">
        <v>138</v>
      </c>
      <c r="H202" s="42">
        <v>0</v>
      </c>
      <c r="I202" s="47" t="s">
        <v>113</v>
      </c>
      <c r="J202" s="47" t="s">
        <v>140</v>
      </c>
      <c r="K202" s="42" t="s">
        <v>118</v>
      </c>
      <c r="L202" s="42" t="s">
        <v>118</v>
      </c>
      <c r="M202" s="42"/>
      <c r="N202" s="42"/>
      <c r="O202" s="42"/>
      <c r="P202" s="42"/>
      <c r="Q202" s="4" t="s">
        <v>329</v>
      </c>
      <c r="S202" s="5" t="s">
        <v>194</v>
      </c>
      <c r="T202" s="5">
        <v>0</v>
      </c>
      <c r="U202" s="5"/>
    </row>
    <row r="203" spans="1:46" x14ac:dyDescent="0.25">
      <c r="A203" s="20">
        <v>7</v>
      </c>
      <c r="B203" s="111" t="s">
        <v>294</v>
      </c>
      <c r="C203" s="42" t="s">
        <v>127</v>
      </c>
      <c r="D203" s="42" t="s">
        <v>170</v>
      </c>
      <c r="E203" s="42">
        <f>C200</f>
        <v>50</v>
      </c>
      <c r="F203" s="42">
        <f>D200</f>
        <v>50</v>
      </c>
      <c r="G203" s="42">
        <v>0</v>
      </c>
      <c r="H203" s="42">
        <v>0</v>
      </c>
      <c r="I203" s="42" t="s">
        <v>261</v>
      </c>
      <c r="J203" s="42" t="s">
        <v>118</v>
      </c>
      <c r="K203" s="42" t="s">
        <v>118</v>
      </c>
      <c r="L203" s="42"/>
      <c r="M203" s="42"/>
      <c r="N203" s="42"/>
      <c r="O203" s="42"/>
      <c r="P203" s="42"/>
      <c r="Q203" s="4" t="s">
        <v>329</v>
      </c>
      <c r="S203" s="57"/>
      <c r="T203" s="57"/>
      <c r="U203" s="90"/>
    </row>
    <row r="204" spans="1:46" x14ac:dyDescent="0.25">
      <c r="A204" s="20">
        <v>8</v>
      </c>
      <c r="B204" s="20"/>
      <c r="C204" s="20"/>
      <c r="D204" s="20"/>
      <c r="E204" s="20"/>
      <c r="F204" s="20"/>
      <c r="G204" s="20"/>
      <c r="H204" s="20"/>
      <c r="I204" s="20"/>
      <c r="J204" s="20"/>
      <c r="K204" s="20"/>
      <c r="L204" s="20"/>
      <c r="M204" s="20"/>
      <c r="N204" s="20"/>
      <c r="O204" s="20"/>
      <c r="P204" s="20"/>
      <c r="Q204" s="20"/>
      <c r="S204" s="5" t="s">
        <v>338</v>
      </c>
      <c r="T204" s="5">
        <v>60</v>
      </c>
      <c r="U204" s="5" t="s">
        <v>43</v>
      </c>
      <c r="V204" s="1"/>
    </row>
    <row r="205" spans="1:46" x14ac:dyDescent="0.25">
      <c r="A205" s="20">
        <v>9</v>
      </c>
      <c r="B205" s="20"/>
      <c r="C205" s="21" t="s">
        <v>328</v>
      </c>
      <c r="D205" s="21"/>
      <c r="E205" s="21"/>
      <c r="F205" s="21"/>
      <c r="G205" s="21"/>
      <c r="H205" s="21"/>
      <c r="I205" s="21"/>
      <c r="J205" s="20"/>
      <c r="K205" s="20"/>
      <c r="L205" s="20"/>
      <c r="M205" s="20"/>
      <c r="N205" s="20"/>
      <c r="O205" s="20"/>
      <c r="P205" s="20"/>
      <c r="Q205" s="20"/>
      <c r="S205" s="5" t="s">
        <v>85</v>
      </c>
      <c r="T205" s="5">
        <v>1000</v>
      </c>
      <c r="U205" s="5" t="s">
        <v>45</v>
      </c>
    </row>
    <row r="206" spans="1:46" x14ac:dyDescent="0.25">
      <c r="A206" s="20">
        <v>10</v>
      </c>
      <c r="B206" s="20"/>
      <c r="C206" s="20"/>
      <c r="D206" s="20"/>
      <c r="E206" s="20"/>
      <c r="F206" s="20"/>
      <c r="G206" s="20"/>
      <c r="H206" s="20"/>
      <c r="I206" s="20"/>
      <c r="J206" s="20"/>
      <c r="K206" s="20"/>
      <c r="L206" s="20"/>
      <c r="M206" s="20"/>
      <c r="N206" s="20"/>
      <c r="O206" s="20"/>
      <c r="P206" s="20"/>
      <c r="Q206" s="20"/>
      <c r="S206" s="5" t="s">
        <v>86</v>
      </c>
      <c r="T206" s="5">
        <v>9000</v>
      </c>
      <c r="U206" s="5" t="s">
        <v>45</v>
      </c>
    </row>
    <row r="207" spans="1:46" x14ac:dyDescent="0.25">
      <c r="A207" s="20">
        <v>11</v>
      </c>
      <c r="B207" s="20"/>
      <c r="C207" s="20"/>
      <c r="D207" s="20"/>
      <c r="E207" s="20"/>
      <c r="F207" s="20"/>
      <c r="G207" s="20"/>
      <c r="H207" s="20"/>
      <c r="I207" s="20"/>
      <c r="J207" s="20"/>
      <c r="K207" s="20"/>
      <c r="L207" s="20"/>
      <c r="M207" s="20"/>
      <c r="N207" s="20"/>
      <c r="O207" s="20"/>
      <c r="P207" s="20"/>
      <c r="Q207" s="20"/>
      <c r="S207" s="5" t="s">
        <v>41</v>
      </c>
      <c r="T207" s="5">
        <v>210</v>
      </c>
      <c r="U207" s="5" t="s">
        <v>43</v>
      </c>
      <c r="V207" s="1"/>
    </row>
    <row r="208" spans="1:46" x14ac:dyDescent="0.25">
      <c r="A208" s="29"/>
      <c r="B208" s="29"/>
      <c r="C208" s="29"/>
      <c r="D208" s="29"/>
      <c r="E208" s="29"/>
      <c r="F208" s="29"/>
      <c r="G208" s="29"/>
      <c r="H208" s="29"/>
      <c r="I208" s="29"/>
      <c r="J208" s="29"/>
      <c r="K208" s="29"/>
      <c r="L208" s="29"/>
      <c r="M208" s="29"/>
      <c r="N208" s="29"/>
      <c r="O208" s="29"/>
      <c r="P208" s="29"/>
      <c r="Q208" s="29"/>
      <c r="S208" s="5" t="s">
        <v>42</v>
      </c>
      <c r="T208" s="5">
        <v>2.85</v>
      </c>
      <c r="U208" s="5" t="s">
        <v>44</v>
      </c>
    </row>
    <row r="209" spans="1:32" x14ac:dyDescent="0.25">
      <c r="A209" s="29"/>
      <c r="B209" s="29"/>
      <c r="C209" s="29"/>
      <c r="D209" s="29"/>
      <c r="E209" s="29"/>
      <c r="F209" s="29"/>
      <c r="G209" s="29"/>
      <c r="H209" s="29"/>
      <c r="I209" s="29"/>
      <c r="J209" s="29"/>
      <c r="K209" s="29"/>
      <c r="L209" s="29"/>
      <c r="M209" s="29"/>
      <c r="N209" s="29"/>
      <c r="O209" s="29"/>
      <c r="P209" s="29"/>
      <c r="Q209" s="29"/>
      <c r="S209" s="5" t="s">
        <v>46</v>
      </c>
      <c r="T209" s="5" t="s">
        <v>82</v>
      </c>
      <c r="U209" s="5" t="s">
        <v>90</v>
      </c>
    </row>
    <row r="210" spans="1:32" x14ac:dyDescent="0.25">
      <c r="A210" s="29"/>
      <c r="B210" s="29"/>
      <c r="C210" s="29"/>
      <c r="D210" s="29"/>
      <c r="E210" s="29"/>
      <c r="F210" s="29"/>
      <c r="G210" s="29"/>
      <c r="H210" s="29"/>
      <c r="I210" s="29"/>
      <c r="J210" s="29"/>
      <c r="K210" s="29"/>
      <c r="L210" s="29"/>
      <c r="M210" s="29"/>
      <c r="N210" s="29"/>
      <c r="O210" s="29"/>
      <c r="P210" s="29"/>
      <c r="Q210" s="29"/>
      <c r="S210" s="5" t="s">
        <v>108</v>
      </c>
      <c r="T210" s="5" t="s">
        <v>153</v>
      </c>
      <c r="U210" s="5"/>
    </row>
    <row r="211" spans="1:32" x14ac:dyDescent="0.25">
      <c r="A211" s="29"/>
      <c r="B211" s="29"/>
      <c r="C211" s="29"/>
      <c r="D211" s="29"/>
      <c r="E211" s="29"/>
      <c r="F211" s="29"/>
      <c r="G211" s="29"/>
      <c r="H211" s="29"/>
      <c r="I211" s="29"/>
      <c r="J211" s="29"/>
      <c r="K211" s="29"/>
      <c r="L211" s="29"/>
      <c r="M211" s="29"/>
      <c r="N211" s="29"/>
      <c r="O211" s="29"/>
      <c r="P211" s="29"/>
      <c r="Q211" s="29"/>
      <c r="S211" s="5" t="s">
        <v>152</v>
      </c>
      <c r="T211" s="5" t="s">
        <v>125</v>
      </c>
      <c r="U211" s="5"/>
    </row>
    <row r="212" spans="1:32" x14ac:dyDescent="0.25">
      <c r="A212" s="29"/>
      <c r="B212" s="29"/>
      <c r="C212" s="29"/>
      <c r="D212" s="29"/>
      <c r="E212" s="29"/>
      <c r="F212" s="29"/>
      <c r="G212" s="29"/>
      <c r="H212" s="29"/>
      <c r="I212" s="29"/>
      <c r="J212" s="29"/>
      <c r="K212" s="29"/>
      <c r="L212" s="29"/>
      <c r="M212" s="29"/>
      <c r="N212" s="29"/>
      <c r="O212" s="29"/>
      <c r="P212" s="29"/>
      <c r="Q212" s="29"/>
      <c r="S212" s="5" t="s">
        <v>167</v>
      </c>
      <c r="T212" s="5">
        <v>20</v>
      </c>
      <c r="U212" s="5" t="s">
        <v>44</v>
      </c>
    </row>
    <row r="213" spans="1:32" x14ac:dyDescent="0.25">
      <c r="A213" s="29"/>
      <c r="B213" s="29"/>
      <c r="C213" s="29"/>
      <c r="D213" s="29"/>
      <c r="E213" s="29"/>
      <c r="F213" s="29"/>
      <c r="G213" s="29"/>
      <c r="H213" s="29"/>
      <c r="I213" s="29"/>
      <c r="J213" s="29"/>
      <c r="K213" s="29"/>
      <c r="L213" s="29"/>
      <c r="M213" s="29"/>
      <c r="N213" s="29"/>
      <c r="O213" s="29"/>
      <c r="P213" s="29"/>
      <c r="Q213" s="29"/>
      <c r="S213" s="5" t="s">
        <v>168</v>
      </c>
      <c r="T213" s="5">
        <v>10</v>
      </c>
      <c r="U213" s="5" t="s">
        <v>44</v>
      </c>
    </row>
    <row r="214" spans="1:32" x14ac:dyDescent="0.25">
      <c r="A214" s="29"/>
      <c r="B214" s="29"/>
      <c r="C214" s="29"/>
      <c r="D214" s="29"/>
      <c r="E214" s="29"/>
      <c r="F214" s="29"/>
      <c r="G214" s="29"/>
      <c r="H214" s="29"/>
      <c r="I214" s="29"/>
      <c r="J214" s="29"/>
      <c r="K214" s="29"/>
      <c r="L214" s="29"/>
      <c r="M214" s="29"/>
      <c r="N214" s="29"/>
      <c r="O214" s="29"/>
      <c r="P214" s="29"/>
      <c r="Q214" s="29"/>
      <c r="S214" s="5" t="s">
        <v>169</v>
      </c>
      <c r="T214" s="5">
        <v>0.3</v>
      </c>
      <c r="U214" s="5" t="s">
        <v>44</v>
      </c>
    </row>
    <row r="215" spans="1:32" x14ac:dyDescent="0.25">
      <c r="A215" s="29"/>
      <c r="B215" s="29"/>
      <c r="C215" s="29"/>
      <c r="D215" s="29"/>
      <c r="E215" s="29"/>
      <c r="F215" s="29"/>
      <c r="G215" s="29"/>
      <c r="H215" s="29"/>
      <c r="I215" s="29"/>
      <c r="J215" s="29"/>
      <c r="K215" s="29"/>
      <c r="L215" s="29"/>
      <c r="M215" s="29"/>
      <c r="N215" s="29"/>
      <c r="O215" s="29"/>
      <c r="P215" s="29"/>
      <c r="Q215" s="29"/>
      <c r="S215" s="78" t="s">
        <v>339</v>
      </c>
      <c r="T215" s="5">
        <v>0</v>
      </c>
      <c r="U215" s="5"/>
      <c r="V215" s="1"/>
    </row>
    <row r="216" spans="1:32" x14ac:dyDescent="0.25">
      <c r="A216" s="29"/>
      <c r="B216" s="29"/>
      <c r="C216" s="29"/>
      <c r="D216" s="29"/>
      <c r="E216" s="29"/>
      <c r="F216" s="29"/>
      <c r="G216" s="29"/>
      <c r="H216" s="29"/>
      <c r="I216" s="29"/>
      <c r="J216" s="29"/>
      <c r="K216" s="29"/>
      <c r="L216" s="29"/>
      <c r="M216" s="29"/>
      <c r="N216" s="29"/>
      <c r="O216" s="29"/>
      <c r="P216" s="29"/>
      <c r="Q216" s="29"/>
      <c r="S216" s="5" t="s">
        <v>154</v>
      </c>
      <c r="T216" s="5" t="s">
        <v>166</v>
      </c>
      <c r="U216" s="5" t="s">
        <v>158</v>
      </c>
    </row>
    <row r="217" spans="1:32" x14ac:dyDescent="0.25">
      <c r="A217" s="29"/>
      <c r="B217" s="29"/>
      <c r="C217" s="29"/>
      <c r="D217" s="29"/>
      <c r="E217" s="29"/>
      <c r="F217" s="29"/>
      <c r="G217" s="29"/>
      <c r="H217" s="29"/>
      <c r="I217" s="29"/>
      <c r="J217" s="29"/>
      <c r="K217" s="29"/>
      <c r="L217" s="29"/>
      <c r="M217" s="29"/>
      <c r="N217" s="29"/>
      <c r="O217" s="29"/>
      <c r="P217" s="29"/>
      <c r="Q217" s="29"/>
      <c r="S217" s="5" t="s">
        <v>159</v>
      </c>
      <c r="T217" s="5">
        <v>5</v>
      </c>
      <c r="U217" s="5" t="s">
        <v>44</v>
      </c>
      <c r="V217" s="1"/>
    </row>
    <row r="218" spans="1:32" x14ac:dyDescent="0.25">
      <c r="A218" s="29"/>
      <c r="B218" s="29"/>
      <c r="C218" s="29"/>
      <c r="D218" s="29"/>
      <c r="E218" s="29"/>
      <c r="F218" s="29"/>
      <c r="G218" s="29"/>
      <c r="H218" s="29"/>
      <c r="I218" s="29"/>
      <c r="J218" s="29"/>
      <c r="K218" s="29"/>
      <c r="L218" s="29"/>
      <c r="M218" s="29"/>
      <c r="N218" s="29"/>
      <c r="O218" s="29"/>
      <c r="P218" s="29"/>
      <c r="Q218" s="29"/>
      <c r="S218" s="5" t="s">
        <v>160</v>
      </c>
      <c r="T218" s="5">
        <v>7</v>
      </c>
      <c r="U218" s="5" t="s">
        <v>90</v>
      </c>
    </row>
    <row r="219" spans="1:32" x14ac:dyDescent="0.25">
      <c r="A219" s="29"/>
      <c r="B219" s="29"/>
      <c r="C219" s="29"/>
      <c r="D219" s="29"/>
      <c r="E219" s="29"/>
      <c r="F219" s="29"/>
      <c r="G219" s="29"/>
      <c r="H219" s="29"/>
      <c r="I219" s="29"/>
      <c r="J219" s="29"/>
      <c r="K219" s="29"/>
      <c r="L219" s="29"/>
      <c r="M219" s="29"/>
      <c r="N219" s="29"/>
      <c r="O219" s="29"/>
      <c r="P219" s="29"/>
      <c r="Q219" s="29"/>
      <c r="S219" s="5" t="s">
        <v>161</v>
      </c>
      <c r="T219" s="5">
        <v>2500</v>
      </c>
      <c r="U219" s="5" t="s">
        <v>45</v>
      </c>
    </row>
    <row r="220" spans="1:32" x14ac:dyDescent="0.25">
      <c r="A220" s="29"/>
      <c r="B220" s="29"/>
      <c r="C220" s="29"/>
      <c r="D220" s="29"/>
      <c r="E220" s="29"/>
      <c r="F220" s="29"/>
      <c r="G220" s="29"/>
      <c r="H220" s="29"/>
      <c r="I220" s="29"/>
      <c r="J220" s="29"/>
      <c r="K220" s="29"/>
      <c r="L220" s="29"/>
      <c r="M220" s="29"/>
      <c r="N220" s="29"/>
      <c r="O220" s="29"/>
      <c r="P220" s="29"/>
      <c r="Q220" s="29"/>
      <c r="S220" s="5" t="s">
        <v>162</v>
      </c>
      <c r="T220" s="5">
        <f>-T218</f>
        <v>-7</v>
      </c>
      <c r="U220" s="5" t="s">
        <v>90</v>
      </c>
    </row>
    <row r="221" spans="1:32" x14ac:dyDescent="0.25">
      <c r="A221" s="29"/>
      <c r="B221" s="29"/>
      <c r="C221" s="29"/>
      <c r="D221" s="29"/>
      <c r="E221" s="29"/>
      <c r="F221" s="29"/>
      <c r="G221" s="29"/>
      <c r="H221" s="29"/>
      <c r="I221" s="29"/>
      <c r="J221" s="29"/>
      <c r="K221" s="29"/>
      <c r="L221" s="29"/>
      <c r="M221" s="29"/>
      <c r="N221" s="29"/>
      <c r="O221" s="29"/>
      <c r="P221" s="29"/>
      <c r="Q221" s="29"/>
      <c r="S221" s="3" t="s">
        <v>163</v>
      </c>
      <c r="T221" s="3">
        <f>T219</f>
        <v>2500</v>
      </c>
      <c r="U221" s="5" t="s">
        <v>45</v>
      </c>
    </row>
    <row r="222" spans="1:32" x14ac:dyDescent="0.25">
      <c r="A222" s="29"/>
      <c r="B222" s="29"/>
      <c r="C222" s="29"/>
      <c r="D222" s="29"/>
      <c r="E222" s="29"/>
      <c r="F222" s="29"/>
      <c r="G222" s="29"/>
      <c r="H222" s="29"/>
      <c r="I222" s="29"/>
      <c r="J222" s="29"/>
      <c r="K222" s="29"/>
      <c r="L222" s="29"/>
      <c r="M222" s="29"/>
      <c r="N222" s="29"/>
      <c r="O222" s="29"/>
      <c r="P222" s="29"/>
      <c r="Q222" s="29"/>
      <c r="S222" s="3" t="s">
        <v>164</v>
      </c>
      <c r="T222" s="3">
        <v>0.2</v>
      </c>
      <c r="U222" s="5" t="s">
        <v>44</v>
      </c>
    </row>
    <row r="223" spans="1:32" x14ac:dyDescent="0.25">
      <c r="A223" s="29"/>
      <c r="B223" s="29"/>
      <c r="C223" s="29"/>
      <c r="D223" s="29"/>
      <c r="E223" s="29"/>
      <c r="F223" s="29"/>
      <c r="G223" s="29"/>
      <c r="H223" s="29"/>
      <c r="I223" s="29"/>
      <c r="J223" s="29"/>
      <c r="K223" s="29"/>
      <c r="L223" s="29"/>
      <c r="M223" s="29"/>
      <c r="N223" s="29"/>
      <c r="O223" s="29"/>
      <c r="P223" s="29"/>
      <c r="Q223" s="29"/>
      <c r="S223" s="3" t="s">
        <v>165</v>
      </c>
      <c r="T223" s="3">
        <v>7500</v>
      </c>
      <c r="U223" s="5" t="s">
        <v>45</v>
      </c>
    </row>
    <row r="224" spans="1:32" x14ac:dyDescent="0.25">
      <c r="A224" s="29"/>
      <c r="B224" s="29"/>
      <c r="C224" s="29"/>
      <c r="D224" s="29"/>
      <c r="E224" s="29"/>
      <c r="F224" s="29"/>
      <c r="G224" s="29"/>
      <c r="H224" s="29"/>
      <c r="I224" s="29"/>
      <c r="J224" s="29"/>
      <c r="K224" s="29"/>
      <c r="L224" s="29"/>
      <c r="M224" s="29"/>
      <c r="N224" s="29"/>
      <c r="O224" s="29"/>
      <c r="P224" s="29"/>
      <c r="Q224" s="29"/>
      <c r="S224" s="29"/>
      <c r="T224" s="29"/>
      <c r="U224" s="91"/>
      <c r="V224" s="29"/>
      <c r="W224" s="29"/>
      <c r="X224" s="29"/>
      <c r="Y224" s="29"/>
      <c r="Z224" s="29"/>
      <c r="AA224" s="29"/>
      <c r="AB224" s="29"/>
      <c r="AC224" s="29"/>
      <c r="AE224" s="29"/>
      <c r="AF224" s="29"/>
    </row>
    <row r="225" spans="1:46" x14ac:dyDescent="0.25">
      <c r="A225" s="29"/>
      <c r="B225" s="29"/>
      <c r="C225" s="29"/>
      <c r="D225" s="29"/>
      <c r="E225" s="29"/>
      <c r="F225" s="29"/>
      <c r="G225" s="29"/>
      <c r="H225" s="29"/>
      <c r="I225" s="29"/>
      <c r="J225" s="29"/>
      <c r="K225" s="29"/>
      <c r="L225" s="29"/>
      <c r="M225" s="29"/>
      <c r="N225" s="29"/>
      <c r="O225" s="29"/>
      <c r="P225" s="29"/>
      <c r="Q225" s="29"/>
      <c r="S225" s="96" t="s">
        <v>292</v>
      </c>
      <c r="T225" s="96" t="s">
        <v>293</v>
      </c>
      <c r="U225" s="97" t="s">
        <v>331</v>
      </c>
      <c r="V225" s="29"/>
      <c r="W225" s="29"/>
      <c r="X225" s="29"/>
      <c r="Y225" s="29"/>
      <c r="Z225" s="29"/>
      <c r="AA225" s="29"/>
      <c r="AB225" s="29"/>
      <c r="AC225" s="29"/>
      <c r="AD225" s="29"/>
      <c r="AE225" s="29"/>
      <c r="AF225" s="29"/>
    </row>
    <row r="226" spans="1:46" x14ac:dyDescent="0.25">
      <c r="A226" s="29"/>
      <c r="B226" s="29"/>
      <c r="C226" s="29"/>
      <c r="D226" s="29"/>
      <c r="E226" s="29"/>
      <c r="F226" s="29"/>
      <c r="G226" s="29"/>
      <c r="H226" s="29"/>
      <c r="I226" s="29"/>
      <c r="J226" s="29"/>
      <c r="K226" s="29"/>
      <c r="L226" s="29"/>
      <c r="M226" s="29"/>
      <c r="N226" s="29"/>
      <c r="O226" s="29"/>
      <c r="P226" s="29"/>
      <c r="Q226" s="29"/>
      <c r="R226" s="29"/>
      <c r="S226" s="75"/>
      <c r="T226" s="75"/>
      <c r="U226" s="92"/>
      <c r="V226" s="29"/>
      <c r="W226" s="29"/>
      <c r="X226" s="29"/>
      <c r="Y226" s="29"/>
      <c r="Z226" s="29"/>
      <c r="AA226" s="29"/>
      <c r="AB226" s="29"/>
      <c r="AC226" s="29"/>
      <c r="AD226" s="29"/>
      <c r="AE226" s="29"/>
      <c r="AF226" s="29"/>
      <c r="AG226" s="29"/>
      <c r="AH226" s="29"/>
      <c r="AI226" s="29"/>
      <c r="AJ226" s="29"/>
      <c r="AK226" s="29"/>
      <c r="AL226" s="29"/>
      <c r="AM226" s="29"/>
      <c r="AN226" s="29"/>
    </row>
    <row r="227" spans="1:46" x14ac:dyDescent="0.25">
      <c r="A227" s="29"/>
      <c r="B227" s="29"/>
      <c r="C227" s="29"/>
      <c r="D227" s="29"/>
      <c r="E227" s="29"/>
      <c r="F227" s="29"/>
      <c r="G227" s="29"/>
      <c r="H227" s="29"/>
      <c r="I227" s="29"/>
      <c r="J227" s="29"/>
      <c r="K227" s="29"/>
      <c r="L227" s="29"/>
      <c r="M227" s="29"/>
      <c r="N227" s="29"/>
      <c r="O227" s="29"/>
      <c r="P227" s="29"/>
      <c r="Q227" s="29"/>
      <c r="R227" s="29"/>
      <c r="S227" s="75" t="s">
        <v>295</v>
      </c>
      <c r="T227" s="75">
        <v>12</v>
      </c>
      <c r="U227" s="92" t="s">
        <v>89</v>
      </c>
      <c r="V227" s="29"/>
      <c r="W227" s="29"/>
      <c r="X227" s="29"/>
      <c r="Y227" s="29"/>
      <c r="Z227" s="29"/>
      <c r="AA227" s="29"/>
      <c r="AB227" s="29"/>
      <c r="AC227" s="29"/>
      <c r="AD227" s="29"/>
      <c r="AE227" s="29"/>
      <c r="AF227" s="29"/>
      <c r="AG227" s="29"/>
      <c r="AH227" s="29"/>
      <c r="AI227" s="29"/>
      <c r="AJ227" s="29"/>
      <c r="AK227" s="29"/>
      <c r="AL227" s="29"/>
      <c r="AM227" s="29"/>
      <c r="AN227" s="29"/>
    </row>
    <row r="228" spans="1:46" x14ac:dyDescent="0.25">
      <c r="A228" s="29"/>
      <c r="B228" s="29"/>
      <c r="C228" s="29"/>
      <c r="D228" s="29"/>
      <c r="E228" s="29"/>
      <c r="F228" s="29"/>
      <c r="G228" s="29"/>
      <c r="H228" s="29"/>
      <c r="I228" s="29"/>
      <c r="J228" s="29"/>
      <c r="K228" s="29"/>
      <c r="L228" s="29"/>
      <c r="M228" s="29"/>
      <c r="N228" s="29"/>
      <c r="O228" s="29"/>
      <c r="P228" s="29"/>
      <c r="Q228" s="29"/>
      <c r="R228" s="29"/>
      <c r="S228" s="75" t="s">
        <v>298</v>
      </c>
      <c r="T228" s="75">
        <v>100</v>
      </c>
      <c r="U228" s="92" t="s">
        <v>89</v>
      </c>
      <c r="V228" s="29"/>
      <c r="W228" s="29"/>
      <c r="X228" s="29"/>
      <c r="Y228" s="29"/>
      <c r="Z228" s="29"/>
      <c r="AA228" s="29"/>
      <c r="AB228" s="29"/>
      <c r="AC228" s="29"/>
      <c r="AD228" s="29"/>
      <c r="AE228" s="29"/>
      <c r="AF228" s="29"/>
      <c r="AG228" s="29"/>
      <c r="AH228" s="29"/>
      <c r="AI228" s="29"/>
      <c r="AJ228" s="29"/>
      <c r="AK228" s="29"/>
      <c r="AL228" s="29"/>
      <c r="AM228" s="29"/>
      <c r="AN228" s="29"/>
    </row>
    <row r="230" spans="1:46" x14ac:dyDescent="0.25">
      <c r="A230" s="58" t="s">
        <v>129</v>
      </c>
      <c r="B230" s="2" t="s">
        <v>387</v>
      </c>
      <c r="C230" s="58" t="s">
        <v>128</v>
      </c>
      <c r="D230" s="2" t="s">
        <v>334</v>
      </c>
      <c r="E230" s="29"/>
      <c r="F230" s="29"/>
      <c r="G230" s="29"/>
      <c r="H230" s="29"/>
      <c r="I230" s="29"/>
      <c r="J230" s="29"/>
      <c r="K230" s="29"/>
      <c r="L230" s="29"/>
      <c r="M230" s="29"/>
      <c r="N230" s="29"/>
      <c r="O230" s="29"/>
      <c r="P230" s="29"/>
      <c r="AO230" t="s">
        <v>130</v>
      </c>
      <c r="AP230" t="s">
        <v>388</v>
      </c>
      <c r="AQ230" t="s">
        <v>129</v>
      </c>
      <c r="AR230" t="s">
        <v>387</v>
      </c>
      <c r="AS230" t="s">
        <v>128</v>
      </c>
      <c r="AT230" t="s">
        <v>334</v>
      </c>
    </row>
    <row r="231" spans="1:46" x14ac:dyDescent="0.25">
      <c r="A231" s="40" t="s">
        <v>0</v>
      </c>
      <c r="B231" s="41"/>
      <c r="C231" s="18"/>
      <c r="D231" s="18"/>
      <c r="E231" s="18"/>
      <c r="F231" s="18"/>
      <c r="G231" s="18"/>
      <c r="H231" s="18"/>
      <c r="I231" s="18"/>
      <c r="J231" s="18"/>
      <c r="K231" s="18"/>
      <c r="L231" s="18"/>
      <c r="M231" s="18"/>
      <c r="N231" s="18"/>
      <c r="O231" s="18"/>
      <c r="P231" s="18"/>
      <c r="Q231" s="58" t="s">
        <v>289</v>
      </c>
    </row>
    <row r="232" spans="1:46" x14ac:dyDescent="0.25">
      <c r="A232" s="20">
        <v>1</v>
      </c>
      <c r="B232" s="20"/>
      <c r="C232" s="20"/>
      <c r="D232" s="20"/>
      <c r="E232" s="20"/>
      <c r="F232" s="20"/>
      <c r="G232" s="20"/>
      <c r="H232" s="20"/>
      <c r="I232" s="20"/>
      <c r="J232" s="20"/>
      <c r="K232" s="20"/>
      <c r="L232" s="20"/>
      <c r="M232" s="20"/>
      <c r="N232" s="20"/>
      <c r="O232" s="20"/>
      <c r="P232" s="20"/>
      <c r="Q232" s="20"/>
      <c r="S232" s="95" t="s">
        <v>40</v>
      </c>
      <c r="T232" s="3"/>
      <c r="U232" s="5"/>
    </row>
    <row r="233" spans="1:46" x14ac:dyDescent="0.25">
      <c r="A233" s="20">
        <v>2</v>
      </c>
      <c r="B233" s="20"/>
      <c r="C233" s="20"/>
      <c r="D233" s="20"/>
      <c r="E233" s="20"/>
      <c r="F233" s="20"/>
      <c r="G233" s="20"/>
      <c r="H233" s="20"/>
      <c r="I233" s="20"/>
      <c r="J233" s="20"/>
      <c r="K233" s="20"/>
      <c r="L233" s="20"/>
      <c r="M233" s="20"/>
      <c r="N233" s="20"/>
      <c r="O233" s="20"/>
      <c r="P233" s="20"/>
      <c r="Q233" s="20"/>
      <c r="S233" s="5" t="s">
        <v>98</v>
      </c>
      <c r="T233" s="5">
        <v>0.2</v>
      </c>
      <c r="U233" s="5" t="s">
        <v>44</v>
      </c>
    </row>
    <row r="234" spans="1:46" x14ac:dyDescent="0.25">
      <c r="A234" s="20">
        <v>3</v>
      </c>
      <c r="B234" s="20"/>
      <c r="C234" s="20"/>
      <c r="D234" s="20"/>
      <c r="E234" s="20"/>
      <c r="F234" s="20"/>
      <c r="G234" s="20"/>
      <c r="H234" s="20"/>
      <c r="I234" s="20"/>
      <c r="J234" s="20"/>
      <c r="K234" s="20"/>
      <c r="L234" s="20"/>
      <c r="M234" s="20"/>
      <c r="N234" s="20"/>
      <c r="O234" s="20"/>
      <c r="P234" s="20"/>
      <c r="Q234" s="20"/>
      <c r="S234" s="5" t="s">
        <v>87</v>
      </c>
      <c r="T234" s="5">
        <v>1</v>
      </c>
      <c r="U234" s="5" t="s">
        <v>89</v>
      </c>
    </row>
    <row r="235" spans="1:46" x14ac:dyDescent="0.25">
      <c r="A235" s="20">
        <v>4</v>
      </c>
      <c r="B235" s="20"/>
      <c r="C235" s="20"/>
      <c r="D235" s="20"/>
      <c r="E235" s="20"/>
      <c r="F235" s="20"/>
      <c r="G235" s="20"/>
      <c r="H235" s="20"/>
      <c r="I235" s="20"/>
      <c r="J235" s="20"/>
      <c r="K235" s="20"/>
      <c r="L235" s="20"/>
      <c r="M235" s="20"/>
      <c r="N235" s="20"/>
      <c r="O235" s="20"/>
      <c r="P235" s="20"/>
      <c r="Q235" s="20"/>
      <c r="S235" s="5" t="s">
        <v>88</v>
      </c>
      <c r="T235" s="5">
        <v>1</v>
      </c>
      <c r="U235" s="5" t="s">
        <v>89</v>
      </c>
    </row>
    <row r="236" spans="1:46" x14ac:dyDescent="0.25">
      <c r="A236" s="20">
        <v>5</v>
      </c>
      <c r="B236" s="20"/>
      <c r="C236" s="20"/>
      <c r="D236" s="20"/>
      <c r="E236" s="20"/>
      <c r="F236" s="20"/>
      <c r="G236" s="20"/>
      <c r="H236" s="20"/>
      <c r="I236" s="20"/>
      <c r="J236" s="20"/>
      <c r="K236" s="20"/>
      <c r="L236" s="20"/>
      <c r="M236" s="20"/>
      <c r="N236" s="20"/>
      <c r="O236" s="20"/>
      <c r="P236" s="20"/>
      <c r="Q236" s="20"/>
      <c r="S236" s="5" t="s">
        <v>193</v>
      </c>
      <c r="T236" s="5" t="s">
        <v>204</v>
      </c>
      <c r="U236" s="5"/>
    </row>
    <row r="237" spans="1:46" x14ac:dyDescent="0.25">
      <c r="A237" s="20">
        <v>6</v>
      </c>
      <c r="B237" s="20"/>
      <c r="C237" s="20"/>
      <c r="D237" s="20"/>
      <c r="E237" s="20"/>
      <c r="F237" s="20"/>
      <c r="G237" s="20"/>
      <c r="H237" s="20"/>
      <c r="I237" s="20"/>
      <c r="J237" s="20"/>
      <c r="K237" s="20"/>
      <c r="L237" s="20"/>
      <c r="M237" s="20"/>
      <c r="N237" s="20"/>
      <c r="O237" s="20"/>
      <c r="P237" s="20"/>
      <c r="Q237" s="20"/>
      <c r="S237" s="5" t="s">
        <v>194</v>
      </c>
      <c r="T237" s="5">
        <v>0</v>
      </c>
      <c r="U237" s="5"/>
    </row>
    <row r="238" spans="1:46" x14ac:dyDescent="0.25">
      <c r="A238" s="20">
        <v>7</v>
      </c>
      <c r="B238" s="20"/>
      <c r="C238" s="20"/>
      <c r="D238" s="20"/>
      <c r="E238" s="20"/>
      <c r="F238" s="20"/>
      <c r="G238" s="20"/>
      <c r="H238" s="20"/>
      <c r="I238" s="20"/>
      <c r="J238" s="20"/>
      <c r="K238" s="20"/>
      <c r="L238" s="20"/>
      <c r="M238" s="20"/>
      <c r="N238" s="20"/>
      <c r="O238" s="20"/>
      <c r="P238" s="20"/>
      <c r="Q238" s="20"/>
      <c r="S238" s="57"/>
      <c r="T238" s="57"/>
      <c r="U238" s="90"/>
    </row>
    <row r="239" spans="1:46" x14ac:dyDescent="0.25">
      <c r="A239" s="20">
        <v>8</v>
      </c>
      <c r="B239" s="20"/>
      <c r="C239" s="20"/>
      <c r="D239" s="20"/>
      <c r="E239" s="20"/>
      <c r="F239" s="20"/>
      <c r="G239" s="20"/>
      <c r="H239" s="20"/>
      <c r="I239" s="20"/>
      <c r="J239" s="20"/>
      <c r="K239" s="20"/>
      <c r="L239" s="20"/>
      <c r="M239" s="20"/>
      <c r="N239" s="20"/>
      <c r="O239" s="20"/>
      <c r="P239" s="20"/>
      <c r="Q239" s="20"/>
      <c r="S239" s="5" t="s">
        <v>338</v>
      </c>
      <c r="T239" s="5">
        <v>60</v>
      </c>
      <c r="U239" s="5" t="s">
        <v>43</v>
      </c>
      <c r="V239" s="1"/>
    </row>
    <row r="240" spans="1:46" x14ac:dyDescent="0.25">
      <c r="A240" s="20">
        <v>9</v>
      </c>
      <c r="B240" s="20"/>
      <c r="C240" s="20"/>
      <c r="D240" s="20"/>
      <c r="E240" s="20"/>
      <c r="F240" s="20"/>
      <c r="G240" s="20"/>
      <c r="H240" s="20"/>
      <c r="I240" s="20"/>
      <c r="J240" s="20"/>
      <c r="K240" s="20"/>
      <c r="L240" s="20"/>
      <c r="M240" s="20"/>
      <c r="N240" s="20"/>
      <c r="O240" s="20"/>
      <c r="P240" s="20"/>
      <c r="Q240" s="20"/>
      <c r="S240" s="5" t="s">
        <v>85</v>
      </c>
      <c r="T240" s="5">
        <v>1000</v>
      </c>
      <c r="U240" s="5" t="s">
        <v>45</v>
      </c>
    </row>
    <row r="241" spans="1:22" x14ac:dyDescent="0.25">
      <c r="A241" s="20">
        <v>10</v>
      </c>
      <c r="B241" s="20"/>
      <c r="C241" s="20"/>
      <c r="D241" s="20"/>
      <c r="E241" s="20"/>
      <c r="F241" s="20"/>
      <c r="G241" s="20"/>
      <c r="H241" s="20"/>
      <c r="I241" s="20"/>
      <c r="J241" s="20"/>
      <c r="K241" s="20"/>
      <c r="L241" s="20"/>
      <c r="M241" s="20"/>
      <c r="N241" s="20"/>
      <c r="O241" s="20"/>
      <c r="P241" s="20"/>
      <c r="Q241" s="20"/>
      <c r="S241" s="5" t="s">
        <v>86</v>
      </c>
      <c r="T241" s="5">
        <v>9000</v>
      </c>
      <c r="U241" s="5" t="s">
        <v>45</v>
      </c>
    </row>
    <row r="242" spans="1:22" x14ac:dyDescent="0.25">
      <c r="A242" s="20">
        <v>11</v>
      </c>
      <c r="B242" s="20"/>
      <c r="C242" s="20"/>
      <c r="D242" s="20"/>
      <c r="E242" s="20"/>
      <c r="F242" s="20"/>
      <c r="G242" s="20"/>
      <c r="H242" s="20"/>
      <c r="I242" s="20"/>
      <c r="J242" s="20"/>
      <c r="K242" s="20"/>
      <c r="L242" s="20"/>
      <c r="M242" s="20"/>
      <c r="N242" s="20"/>
      <c r="O242" s="20"/>
      <c r="P242" s="20"/>
      <c r="Q242" s="20"/>
      <c r="S242" s="5" t="s">
        <v>41</v>
      </c>
      <c r="T242" s="5">
        <v>210</v>
      </c>
      <c r="U242" s="5" t="s">
        <v>43</v>
      </c>
      <c r="V242" s="1"/>
    </row>
    <row r="243" spans="1:22" x14ac:dyDescent="0.25">
      <c r="A243" s="29"/>
      <c r="B243" s="29"/>
      <c r="C243" s="29"/>
      <c r="D243" s="29"/>
      <c r="E243" s="29"/>
      <c r="F243" s="29"/>
      <c r="G243" s="29"/>
      <c r="H243" s="29"/>
      <c r="I243" s="29"/>
      <c r="J243" s="29"/>
      <c r="K243" s="29"/>
      <c r="L243" s="29"/>
      <c r="M243" s="29"/>
      <c r="N243" s="29"/>
      <c r="O243" s="29"/>
      <c r="P243" s="29"/>
      <c r="Q243" s="29"/>
      <c r="S243" s="5" t="s">
        <v>42</v>
      </c>
      <c r="T243" s="5">
        <v>2.85</v>
      </c>
      <c r="U243" s="5" t="s">
        <v>44</v>
      </c>
    </row>
    <row r="244" spans="1:22" x14ac:dyDescent="0.25">
      <c r="A244" s="29"/>
      <c r="B244" s="29"/>
      <c r="C244" s="29"/>
      <c r="D244" s="29"/>
      <c r="E244" s="29"/>
      <c r="F244" s="29"/>
      <c r="G244" s="29"/>
      <c r="H244" s="29"/>
      <c r="I244" s="29"/>
      <c r="J244" s="29"/>
      <c r="K244" s="29"/>
      <c r="L244" s="29"/>
      <c r="M244" s="29"/>
      <c r="N244" s="29"/>
      <c r="O244" s="29"/>
      <c r="P244" s="29"/>
      <c r="Q244" s="29"/>
      <c r="S244" s="5" t="s">
        <v>46</v>
      </c>
      <c r="T244" s="5" t="s">
        <v>82</v>
      </c>
      <c r="U244" s="5" t="s">
        <v>90</v>
      </c>
    </row>
    <row r="245" spans="1:22" x14ac:dyDescent="0.25">
      <c r="A245" s="29"/>
      <c r="B245" s="29"/>
      <c r="C245" s="29"/>
      <c r="D245" s="29"/>
      <c r="E245" s="29"/>
      <c r="F245" s="29"/>
      <c r="G245" s="29"/>
      <c r="H245" s="29"/>
      <c r="I245" s="29"/>
      <c r="J245" s="29"/>
      <c r="K245" s="29"/>
      <c r="L245" s="29"/>
      <c r="M245" s="29"/>
      <c r="N245" s="29"/>
      <c r="O245" s="29"/>
      <c r="P245" s="29"/>
      <c r="Q245" s="29"/>
      <c r="S245" s="5" t="s">
        <v>108</v>
      </c>
      <c r="T245" s="5" t="s">
        <v>153</v>
      </c>
      <c r="U245" s="5"/>
    </row>
    <row r="246" spans="1:22" x14ac:dyDescent="0.25">
      <c r="A246" s="29"/>
      <c r="B246" s="29"/>
      <c r="C246" s="29"/>
      <c r="D246" s="29"/>
      <c r="E246" s="29"/>
      <c r="F246" s="29"/>
      <c r="G246" s="29"/>
      <c r="H246" s="29"/>
      <c r="I246" s="29"/>
      <c r="J246" s="29"/>
      <c r="K246" s="29"/>
      <c r="L246" s="29"/>
      <c r="M246" s="29"/>
      <c r="N246" s="29"/>
      <c r="O246" s="29"/>
      <c r="P246" s="29"/>
      <c r="Q246" s="29"/>
      <c r="S246" s="5" t="s">
        <v>152</v>
      </c>
      <c r="T246" s="5" t="s">
        <v>125</v>
      </c>
      <c r="U246" s="5"/>
    </row>
    <row r="247" spans="1:22" x14ac:dyDescent="0.25">
      <c r="A247" s="29"/>
      <c r="B247" s="29"/>
      <c r="C247" s="29"/>
      <c r="D247" s="29"/>
      <c r="E247" s="29"/>
      <c r="F247" s="29"/>
      <c r="G247" s="29"/>
      <c r="H247" s="29"/>
      <c r="I247" s="29"/>
      <c r="J247" s="29"/>
      <c r="K247" s="29"/>
      <c r="L247" s="29"/>
      <c r="M247" s="29"/>
      <c r="N247" s="29"/>
      <c r="O247" s="29"/>
      <c r="P247" s="29"/>
      <c r="Q247" s="29"/>
      <c r="S247" s="5" t="s">
        <v>167</v>
      </c>
      <c r="T247" s="5">
        <v>20</v>
      </c>
      <c r="U247" s="5" t="s">
        <v>44</v>
      </c>
    </row>
    <row r="248" spans="1:22" x14ac:dyDescent="0.25">
      <c r="A248" s="29"/>
      <c r="B248" s="29"/>
      <c r="C248" s="29"/>
      <c r="D248" s="29"/>
      <c r="E248" s="29"/>
      <c r="F248" s="29"/>
      <c r="G248" s="29"/>
      <c r="H248" s="29"/>
      <c r="I248" s="29"/>
      <c r="J248" s="29"/>
      <c r="K248" s="29"/>
      <c r="L248" s="29"/>
      <c r="M248" s="29"/>
      <c r="N248" s="29"/>
      <c r="O248" s="29"/>
      <c r="P248" s="29"/>
      <c r="Q248" s="29"/>
      <c r="S248" s="5" t="s">
        <v>168</v>
      </c>
      <c r="T248" s="5">
        <v>10</v>
      </c>
      <c r="U248" s="5" t="s">
        <v>44</v>
      </c>
    </row>
    <row r="249" spans="1:22" x14ac:dyDescent="0.25">
      <c r="A249" s="29"/>
      <c r="B249" s="29"/>
      <c r="C249" s="29"/>
      <c r="D249" s="29"/>
      <c r="E249" s="29"/>
      <c r="F249" s="29"/>
      <c r="G249" s="29"/>
      <c r="H249" s="29"/>
      <c r="I249" s="29"/>
      <c r="J249" s="29"/>
      <c r="K249" s="29"/>
      <c r="L249" s="29"/>
      <c r="M249" s="29"/>
      <c r="N249" s="29"/>
      <c r="O249" s="29"/>
      <c r="P249" s="29"/>
      <c r="Q249" s="29"/>
      <c r="S249" s="5" t="s">
        <v>169</v>
      </c>
      <c r="T249" s="5">
        <v>0.3</v>
      </c>
      <c r="U249" s="5" t="s">
        <v>44</v>
      </c>
    </row>
    <row r="250" spans="1:22" x14ac:dyDescent="0.25">
      <c r="A250" s="29"/>
      <c r="B250" s="29"/>
      <c r="C250" s="29"/>
      <c r="D250" s="29"/>
      <c r="E250" s="29"/>
      <c r="F250" s="29"/>
      <c r="G250" s="29"/>
      <c r="H250" s="29"/>
      <c r="I250" s="29"/>
      <c r="J250" s="29"/>
      <c r="K250" s="29"/>
      <c r="L250" s="29"/>
      <c r="M250" s="29"/>
      <c r="N250" s="29"/>
      <c r="O250" s="29"/>
      <c r="P250" s="29"/>
      <c r="Q250" s="29"/>
      <c r="S250" s="78" t="s">
        <v>339</v>
      </c>
      <c r="T250" s="5">
        <v>0</v>
      </c>
      <c r="U250" s="5"/>
      <c r="V250" s="1"/>
    </row>
    <row r="251" spans="1:22" x14ac:dyDescent="0.25">
      <c r="A251" s="29"/>
      <c r="B251" s="29"/>
      <c r="C251" s="29"/>
      <c r="D251" s="29"/>
      <c r="E251" s="29"/>
      <c r="F251" s="29"/>
      <c r="G251" s="29"/>
      <c r="H251" s="29"/>
      <c r="I251" s="29"/>
      <c r="J251" s="29"/>
      <c r="K251" s="29"/>
      <c r="L251" s="29"/>
      <c r="M251" s="29"/>
      <c r="N251" s="29"/>
      <c r="O251" s="29"/>
      <c r="P251" s="29"/>
      <c r="Q251" s="29"/>
      <c r="S251" s="5" t="s">
        <v>154</v>
      </c>
      <c r="T251" s="5" t="s">
        <v>166</v>
      </c>
      <c r="U251" s="5" t="s">
        <v>158</v>
      </c>
    </row>
    <row r="252" spans="1:22" x14ac:dyDescent="0.25">
      <c r="A252" s="29"/>
      <c r="B252" s="29"/>
      <c r="C252" s="29"/>
      <c r="D252" s="29"/>
      <c r="E252" s="29"/>
      <c r="F252" s="29"/>
      <c r="G252" s="29"/>
      <c r="H252" s="29"/>
      <c r="I252" s="29"/>
      <c r="J252" s="29"/>
      <c r="K252" s="29"/>
      <c r="L252" s="29"/>
      <c r="M252" s="29"/>
      <c r="N252" s="29"/>
      <c r="O252" s="29"/>
      <c r="P252" s="29"/>
      <c r="Q252" s="29"/>
      <c r="S252" s="5" t="s">
        <v>159</v>
      </c>
      <c r="T252" s="5">
        <v>5</v>
      </c>
      <c r="U252" s="5" t="s">
        <v>44</v>
      </c>
      <c r="V252" s="1"/>
    </row>
    <row r="253" spans="1:22" x14ac:dyDescent="0.25">
      <c r="A253" s="29"/>
      <c r="B253" s="29"/>
      <c r="C253" s="29"/>
      <c r="D253" s="29"/>
      <c r="E253" s="29"/>
      <c r="F253" s="29"/>
      <c r="G253" s="29"/>
      <c r="H253" s="29"/>
      <c r="I253" s="29"/>
      <c r="J253" s="29"/>
      <c r="K253" s="29"/>
      <c r="L253" s="29"/>
      <c r="M253" s="29"/>
      <c r="N253" s="29"/>
      <c r="O253" s="29"/>
      <c r="P253" s="29"/>
      <c r="Q253" s="29"/>
      <c r="S253" s="5" t="s">
        <v>160</v>
      </c>
      <c r="T253" s="5">
        <v>7</v>
      </c>
      <c r="U253" s="5" t="s">
        <v>90</v>
      </c>
    </row>
    <row r="254" spans="1:22" x14ac:dyDescent="0.25">
      <c r="A254" s="29"/>
      <c r="B254" s="29"/>
      <c r="C254" s="29"/>
      <c r="D254" s="29"/>
      <c r="E254" s="29"/>
      <c r="F254" s="29"/>
      <c r="G254" s="29"/>
      <c r="H254" s="29"/>
      <c r="I254" s="29"/>
      <c r="J254" s="29"/>
      <c r="K254" s="29"/>
      <c r="L254" s="29"/>
      <c r="M254" s="29"/>
      <c r="N254" s="29"/>
      <c r="O254" s="29"/>
      <c r="P254" s="29"/>
      <c r="Q254" s="29"/>
      <c r="S254" s="5" t="s">
        <v>161</v>
      </c>
      <c r="T254" s="5">
        <v>2500</v>
      </c>
      <c r="U254" s="5" t="s">
        <v>45</v>
      </c>
    </row>
    <row r="255" spans="1:22" x14ac:dyDescent="0.25">
      <c r="A255" s="29"/>
      <c r="B255" s="29"/>
      <c r="C255" s="29"/>
      <c r="D255" s="29"/>
      <c r="E255" s="29"/>
      <c r="F255" s="29"/>
      <c r="G255" s="29"/>
      <c r="H255" s="29"/>
      <c r="I255" s="29"/>
      <c r="J255" s="29"/>
      <c r="K255" s="29"/>
      <c r="L255" s="29"/>
      <c r="M255" s="29"/>
      <c r="N255" s="29"/>
      <c r="O255" s="29"/>
      <c r="P255" s="29"/>
      <c r="Q255" s="29"/>
      <c r="S255" s="5" t="s">
        <v>162</v>
      </c>
      <c r="T255" s="5">
        <f>-T253</f>
        <v>-7</v>
      </c>
      <c r="U255" s="5" t="s">
        <v>90</v>
      </c>
    </row>
    <row r="256" spans="1:22" x14ac:dyDescent="0.25">
      <c r="A256" s="29"/>
      <c r="B256" s="29"/>
      <c r="C256" s="29"/>
      <c r="D256" s="29"/>
      <c r="E256" s="29"/>
      <c r="F256" s="29"/>
      <c r="G256" s="29"/>
      <c r="H256" s="29"/>
      <c r="I256" s="29"/>
      <c r="J256" s="29"/>
      <c r="K256" s="29"/>
      <c r="L256" s="29"/>
      <c r="M256" s="29"/>
      <c r="N256" s="29"/>
      <c r="O256" s="29"/>
      <c r="P256" s="29"/>
      <c r="Q256" s="29"/>
      <c r="S256" s="3" t="s">
        <v>163</v>
      </c>
      <c r="T256" s="3">
        <f>T254</f>
        <v>2500</v>
      </c>
      <c r="U256" s="5" t="s">
        <v>45</v>
      </c>
    </row>
    <row r="257" spans="1:40" x14ac:dyDescent="0.25">
      <c r="A257" s="29"/>
      <c r="B257" s="29"/>
      <c r="C257" s="29"/>
      <c r="D257" s="29"/>
      <c r="E257" s="29"/>
      <c r="F257" s="29"/>
      <c r="G257" s="29"/>
      <c r="H257" s="29"/>
      <c r="I257" s="29"/>
      <c r="J257" s="29"/>
      <c r="K257" s="29"/>
      <c r="L257" s="29"/>
      <c r="M257" s="29"/>
      <c r="N257" s="29"/>
      <c r="O257" s="29"/>
      <c r="P257" s="29"/>
      <c r="Q257" s="29"/>
      <c r="S257" s="3" t="s">
        <v>164</v>
      </c>
      <c r="T257" s="3">
        <v>0.2</v>
      </c>
      <c r="U257" s="5" t="s">
        <v>44</v>
      </c>
    </row>
    <row r="258" spans="1:40" x14ac:dyDescent="0.25">
      <c r="A258" s="29"/>
      <c r="B258" s="29"/>
      <c r="C258" s="29"/>
      <c r="D258" s="29"/>
      <c r="E258" s="29"/>
      <c r="F258" s="29"/>
      <c r="G258" s="29"/>
      <c r="H258" s="29"/>
      <c r="I258" s="29"/>
      <c r="J258" s="29"/>
      <c r="K258" s="29"/>
      <c r="L258" s="29"/>
      <c r="M258" s="29"/>
      <c r="N258" s="29"/>
      <c r="O258" s="29"/>
      <c r="P258" s="29"/>
      <c r="Q258" s="29"/>
      <c r="S258" s="3" t="s">
        <v>165</v>
      </c>
      <c r="T258" s="3">
        <v>7500</v>
      </c>
      <c r="U258" s="5" t="s">
        <v>45</v>
      </c>
    </row>
    <row r="259" spans="1:40" x14ac:dyDescent="0.25">
      <c r="A259" s="29"/>
      <c r="B259" s="29"/>
      <c r="C259" s="29"/>
      <c r="D259" s="29"/>
      <c r="E259" s="29"/>
      <c r="F259" s="29"/>
      <c r="G259" s="29"/>
      <c r="H259" s="29"/>
      <c r="I259" s="29"/>
      <c r="J259" s="29"/>
      <c r="K259" s="29"/>
      <c r="L259" s="29"/>
      <c r="M259" s="29"/>
      <c r="N259" s="29"/>
      <c r="O259" s="29"/>
      <c r="P259" s="29"/>
      <c r="Q259" s="29"/>
      <c r="S259" s="29"/>
      <c r="T259" s="29"/>
      <c r="U259" s="91"/>
      <c r="V259" s="29"/>
      <c r="W259" s="29"/>
      <c r="X259" s="29"/>
      <c r="Y259" s="29"/>
      <c r="Z259" s="29"/>
      <c r="AA259" s="29"/>
      <c r="AB259" s="29"/>
      <c r="AC259" s="29"/>
      <c r="AE259" s="29"/>
      <c r="AF259" s="29"/>
    </row>
    <row r="260" spans="1:40" x14ac:dyDescent="0.25">
      <c r="A260" s="29"/>
      <c r="B260" s="29"/>
      <c r="C260" s="29"/>
      <c r="D260" s="29"/>
      <c r="E260" s="29"/>
      <c r="F260" s="29"/>
      <c r="G260" s="29"/>
      <c r="H260" s="29"/>
      <c r="I260" s="29"/>
      <c r="J260" s="29"/>
      <c r="K260" s="29"/>
      <c r="L260" s="29"/>
      <c r="M260" s="29"/>
      <c r="N260" s="29"/>
      <c r="O260" s="29"/>
      <c r="P260" s="29"/>
      <c r="Q260" s="29"/>
      <c r="S260" s="96" t="s">
        <v>292</v>
      </c>
      <c r="T260" s="96" t="s">
        <v>293</v>
      </c>
      <c r="U260" s="97" t="s">
        <v>331</v>
      </c>
      <c r="V260" s="29"/>
      <c r="W260" s="29"/>
      <c r="X260" s="29"/>
      <c r="Y260" s="29"/>
      <c r="Z260" s="29"/>
      <c r="AA260" s="29"/>
      <c r="AB260" s="29"/>
      <c r="AC260" s="29"/>
      <c r="AD260" s="29"/>
      <c r="AE260" s="29"/>
      <c r="AF260" s="29"/>
    </row>
    <row r="261" spans="1:40" x14ac:dyDescent="0.25">
      <c r="A261" s="29"/>
      <c r="B261" s="29"/>
      <c r="C261" s="29"/>
      <c r="D261" s="29"/>
      <c r="E261" s="29"/>
      <c r="F261" s="29"/>
      <c r="G261" s="29"/>
      <c r="H261" s="29"/>
      <c r="I261" s="29"/>
      <c r="J261" s="29"/>
      <c r="K261" s="29"/>
      <c r="L261" s="29"/>
      <c r="M261" s="29"/>
      <c r="N261" s="29"/>
      <c r="O261" s="29"/>
      <c r="P261" s="29"/>
      <c r="Q261" s="29"/>
      <c r="R261" s="29"/>
      <c r="S261" s="75"/>
      <c r="T261" s="75"/>
      <c r="U261" s="92"/>
      <c r="V261" s="29"/>
      <c r="W261" s="29"/>
      <c r="X261" s="29"/>
      <c r="Y261" s="29"/>
      <c r="Z261" s="29"/>
      <c r="AA261" s="29"/>
      <c r="AB261" s="29"/>
      <c r="AC261" s="29"/>
      <c r="AD261" s="29"/>
      <c r="AE261" s="29"/>
      <c r="AF261" s="29"/>
      <c r="AG261" s="29"/>
      <c r="AH261" s="29"/>
      <c r="AI261" s="29"/>
      <c r="AJ261" s="29"/>
      <c r="AK261" s="29"/>
      <c r="AL261" s="29"/>
      <c r="AM261" s="29"/>
      <c r="AN261" s="29"/>
    </row>
    <row r="262" spans="1:40" x14ac:dyDescent="0.25">
      <c r="A262" s="29"/>
      <c r="B262" s="29"/>
      <c r="C262" s="29"/>
      <c r="D262" s="29"/>
      <c r="E262" s="29"/>
      <c r="F262" s="29"/>
      <c r="G262" s="29"/>
      <c r="H262" s="29"/>
      <c r="I262" s="29"/>
      <c r="J262" s="29"/>
      <c r="K262" s="29"/>
      <c r="L262" s="29"/>
      <c r="M262" s="29"/>
      <c r="N262" s="29"/>
      <c r="O262" s="29"/>
      <c r="P262" s="29"/>
      <c r="Q262" s="29"/>
      <c r="R262" s="29"/>
      <c r="S262" s="75" t="s">
        <v>309</v>
      </c>
      <c r="T262" s="75">
        <v>0.2</v>
      </c>
      <c r="U262" s="92" t="s">
        <v>44</v>
      </c>
      <c r="V262" s="29"/>
      <c r="W262" s="29"/>
      <c r="X262" s="29"/>
      <c r="Y262" s="29"/>
      <c r="Z262" s="29"/>
      <c r="AA262" s="29"/>
      <c r="AB262" s="29"/>
      <c r="AC262" s="29"/>
      <c r="AD262" s="29"/>
      <c r="AE262" s="29"/>
      <c r="AF262" s="29"/>
      <c r="AG262" s="29"/>
      <c r="AH262" s="29"/>
      <c r="AI262" s="29"/>
      <c r="AJ262" s="29"/>
      <c r="AK262" s="29"/>
      <c r="AL262" s="29"/>
      <c r="AM262" s="29"/>
      <c r="AN262" s="29"/>
    </row>
    <row r="263" spans="1:40" x14ac:dyDescent="0.25">
      <c r="A263" s="29"/>
      <c r="B263" s="29"/>
      <c r="C263" s="29"/>
      <c r="D263" s="29"/>
      <c r="E263" s="29"/>
      <c r="F263" s="29"/>
      <c r="G263" s="29"/>
      <c r="H263" s="29"/>
      <c r="I263" s="29"/>
      <c r="J263" s="29"/>
      <c r="K263" s="29"/>
      <c r="L263" s="29"/>
      <c r="M263" s="29"/>
      <c r="N263" s="29"/>
      <c r="O263" s="29"/>
      <c r="P263" s="29"/>
      <c r="Q263" s="29"/>
      <c r="R263" s="29"/>
      <c r="S263" s="75" t="s">
        <v>307</v>
      </c>
      <c r="T263" s="75">
        <v>1</v>
      </c>
      <c r="U263" s="92" t="s">
        <v>44</v>
      </c>
      <c r="V263" s="29"/>
      <c r="W263" s="29"/>
      <c r="X263" s="29"/>
      <c r="Y263" s="29"/>
      <c r="Z263" s="29"/>
      <c r="AA263" s="29"/>
      <c r="AB263" s="29"/>
      <c r="AC263" s="29"/>
      <c r="AD263" s="29"/>
      <c r="AE263" s="29"/>
      <c r="AF263" s="29"/>
      <c r="AG263" s="29"/>
      <c r="AH263" s="29"/>
      <c r="AI263" s="29"/>
      <c r="AJ263" s="29"/>
      <c r="AK263" s="29"/>
      <c r="AL263" s="29"/>
      <c r="AM263" s="29"/>
      <c r="AN263" s="29"/>
    </row>
    <row r="264" spans="1:40" x14ac:dyDescent="0.25">
      <c r="A264" s="29"/>
      <c r="B264" s="29"/>
      <c r="C264" s="29"/>
      <c r="D264" s="29"/>
      <c r="E264" s="29"/>
      <c r="F264" s="29"/>
      <c r="G264" s="29"/>
      <c r="H264" s="29"/>
      <c r="I264" s="29"/>
      <c r="J264" s="29"/>
      <c r="K264" s="29"/>
      <c r="L264" s="29"/>
      <c r="M264" s="29"/>
      <c r="N264" s="29"/>
      <c r="O264" s="29"/>
      <c r="P264" s="29"/>
      <c r="Q264" s="29"/>
      <c r="R264" s="29"/>
      <c r="S264" s="75" t="s">
        <v>308</v>
      </c>
      <c r="T264" s="75">
        <v>0.5</v>
      </c>
      <c r="U264" s="92" t="s">
        <v>44</v>
      </c>
      <c r="V264" s="29"/>
      <c r="W264" s="29"/>
      <c r="X264" s="29"/>
      <c r="Y264" s="29"/>
      <c r="Z264" s="29"/>
      <c r="AA264" s="29"/>
      <c r="AB264" s="29"/>
      <c r="AC264" s="29"/>
      <c r="AD264" s="29"/>
      <c r="AE264" s="29"/>
      <c r="AF264" s="29"/>
      <c r="AG264" s="29"/>
      <c r="AH264" s="29"/>
      <c r="AI264" s="29"/>
      <c r="AJ264" s="29"/>
      <c r="AK264" s="29"/>
      <c r="AL264" s="29"/>
      <c r="AM264" s="29"/>
      <c r="AN264" s="29"/>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topLeftCell="D1" zoomScale="98" workbookViewId="0">
      <selection activeCell="H10" sqref="H10"/>
    </sheetView>
  </sheetViews>
  <sheetFormatPr defaultColWidth="9.140625" defaultRowHeight="16.350000000000001" customHeight="1" x14ac:dyDescent="0.25"/>
  <cols>
    <col min="1" max="2" width="23" style="71" customWidth="1"/>
    <col min="3" max="3" width="19" style="60" customWidth="1"/>
    <col min="4" max="4" width="9.140625" style="60"/>
    <col min="5" max="5" width="16.7109375" style="60" customWidth="1"/>
    <col min="6" max="16384" width="9.140625" style="60"/>
  </cols>
  <sheetData>
    <row r="1" spans="1:17" ht="16.350000000000001" customHeight="1" x14ac:dyDescent="0.25">
      <c r="A1" s="71" t="s">
        <v>266</v>
      </c>
      <c r="B1" s="71" t="s">
        <v>269</v>
      </c>
      <c r="C1" s="71" t="s">
        <v>267</v>
      </c>
      <c r="D1" s="60" t="s">
        <v>268</v>
      </c>
    </row>
    <row r="2" spans="1:17" ht="16.350000000000001" customHeight="1" x14ac:dyDescent="0.25">
      <c r="A2" s="71">
        <v>1</v>
      </c>
      <c r="B2" s="71">
        <v>1</v>
      </c>
      <c r="C2" s="60">
        <v>1</v>
      </c>
      <c r="D2" s="60" t="s">
        <v>1</v>
      </c>
      <c r="E2" s="60" t="s">
        <v>18</v>
      </c>
      <c r="F2" s="60">
        <v>100</v>
      </c>
      <c r="G2" s="60">
        <v>155</v>
      </c>
      <c r="H2" s="60">
        <v>0</v>
      </c>
      <c r="I2" s="60" t="s">
        <v>743</v>
      </c>
      <c r="J2" s="60" t="s">
        <v>100</v>
      </c>
      <c r="K2" s="60" t="s">
        <v>100</v>
      </c>
      <c r="L2" s="60" t="s">
        <v>19</v>
      </c>
      <c r="M2" s="60">
        <v>3.75</v>
      </c>
      <c r="N2" s="60">
        <v>2.8</v>
      </c>
      <c r="Q2" s="72"/>
    </row>
    <row r="3" spans="1:17" ht="16.350000000000001" customHeight="1" x14ac:dyDescent="0.25">
      <c r="A3" s="71">
        <v>2</v>
      </c>
      <c r="B3" s="71">
        <v>2</v>
      </c>
      <c r="C3" s="60">
        <v>2</v>
      </c>
      <c r="D3" s="60" t="s">
        <v>1</v>
      </c>
      <c r="E3" s="60" t="s">
        <v>18</v>
      </c>
      <c r="F3" s="60" t="s">
        <v>100</v>
      </c>
      <c r="G3" s="60" t="s">
        <v>100</v>
      </c>
      <c r="H3" s="60" t="s">
        <v>100</v>
      </c>
      <c r="I3" s="60">
        <v>275</v>
      </c>
      <c r="J3" s="60">
        <v>135</v>
      </c>
      <c r="K3" s="60" t="s">
        <v>100</v>
      </c>
      <c r="L3" s="60" t="s">
        <v>19</v>
      </c>
      <c r="M3" s="60">
        <v>3.75</v>
      </c>
      <c r="N3" s="60">
        <v>2.8</v>
      </c>
      <c r="P3" s="72"/>
      <c r="Q3" s="72"/>
    </row>
    <row r="4" spans="1:17" ht="16.350000000000001" customHeight="1" x14ac:dyDescent="0.25">
      <c r="A4" s="71">
        <v>3</v>
      </c>
      <c r="B4" s="71">
        <v>3</v>
      </c>
      <c r="C4" s="60">
        <v>3</v>
      </c>
      <c r="D4" s="60" t="s">
        <v>1</v>
      </c>
      <c r="E4" s="60" t="s">
        <v>18</v>
      </c>
      <c r="F4" s="60" t="s">
        <v>100</v>
      </c>
      <c r="G4" s="60" t="s">
        <v>100</v>
      </c>
      <c r="H4" s="60" t="s">
        <v>100</v>
      </c>
      <c r="I4" s="60" t="s">
        <v>722</v>
      </c>
      <c r="J4" s="60" t="s">
        <v>100</v>
      </c>
      <c r="K4" s="60" t="s">
        <v>100</v>
      </c>
      <c r="L4" s="60" t="s">
        <v>19</v>
      </c>
      <c r="M4" s="60">
        <v>3.75</v>
      </c>
      <c r="N4" s="60">
        <v>2.8</v>
      </c>
      <c r="Q4" s="72"/>
    </row>
    <row r="5" spans="1:17" ht="16.350000000000001" customHeight="1" x14ac:dyDescent="0.25">
      <c r="A5" s="71">
        <v>4</v>
      </c>
      <c r="B5" s="71">
        <v>4</v>
      </c>
      <c r="C5" s="60">
        <v>4</v>
      </c>
      <c r="D5" s="60" t="s">
        <v>1</v>
      </c>
      <c r="E5" s="60" t="s">
        <v>18</v>
      </c>
      <c r="F5" s="60" t="s">
        <v>100</v>
      </c>
      <c r="G5" s="60" t="s">
        <v>100</v>
      </c>
      <c r="H5" s="60" t="s">
        <v>100</v>
      </c>
      <c r="I5" s="60" t="s">
        <v>100</v>
      </c>
      <c r="J5" s="60" t="s">
        <v>723</v>
      </c>
      <c r="K5" s="60" t="s">
        <v>100</v>
      </c>
      <c r="L5" s="60" t="s">
        <v>19</v>
      </c>
      <c r="M5" s="60">
        <v>3.75</v>
      </c>
      <c r="N5" s="60">
        <v>2.8</v>
      </c>
      <c r="P5" s="72"/>
      <c r="Q5" s="72"/>
    </row>
    <row r="6" spans="1:17" ht="16.350000000000001" customHeight="1" x14ac:dyDescent="0.25">
      <c r="A6" s="71">
        <v>5</v>
      </c>
      <c r="B6" s="71">
        <v>5</v>
      </c>
      <c r="C6" s="60">
        <v>5</v>
      </c>
      <c r="D6" s="60" t="s">
        <v>1</v>
      </c>
      <c r="E6" s="60" t="s">
        <v>18</v>
      </c>
      <c r="F6" s="60" t="s">
        <v>100</v>
      </c>
      <c r="G6" s="60" t="s">
        <v>100</v>
      </c>
      <c r="H6" s="60" t="s">
        <v>100</v>
      </c>
      <c r="I6" s="60" t="s">
        <v>694</v>
      </c>
      <c r="J6" s="60" t="s">
        <v>100</v>
      </c>
      <c r="K6" s="60" t="s">
        <v>100</v>
      </c>
      <c r="L6" s="60" t="s">
        <v>19</v>
      </c>
      <c r="M6" s="60">
        <v>3.75</v>
      </c>
      <c r="N6" s="60">
        <v>2.8</v>
      </c>
      <c r="Q6" s="72"/>
    </row>
    <row r="7" spans="1:17" ht="16.350000000000001" customHeight="1" x14ac:dyDescent="0.25">
      <c r="A7" s="71">
        <v>6</v>
      </c>
      <c r="B7" s="71">
        <v>6</v>
      </c>
      <c r="C7" s="60">
        <v>6</v>
      </c>
      <c r="D7" s="60" t="s">
        <v>1</v>
      </c>
      <c r="E7" s="60" t="s">
        <v>18</v>
      </c>
      <c r="F7" s="60" t="s">
        <v>100</v>
      </c>
      <c r="G7" s="60" t="s">
        <v>100</v>
      </c>
      <c r="H7" s="60" t="s">
        <v>100</v>
      </c>
      <c r="I7" s="60" t="s">
        <v>100</v>
      </c>
      <c r="J7" s="60" t="s">
        <v>724</v>
      </c>
      <c r="K7" s="60" t="s">
        <v>100</v>
      </c>
      <c r="L7" s="60" t="s">
        <v>19</v>
      </c>
      <c r="M7" s="60">
        <v>3.75</v>
      </c>
      <c r="N7" s="60">
        <v>2.8</v>
      </c>
      <c r="P7" s="72"/>
      <c r="Q7" s="72"/>
    </row>
    <row r="8" spans="1:17" ht="16.350000000000001" customHeight="1" x14ac:dyDescent="0.25">
      <c r="A8" s="71">
        <v>7</v>
      </c>
      <c r="B8" s="71">
        <v>7</v>
      </c>
      <c r="C8" s="60">
        <v>7</v>
      </c>
      <c r="D8" s="60" t="s">
        <v>55</v>
      </c>
      <c r="E8" s="60" t="s">
        <v>725</v>
      </c>
      <c r="F8" s="60">
        <v>0</v>
      </c>
      <c r="G8" s="60">
        <v>-16.399999999999999</v>
      </c>
      <c r="H8" s="60">
        <v>0</v>
      </c>
      <c r="I8" s="60">
        <v>1</v>
      </c>
      <c r="Q8" s="72"/>
    </row>
    <row r="9" spans="1:17" ht="16.350000000000001" customHeight="1" x14ac:dyDescent="0.25">
      <c r="A9" s="71">
        <v>8</v>
      </c>
      <c r="B9" s="71">
        <v>8</v>
      </c>
      <c r="C9" s="60">
        <v>8</v>
      </c>
      <c r="D9" s="60" t="s">
        <v>39</v>
      </c>
      <c r="E9" s="60">
        <v>0.35</v>
      </c>
      <c r="F9" s="60">
        <v>60</v>
      </c>
      <c r="G9" s="60">
        <v>4</v>
      </c>
      <c r="H9" s="60">
        <v>5000</v>
      </c>
      <c r="P9" s="72"/>
      <c r="Q9" s="72"/>
    </row>
    <row r="10" spans="1:17" ht="16.350000000000001" customHeight="1" x14ac:dyDescent="0.25">
      <c r="A10" s="71">
        <v>9</v>
      </c>
      <c r="B10" s="71">
        <v>9</v>
      </c>
      <c r="C10" s="60">
        <v>9</v>
      </c>
      <c r="D10" s="60" t="s">
        <v>49</v>
      </c>
      <c r="E10" s="60" t="s">
        <v>203</v>
      </c>
      <c r="F10" s="60">
        <v>3</v>
      </c>
      <c r="Q10" s="72"/>
    </row>
    <row r="11" spans="1:17" ht="16.350000000000001" customHeight="1" x14ac:dyDescent="0.25">
      <c r="A11" s="71">
        <v>10</v>
      </c>
      <c r="B11" s="71">
        <v>10</v>
      </c>
      <c r="C11" s="60">
        <v>10</v>
      </c>
      <c r="D11" s="60" t="s">
        <v>1</v>
      </c>
      <c r="E11" s="60" t="s">
        <v>18</v>
      </c>
      <c r="F11" s="60">
        <v>140</v>
      </c>
      <c r="G11" s="60">
        <v>140</v>
      </c>
      <c r="H11" s="60">
        <v>1E-10</v>
      </c>
      <c r="I11" s="60" t="s">
        <v>100</v>
      </c>
      <c r="J11" s="60" t="s">
        <v>726</v>
      </c>
      <c r="K11" s="60" t="s">
        <v>100</v>
      </c>
      <c r="L11" s="60" t="s">
        <v>19</v>
      </c>
      <c r="M11" s="60">
        <v>3.75</v>
      </c>
      <c r="N11" s="60">
        <v>2.8</v>
      </c>
      <c r="P11" s="72"/>
      <c r="Q11" s="72"/>
    </row>
    <row r="12" spans="1:17" ht="16.350000000000001" customHeight="1" x14ac:dyDescent="0.25">
      <c r="A12" s="71">
        <v>11</v>
      </c>
      <c r="B12" s="71">
        <v>11</v>
      </c>
      <c r="C12" s="60">
        <v>11</v>
      </c>
      <c r="D12" s="60" t="s">
        <v>1</v>
      </c>
      <c r="E12" s="60" t="s">
        <v>18</v>
      </c>
      <c r="F12" s="60" t="s">
        <v>100</v>
      </c>
      <c r="G12" s="60" t="s">
        <v>100</v>
      </c>
      <c r="H12" s="60" t="s">
        <v>100</v>
      </c>
      <c r="I12" s="60" t="s">
        <v>694</v>
      </c>
      <c r="J12" s="60" t="s">
        <v>100</v>
      </c>
      <c r="K12" s="60" t="s">
        <v>100</v>
      </c>
      <c r="L12" s="60" t="s">
        <v>19</v>
      </c>
      <c r="M12" s="60">
        <v>3.75</v>
      </c>
      <c r="N12" s="60">
        <v>2.8</v>
      </c>
      <c r="Q12" s="72"/>
    </row>
    <row r="13" spans="1:17" ht="16.350000000000001" customHeight="1" x14ac:dyDescent="0.25">
      <c r="A13" s="71">
        <v>12</v>
      </c>
      <c r="B13" s="71">
        <v>12</v>
      </c>
      <c r="C13" s="60">
        <v>12</v>
      </c>
      <c r="D13" s="60" t="s">
        <v>1</v>
      </c>
      <c r="E13" s="60" t="s">
        <v>18</v>
      </c>
      <c r="F13" s="60" t="s">
        <v>100</v>
      </c>
      <c r="G13" s="60" t="s">
        <v>100</v>
      </c>
      <c r="H13" s="60" t="s">
        <v>100</v>
      </c>
      <c r="I13" s="60" t="s">
        <v>100</v>
      </c>
      <c r="J13" s="60" t="s">
        <v>727</v>
      </c>
      <c r="K13" s="60" t="s">
        <v>100</v>
      </c>
      <c r="L13" s="60" t="s">
        <v>19</v>
      </c>
      <c r="M13" s="60">
        <v>3.75</v>
      </c>
      <c r="N13" s="60">
        <v>2.8</v>
      </c>
      <c r="P13" s="72"/>
      <c r="Q13" s="72"/>
    </row>
    <row r="14" spans="1:17" ht="16.350000000000001" customHeight="1" x14ac:dyDescent="0.25">
      <c r="A14" s="71">
        <v>13</v>
      </c>
      <c r="B14" s="71">
        <v>13</v>
      </c>
      <c r="C14" s="60">
        <v>13</v>
      </c>
      <c r="D14" s="60" t="s">
        <v>1</v>
      </c>
      <c r="E14" s="60" t="s">
        <v>18</v>
      </c>
      <c r="F14" s="60" t="s">
        <v>100</v>
      </c>
      <c r="G14" s="60" t="s">
        <v>100</v>
      </c>
      <c r="H14" s="60" t="s">
        <v>100</v>
      </c>
      <c r="I14" s="60" t="s">
        <v>722</v>
      </c>
      <c r="J14" s="60" t="s">
        <v>100</v>
      </c>
      <c r="K14" s="60" t="s">
        <v>100</v>
      </c>
      <c r="L14" s="60" t="s">
        <v>19</v>
      </c>
      <c r="M14" s="60">
        <v>3.75</v>
      </c>
      <c r="N14" s="60">
        <v>2.8</v>
      </c>
      <c r="Q14" s="72"/>
    </row>
    <row r="15" spans="1:17" ht="16.350000000000001" customHeight="1" x14ac:dyDescent="0.25">
      <c r="A15" s="71">
        <v>14</v>
      </c>
      <c r="B15" s="71">
        <v>14</v>
      </c>
      <c r="C15" s="60">
        <v>14</v>
      </c>
      <c r="D15" s="60" t="s">
        <v>55</v>
      </c>
      <c r="E15" s="60" t="s">
        <v>728</v>
      </c>
      <c r="F15" s="60">
        <v>0</v>
      </c>
      <c r="G15" s="60">
        <v>-16.399999999999999</v>
      </c>
      <c r="H15" s="60">
        <v>0</v>
      </c>
      <c r="I15" s="60">
        <v>1</v>
      </c>
      <c r="P15" s="72"/>
      <c r="Q15" s="72"/>
    </row>
    <row r="16" spans="1:17" ht="16.350000000000001" customHeight="1" x14ac:dyDescent="0.25">
      <c r="A16" s="71">
        <v>15</v>
      </c>
      <c r="B16" s="71">
        <v>15</v>
      </c>
      <c r="C16" s="60">
        <v>15</v>
      </c>
      <c r="D16" s="60" t="s">
        <v>39</v>
      </c>
      <c r="E16" s="60">
        <v>0</v>
      </c>
      <c r="F16" s="60">
        <v>0</v>
      </c>
      <c r="G16" s="60">
        <v>2</v>
      </c>
      <c r="H16" s="60">
        <v>5000</v>
      </c>
      <c r="O16" s="72"/>
      <c r="Q16" s="72"/>
    </row>
    <row r="17" spans="1:17" ht="16.350000000000001" customHeight="1" x14ac:dyDescent="0.25">
      <c r="A17" s="71">
        <v>16</v>
      </c>
      <c r="B17" s="71">
        <v>16</v>
      </c>
      <c r="C17" s="60">
        <v>16</v>
      </c>
      <c r="D17" s="60" t="s">
        <v>1</v>
      </c>
      <c r="E17" s="60" t="s">
        <v>18</v>
      </c>
      <c r="F17" s="60" t="s">
        <v>100</v>
      </c>
      <c r="G17" s="60" t="s">
        <v>100</v>
      </c>
      <c r="H17" s="60" t="s">
        <v>100</v>
      </c>
      <c r="I17" s="60" t="s">
        <v>694</v>
      </c>
      <c r="J17" s="60" t="s">
        <v>100</v>
      </c>
      <c r="K17" s="60" t="s">
        <v>100</v>
      </c>
      <c r="L17" s="60" t="s">
        <v>19</v>
      </c>
      <c r="M17" s="60">
        <v>3.75</v>
      </c>
      <c r="N17" s="60">
        <v>2.8</v>
      </c>
      <c r="P17" s="72"/>
      <c r="Q17" s="72"/>
    </row>
    <row r="18" spans="1:17" ht="16.350000000000001" customHeight="1" x14ac:dyDescent="0.25">
      <c r="A18" s="71">
        <v>17</v>
      </c>
      <c r="B18" s="71">
        <v>17</v>
      </c>
      <c r="C18" s="60">
        <v>17</v>
      </c>
      <c r="D18" s="60" t="s">
        <v>1</v>
      </c>
      <c r="E18" s="60" t="s">
        <v>18</v>
      </c>
      <c r="F18" s="60" t="s">
        <v>100</v>
      </c>
      <c r="G18" s="60" t="s">
        <v>100</v>
      </c>
      <c r="H18" s="60" t="s">
        <v>100</v>
      </c>
      <c r="I18" s="60" t="s">
        <v>100</v>
      </c>
      <c r="J18" s="60" t="s">
        <v>729</v>
      </c>
      <c r="K18" s="60" t="s">
        <v>100</v>
      </c>
      <c r="L18" s="60" t="s">
        <v>19</v>
      </c>
      <c r="M18" s="60">
        <v>3.75</v>
      </c>
      <c r="N18" s="60">
        <v>2.8</v>
      </c>
      <c r="Q18" s="72"/>
    </row>
    <row r="19" spans="1:17" ht="16.350000000000001" customHeight="1" x14ac:dyDescent="0.25">
      <c r="A19" s="71">
        <v>18</v>
      </c>
      <c r="B19" s="71">
        <v>18</v>
      </c>
      <c r="C19" s="60">
        <v>18</v>
      </c>
      <c r="D19" s="60" t="s">
        <v>1</v>
      </c>
      <c r="E19" s="60" t="s">
        <v>18</v>
      </c>
      <c r="F19" s="60" t="s">
        <v>100</v>
      </c>
      <c r="G19" s="60" t="s">
        <v>100</v>
      </c>
      <c r="H19" s="60" t="s">
        <v>100</v>
      </c>
      <c r="I19" s="60" t="s">
        <v>722</v>
      </c>
      <c r="J19" s="60" t="s">
        <v>100</v>
      </c>
      <c r="K19" s="60" t="s">
        <v>100</v>
      </c>
      <c r="L19" s="60" t="s">
        <v>19</v>
      </c>
      <c r="M19" s="60">
        <v>3.75</v>
      </c>
      <c r="N19" s="60">
        <v>2.8</v>
      </c>
      <c r="P19" s="72"/>
      <c r="Q19" s="72"/>
    </row>
    <row r="20" spans="1:17" ht="16.350000000000001" customHeight="1" x14ac:dyDescent="0.25">
      <c r="A20" s="71">
        <v>19</v>
      </c>
      <c r="B20" s="71">
        <v>19</v>
      </c>
      <c r="C20" s="60">
        <v>19</v>
      </c>
      <c r="D20" s="60" t="s">
        <v>1</v>
      </c>
      <c r="E20" s="60" t="s">
        <v>18</v>
      </c>
      <c r="F20" s="60" t="s">
        <v>100</v>
      </c>
      <c r="G20" s="60" t="s">
        <v>100</v>
      </c>
      <c r="H20" s="60" t="s">
        <v>100</v>
      </c>
      <c r="I20" s="60" t="s">
        <v>100</v>
      </c>
      <c r="J20" s="60" t="s">
        <v>730</v>
      </c>
      <c r="K20" s="60" t="s">
        <v>100</v>
      </c>
      <c r="L20" s="60" t="s">
        <v>19</v>
      </c>
      <c r="M20" s="60">
        <v>3.75</v>
      </c>
      <c r="N20" s="60">
        <v>2.8</v>
      </c>
      <c r="Q20" s="72"/>
    </row>
    <row r="21" spans="1:17" ht="16.350000000000001" customHeight="1" x14ac:dyDescent="0.25">
      <c r="A21" s="71">
        <v>20</v>
      </c>
      <c r="B21" s="71">
        <v>20</v>
      </c>
      <c r="C21" s="60">
        <v>20</v>
      </c>
      <c r="D21" s="60" t="s">
        <v>55</v>
      </c>
      <c r="E21" s="60" t="s">
        <v>731</v>
      </c>
      <c r="F21" s="60">
        <v>0</v>
      </c>
      <c r="G21" s="60">
        <v>16.399999999999999</v>
      </c>
      <c r="H21" s="60">
        <v>0</v>
      </c>
      <c r="I21" s="60">
        <v>1</v>
      </c>
      <c r="Q21" s="72"/>
    </row>
    <row r="22" spans="1:17" ht="16.350000000000001" customHeight="1" x14ac:dyDescent="0.25">
      <c r="A22" s="71">
        <v>21</v>
      </c>
      <c r="B22" s="71">
        <v>21</v>
      </c>
      <c r="C22" s="60">
        <v>21</v>
      </c>
      <c r="D22" s="60" t="s">
        <v>695</v>
      </c>
      <c r="E22" s="60">
        <v>0.35</v>
      </c>
      <c r="F22" s="60">
        <v>80</v>
      </c>
      <c r="G22" s="60">
        <v>4</v>
      </c>
      <c r="H22" s="60">
        <v>5000</v>
      </c>
      <c r="Q22" s="72"/>
    </row>
    <row r="23" spans="1:17" ht="16.350000000000001" customHeight="1" x14ac:dyDescent="0.25">
      <c r="A23" s="71">
        <v>22</v>
      </c>
      <c r="B23" s="71">
        <v>22</v>
      </c>
      <c r="C23" s="60">
        <v>22</v>
      </c>
      <c r="D23" s="60" t="s">
        <v>49</v>
      </c>
      <c r="E23" s="60" t="s">
        <v>203</v>
      </c>
      <c r="F23" s="60">
        <v>2</v>
      </c>
      <c r="Q23" s="72"/>
    </row>
    <row r="24" spans="1:17" ht="16.350000000000001" customHeight="1" x14ac:dyDescent="0.25">
      <c r="A24" s="71">
        <v>23</v>
      </c>
      <c r="B24" s="71">
        <v>23</v>
      </c>
      <c r="C24" s="60">
        <v>23</v>
      </c>
      <c r="D24" s="60" t="s">
        <v>1</v>
      </c>
      <c r="E24" s="60" t="s">
        <v>18</v>
      </c>
      <c r="F24" s="60" t="s">
        <v>100</v>
      </c>
      <c r="G24" s="60" t="s">
        <v>100</v>
      </c>
      <c r="H24" s="60" t="s">
        <v>100</v>
      </c>
      <c r="I24" s="60" t="s">
        <v>100</v>
      </c>
      <c r="J24" s="60" t="s">
        <v>100</v>
      </c>
      <c r="K24" s="60">
        <v>2</v>
      </c>
      <c r="L24" s="60" t="s">
        <v>23</v>
      </c>
      <c r="M24" s="60">
        <v>3.75</v>
      </c>
      <c r="N24" s="60">
        <v>2.8</v>
      </c>
      <c r="Q24" s="72"/>
    </row>
    <row r="25" spans="1:17" ht="16.350000000000001" customHeight="1" x14ac:dyDescent="0.25">
      <c r="A25" s="71">
        <v>24</v>
      </c>
      <c r="B25" s="71">
        <v>24</v>
      </c>
      <c r="C25" s="60">
        <v>24</v>
      </c>
      <c r="D25" s="60" t="s">
        <v>172</v>
      </c>
      <c r="E25" s="60" t="s">
        <v>703</v>
      </c>
      <c r="F25" s="60">
        <v>155</v>
      </c>
      <c r="G25" s="60" t="s">
        <v>699</v>
      </c>
      <c r="H25" s="60">
        <v>0</v>
      </c>
      <c r="I25" s="60">
        <v>1</v>
      </c>
      <c r="J25" s="60">
        <v>1</v>
      </c>
      <c r="K25" s="60">
        <v>3.75</v>
      </c>
      <c r="L25" s="60">
        <v>2.8</v>
      </c>
      <c r="Q25" s="72"/>
    </row>
    <row r="26" spans="1:17" ht="16.350000000000001" customHeight="1" x14ac:dyDescent="0.25">
      <c r="A26" s="71">
        <v>25</v>
      </c>
      <c r="B26" s="71">
        <v>25</v>
      </c>
      <c r="C26" s="60">
        <v>25</v>
      </c>
      <c r="D26" s="60" t="s">
        <v>1</v>
      </c>
      <c r="E26" s="60" t="s">
        <v>18</v>
      </c>
      <c r="F26" s="60" t="s">
        <v>100</v>
      </c>
      <c r="G26" s="60" t="s">
        <v>100</v>
      </c>
      <c r="H26" s="60" t="s">
        <v>100</v>
      </c>
      <c r="I26" s="60">
        <v>275</v>
      </c>
      <c r="J26" s="60">
        <v>135</v>
      </c>
      <c r="K26" s="60">
        <v>2</v>
      </c>
      <c r="L26" s="60" t="s">
        <v>19</v>
      </c>
      <c r="M26" s="60">
        <v>3.75</v>
      </c>
      <c r="N26" s="60">
        <v>2.8</v>
      </c>
      <c r="Q26" s="72"/>
    </row>
    <row r="27" spans="1:17" ht="16.350000000000001" customHeight="1" x14ac:dyDescent="0.25">
      <c r="A27" s="71">
        <v>26</v>
      </c>
      <c r="B27" s="71">
        <v>26</v>
      </c>
      <c r="C27" s="60">
        <v>26</v>
      </c>
      <c r="D27" s="60" t="s">
        <v>1</v>
      </c>
      <c r="E27" s="60" t="s">
        <v>18</v>
      </c>
      <c r="F27" s="60" t="s">
        <v>100</v>
      </c>
      <c r="G27" s="60" t="s">
        <v>100</v>
      </c>
      <c r="H27" s="60" t="s">
        <v>100</v>
      </c>
      <c r="I27" s="60" t="s">
        <v>722</v>
      </c>
      <c r="J27" s="60" t="s">
        <v>100</v>
      </c>
      <c r="K27" s="60" t="s">
        <v>100</v>
      </c>
      <c r="L27" s="60" t="s">
        <v>19</v>
      </c>
      <c r="M27" s="60">
        <v>3.75</v>
      </c>
      <c r="N27" s="60">
        <v>2.8</v>
      </c>
      <c r="O27" s="72"/>
      <c r="Q27" s="72"/>
    </row>
    <row r="28" spans="1:17" ht="16.350000000000001" customHeight="1" x14ac:dyDescent="0.25">
      <c r="A28" s="71">
        <v>27</v>
      </c>
      <c r="B28" s="71">
        <v>27</v>
      </c>
      <c r="C28" s="60">
        <v>27</v>
      </c>
      <c r="D28" s="60" t="s">
        <v>1</v>
      </c>
      <c r="E28" s="60" t="s">
        <v>18</v>
      </c>
      <c r="F28" s="60" t="s">
        <v>100</v>
      </c>
      <c r="G28" s="60" t="s">
        <v>100</v>
      </c>
      <c r="H28" s="60" t="s">
        <v>100</v>
      </c>
      <c r="I28" s="60" t="s">
        <v>100</v>
      </c>
      <c r="J28" s="60" t="s">
        <v>723</v>
      </c>
      <c r="K28" s="60" t="s">
        <v>100</v>
      </c>
      <c r="L28" s="60" t="s">
        <v>19</v>
      </c>
      <c r="M28" s="60">
        <v>3.75</v>
      </c>
      <c r="N28" s="60">
        <v>2.8</v>
      </c>
      <c r="Q28" s="72"/>
    </row>
    <row r="29" spans="1:17" ht="16.350000000000001" customHeight="1" x14ac:dyDescent="0.25">
      <c r="A29" s="71">
        <v>28</v>
      </c>
      <c r="B29" s="71">
        <v>28</v>
      </c>
      <c r="C29" s="60">
        <v>28</v>
      </c>
      <c r="D29" s="60" t="s">
        <v>1</v>
      </c>
      <c r="E29" s="60" t="s">
        <v>18</v>
      </c>
      <c r="F29" s="60" t="s">
        <v>100</v>
      </c>
      <c r="G29" s="60" t="s">
        <v>100</v>
      </c>
      <c r="H29" s="60" t="s">
        <v>100</v>
      </c>
      <c r="I29" s="60" t="s">
        <v>694</v>
      </c>
      <c r="J29" s="60" t="s">
        <v>100</v>
      </c>
      <c r="K29" s="60" t="s">
        <v>100</v>
      </c>
      <c r="L29" s="60" t="s">
        <v>19</v>
      </c>
      <c r="M29" s="60">
        <v>3.75</v>
      </c>
      <c r="N29" s="60">
        <v>2.8</v>
      </c>
      <c r="Q29" s="72"/>
    </row>
    <row r="30" spans="1:17" ht="16.350000000000001" customHeight="1" x14ac:dyDescent="0.25">
      <c r="A30" s="71">
        <v>29</v>
      </c>
      <c r="B30" s="71">
        <v>29</v>
      </c>
      <c r="C30" s="60">
        <v>29</v>
      </c>
      <c r="D30" s="60" t="s">
        <v>1</v>
      </c>
      <c r="E30" s="60" t="s">
        <v>18</v>
      </c>
      <c r="F30" s="60" t="s">
        <v>100</v>
      </c>
      <c r="G30" s="60" t="s">
        <v>100</v>
      </c>
      <c r="H30" s="60" t="s">
        <v>100</v>
      </c>
      <c r="I30" s="60" t="s">
        <v>100</v>
      </c>
      <c r="J30" s="60" t="s">
        <v>724</v>
      </c>
      <c r="K30" s="60" t="s">
        <v>100</v>
      </c>
      <c r="L30" s="60" t="s">
        <v>19</v>
      </c>
      <c r="M30" s="60">
        <v>3.75</v>
      </c>
      <c r="N30" s="60">
        <v>2.8</v>
      </c>
      <c r="Q30" s="72"/>
    </row>
    <row r="31" spans="1:17" ht="16.350000000000001" customHeight="1" x14ac:dyDescent="0.25">
      <c r="A31" s="71">
        <v>30</v>
      </c>
      <c r="B31" s="71">
        <v>30</v>
      </c>
      <c r="C31" s="60">
        <v>30</v>
      </c>
      <c r="D31" s="60" t="s">
        <v>55</v>
      </c>
      <c r="E31" s="60" t="s">
        <v>748</v>
      </c>
      <c r="F31" s="60">
        <v>0</v>
      </c>
      <c r="G31" s="60">
        <v>-16.399999999999999</v>
      </c>
      <c r="H31" s="60">
        <v>0</v>
      </c>
      <c r="I31" s="60">
        <v>1</v>
      </c>
      <c r="Q31" s="72"/>
    </row>
    <row r="32" spans="1:17" ht="16.350000000000001" customHeight="1" x14ac:dyDescent="0.25">
      <c r="A32" s="71">
        <v>31</v>
      </c>
      <c r="B32" s="71">
        <v>31</v>
      </c>
      <c r="C32" s="60">
        <v>31</v>
      </c>
      <c r="D32" s="60" t="s">
        <v>39</v>
      </c>
      <c r="E32" s="60">
        <v>0</v>
      </c>
      <c r="F32" s="60">
        <v>0</v>
      </c>
      <c r="G32" s="60">
        <v>2</v>
      </c>
      <c r="H32" s="60">
        <v>5000</v>
      </c>
      <c r="Q32" s="72"/>
    </row>
    <row r="33" spans="1:17" ht="16.350000000000001" customHeight="1" x14ac:dyDescent="0.25">
      <c r="A33" s="71">
        <v>32</v>
      </c>
      <c r="B33" s="71">
        <v>32</v>
      </c>
      <c r="C33" s="60">
        <v>32</v>
      </c>
      <c r="D33" s="60" t="s">
        <v>1</v>
      </c>
      <c r="E33" s="60" t="s">
        <v>18</v>
      </c>
      <c r="F33" s="60" t="s">
        <v>100</v>
      </c>
      <c r="G33" s="60" t="s">
        <v>100</v>
      </c>
      <c r="H33" s="60" t="s">
        <v>100</v>
      </c>
      <c r="I33" s="60" t="s">
        <v>100</v>
      </c>
      <c r="J33" s="60" t="s">
        <v>737</v>
      </c>
      <c r="K33" s="60" t="s">
        <v>100</v>
      </c>
      <c r="L33" s="60" t="s">
        <v>19</v>
      </c>
      <c r="M33" s="60">
        <v>3.75</v>
      </c>
      <c r="N33" s="60">
        <v>2.8</v>
      </c>
      <c r="Q33" s="72"/>
    </row>
    <row r="34" spans="1:17" ht="16.350000000000001" customHeight="1" x14ac:dyDescent="0.25">
      <c r="A34" s="71">
        <v>33</v>
      </c>
      <c r="B34" s="71">
        <v>33</v>
      </c>
      <c r="C34" s="60">
        <v>33</v>
      </c>
      <c r="D34" s="60" t="s">
        <v>1</v>
      </c>
      <c r="E34" s="60" t="s">
        <v>18</v>
      </c>
      <c r="F34" s="60" t="s">
        <v>100</v>
      </c>
      <c r="G34" s="60" t="s">
        <v>100</v>
      </c>
      <c r="H34" s="60" t="s">
        <v>100</v>
      </c>
      <c r="I34" s="60" t="s">
        <v>722</v>
      </c>
      <c r="J34" s="60" t="s">
        <v>100</v>
      </c>
      <c r="K34" s="60" t="s">
        <v>100</v>
      </c>
      <c r="L34" s="60" t="s">
        <v>19</v>
      </c>
      <c r="M34" s="60">
        <v>3.75</v>
      </c>
      <c r="N34" s="60">
        <v>2.8</v>
      </c>
      <c r="Q34" s="72"/>
    </row>
    <row r="35" spans="1:17" ht="16.350000000000001" customHeight="1" x14ac:dyDescent="0.25">
      <c r="A35" s="71">
        <v>34</v>
      </c>
      <c r="B35" s="71">
        <v>34</v>
      </c>
      <c r="C35" s="60">
        <v>34</v>
      </c>
      <c r="D35" s="60" t="s">
        <v>1</v>
      </c>
      <c r="E35" s="60" t="s">
        <v>18</v>
      </c>
      <c r="F35" s="60" t="s">
        <v>100</v>
      </c>
      <c r="G35" s="60" t="s">
        <v>100</v>
      </c>
      <c r="H35" s="60" t="s">
        <v>100</v>
      </c>
      <c r="I35" s="60" t="s">
        <v>100</v>
      </c>
      <c r="J35" s="60" t="s">
        <v>364</v>
      </c>
      <c r="K35" s="60" t="s">
        <v>100</v>
      </c>
      <c r="L35" s="60" t="s">
        <v>19</v>
      </c>
      <c r="M35" s="60">
        <v>3.75</v>
      </c>
      <c r="N35" s="60">
        <v>2.8</v>
      </c>
      <c r="Q35" s="72"/>
    </row>
    <row r="36" spans="1:17" ht="16.350000000000001" customHeight="1" x14ac:dyDescent="0.25">
      <c r="A36" s="71">
        <v>35</v>
      </c>
      <c r="B36" s="71">
        <v>35</v>
      </c>
      <c r="C36" s="60">
        <v>35</v>
      </c>
      <c r="D36" s="60" t="s">
        <v>1</v>
      </c>
      <c r="E36" s="60" t="s">
        <v>18</v>
      </c>
      <c r="F36" s="60" t="s">
        <v>100</v>
      </c>
      <c r="G36" s="60" t="s">
        <v>100</v>
      </c>
      <c r="H36" s="60" t="s">
        <v>100</v>
      </c>
      <c r="I36" s="60" t="s">
        <v>694</v>
      </c>
      <c r="J36" s="60" t="s">
        <v>100</v>
      </c>
      <c r="K36" s="60" t="s">
        <v>100</v>
      </c>
      <c r="L36" s="60" t="s">
        <v>19</v>
      </c>
      <c r="M36" s="60">
        <v>3.75</v>
      </c>
      <c r="N36" s="60">
        <v>2.8</v>
      </c>
      <c r="Q36" s="72"/>
    </row>
    <row r="37" spans="1:17" ht="16.350000000000001" customHeight="1" x14ac:dyDescent="0.25">
      <c r="A37" s="71">
        <v>36</v>
      </c>
      <c r="B37" s="71">
        <v>36</v>
      </c>
      <c r="C37" s="60">
        <v>36</v>
      </c>
      <c r="D37" s="60" t="s">
        <v>55</v>
      </c>
      <c r="E37" s="60" t="s">
        <v>749</v>
      </c>
      <c r="F37" s="60">
        <v>0</v>
      </c>
      <c r="G37" s="60">
        <v>16.399999999999999</v>
      </c>
      <c r="H37" s="60">
        <v>0</v>
      </c>
      <c r="I37" s="60">
        <v>1</v>
      </c>
      <c r="Q37" s="72"/>
    </row>
    <row r="38" spans="1:17" ht="16.350000000000001" customHeight="1" x14ac:dyDescent="0.25">
      <c r="A38" s="71">
        <v>37</v>
      </c>
      <c r="B38" s="71">
        <v>37</v>
      </c>
      <c r="C38" s="60">
        <v>37</v>
      </c>
      <c r="D38" s="60" t="s">
        <v>39</v>
      </c>
      <c r="E38" s="60">
        <v>0</v>
      </c>
      <c r="F38" s="60">
        <v>0</v>
      </c>
      <c r="G38" s="60">
        <v>4</v>
      </c>
      <c r="H38" s="60">
        <v>5000</v>
      </c>
      <c r="O38" s="72"/>
      <c r="Q38" s="72"/>
    </row>
    <row r="39" spans="1:17" ht="16.350000000000001" customHeight="1" x14ac:dyDescent="0.25">
      <c r="A39" s="71">
        <v>38</v>
      </c>
      <c r="B39" s="71">
        <v>9</v>
      </c>
      <c r="C39" s="60">
        <v>38</v>
      </c>
      <c r="D39" s="60" t="s">
        <v>49</v>
      </c>
      <c r="E39" s="60" t="s">
        <v>203</v>
      </c>
      <c r="F39" s="60">
        <v>3</v>
      </c>
      <c r="Q39" s="72"/>
    </row>
    <row r="40" spans="1:17" ht="16.350000000000001" customHeight="1" x14ac:dyDescent="0.25">
      <c r="A40" s="71">
        <v>38</v>
      </c>
      <c r="B40" s="71">
        <v>10</v>
      </c>
      <c r="C40" s="60">
        <v>39</v>
      </c>
      <c r="D40" s="60" t="s">
        <v>1</v>
      </c>
      <c r="E40" s="60" t="s">
        <v>18</v>
      </c>
      <c r="F40" s="60">
        <v>140</v>
      </c>
      <c r="G40" s="60">
        <v>140</v>
      </c>
      <c r="H40" s="60">
        <v>4.0000000001</v>
      </c>
      <c r="I40" s="60" t="s">
        <v>100</v>
      </c>
      <c r="J40" s="60" t="s">
        <v>726</v>
      </c>
      <c r="K40" s="60" t="s">
        <v>100</v>
      </c>
      <c r="L40" s="60" t="s">
        <v>19</v>
      </c>
      <c r="M40" s="60">
        <v>3.75</v>
      </c>
      <c r="N40" s="60">
        <v>2.8</v>
      </c>
      <c r="Q40" s="72"/>
    </row>
    <row r="41" spans="1:17" ht="16.350000000000001" customHeight="1" x14ac:dyDescent="0.25">
      <c r="A41" s="71">
        <v>38</v>
      </c>
      <c r="B41" s="71">
        <v>11</v>
      </c>
      <c r="C41" s="60">
        <v>40</v>
      </c>
      <c r="D41" s="60" t="s">
        <v>1</v>
      </c>
      <c r="E41" s="60" t="s">
        <v>18</v>
      </c>
      <c r="F41" s="60" t="s">
        <v>100</v>
      </c>
      <c r="G41" s="60" t="s">
        <v>100</v>
      </c>
      <c r="H41" s="60" t="s">
        <v>100</v>
      </c>
      <c r="I41" s="60" t="s">
        <v>694</v>
      </c>
      <c r="J41" s="60" t="s">
        <v>100</v>
      </c>
      <c r="K41" s="60" t="s">
        <v>100</v>
      </c>
      <c r="L41" s="60" t="s">
        <v>19</v>
      </c>
      <c r="M41" s="60">
        <v>3.75</v>
      </c>
      <c r="N41" s="60">
        <v>2.8</v>
      </c>
      <c r="Q41" s="72"/>
    </row>
    <row r="42" spans="1:17" ht="16.350000000000001" customHeight="1" x14ac:dyDescent="0.25">
      <c r="A42" s="71">
        <v>38</v>
      </c>
      <c r="B42" s="71">
        <v>12</v>
      </c>
      <c r="C42" s="60">
        <v>41</v>
      </c>
      <c r="D42" s="60" t="s">
        <v>1</v>
      </c>
      <c r="E42" s="60" t="s">
        <v>18</v>
      </c>
      <c r="F42" s="60" t="s">
        <v>100</v>
      </c>
      <c r="G42" s="60" t="s">
        <v>100</v>
      </c>
      <c r="H42" s="60" t="s">
        <v>100</v>
      </c>
      <c r="I42" s="60" t="s">
        <v>100</v>
      </c>
      <c r="J42" s="60" t="s">
        <v>727</v>
      </c>
      <c r="K42" s="60" t="s">
        <v>100</v>
      </c>
      <c r="L42" s="60" t="s">
        <v>19</v>
      </c>
      <c r="M42" s="60">
        <v>3.75</v>
      </c>
      <c r="N42" s="60">
        <v>2.8</v>
      </c>
      <c r="Q42" s="72"/>
    </row>
    <row r="43" spans="1:17" ht="16.350000000000001" customHeight="1" x14ac:dyDescent="0.25">
      <c r="A43" s="71">
        <v>38</v>
      </c>
      <c r="B43" s="71">
        <v>13</v>
      </c>
      <c r="C43" s="60">
        <v>42</v>
      </c>
      <c r="D43" s="60" t="s">
        <v>1</v>
      </c>
      <c r="E43" s="60" t="s">
        <v>18</v>
      </c>
      <c r="F43" s="60" t="s">
        <v>100</v>
      </c>
      <c r="G43" s="60" t="s">
        <v>100</v>
      </c>
      <c r="H43" s="60" t="s">
        <v>100</v>
      </c>
      <c r="I43" s="60" t="s">
        <v>722</v>
      </c>
      <c r="J43" s="60" t="s">
        <v>100</v>
      </c>
      <c r="K43" s="60" t="s">
        <v>100</v>
      </c>
      <c r="L43" s="60" t="s">
        <v>19</v>
      </c>
      <c r="M43" s="60">
        <v>3.75</v>
      </c>
      <c r="N43" s="60">
        <v>2.8</v>
      </c>
      <c r="Q43" s="72"/>
    </row>
    <row r="44" spans="1:17" ht="16.350000000000001" customHeight="1" x14ac:dyDescent="0.25">
      <c r="A44" s="71">
        <v>38</v>
      </c>
      <c r="B44" s="71">
        <v>14</v>
      </c>
      <c r="C44" s="60">
        <v>43</v>
      </c>
      <c r="D44" s="60" t="s">
        <v>55</v>
      </c>
      <c r="E44" s="60" t="s">
        <v>744</v>
      </c>
      <c r="F44" s="60">
        <v>0</v>
      </c>
      <c r="G44" s="60">
        <v>-16.399999999999999</v>
      </c>
      <c r="H44" s="60">
        <v>0</v>
      </c>
      <c r="I44" s="60">
        <v>1</v>
      </c>
      <c r="Q44" s="72"/>
    </row>
    <row r="45" spans="1:17" ht="16.350000000000001" customHeight="1" x14ac:dyDescent="0.25">
      <c r="A45" s="71">
        <v>38</v>
      </c>
      <c r="B45" s="71">
        <v>15</v>
      </c>
      <c r="C45" s="60">
        <v>44</v>
      </c>
      <c r="D45" s="60" t="s">
        <v>39</v>
      </c>
      <c r="E45" s="60">
        <v>0</v>
      </c>
      <c r="F45" s="60">
        <v>0</v>
      </c>
      <c r="G45" s="60">
        <v>2</v>
      </c>
      <c r="H45" s="60">
        <v>5000</v>
      </c>
      <c r="Q45" s="72"/>
    </row>
    <row r="46" spans="1:17" ht="16.350000000000001" customHeight="1" x14ac:dyDescent="0.25">
      <c r="A46" s="71">
        <v>38</v>
      </c>
      <c r="B46" s="71">
        <v>16</v>
      </c>
      <c r="C46" s="60">
        <v>45</v>
      </c>
      <c r="D46" s="60" t="s">
        <v>1</v>
      </c>
      <c r="E46" s="60" t="s">
        <v>18</v>
      </c>
      <c r="F46" s="60" t="s">
        <v>100</v>
      </c>
      <c r="G46" s="60" t="s">
        <v>100</v>
      </c>
      <c r="H46" s="60" t="s">
        <v>100</v>
      </c>
      <c r="I46" s="60" t="s">
        <v>694</v>
      </c>
      <c r="J46" s="60" t="s">
        <v>100</v>
      </c>
      <c r="K46" s="60" t="s">
        <v>100</v>
      </c>
      <c r="L46" s="60" t="s">
        <v>19</v>
      </c>
      <c r="M46" s="60">
        <v>3.75</v>
      </c>
      <c r="N46" s="60">
        <v>2.8</v>
      </c>
      <c r="Q46" s="72"/>
    </row>
    <row r="47" spans="1:17" ht="16.350000000000001" customHeight="1" x14ac:dyDescent="0.25">
      <c r="A47" s="71">
        <v>38</v>
      </c>
      <c r="B47" s="71">
        <v>17</v>
      </c>
      <c r="C47" s="60">
        <v>46</v>
      </c>
      <c r="D47" s="60" t="s">
        <v>1</v>
      </c>
      <c r="E47" s="60" t="s">
        <v>18</v>
      </c>
      <c r="F47" s="60" t="s">
        <v>100</v>
      </c>
      <c r="G47" s="60" t="s">
        <v>100</v>
      </c>
      <c r="H47" s="60" t="s">
        <v>100</v>
      </c>
      <c r="I47" s="60" t="s">
        <v>100</v>
      </c>
      <c r="J47" s="60" t="s">
        <v>729</v>
      </c>
      <c r="K47" s="60" t="s">
        <v>100</v>
      </c>
      <c r="L47" s="60" t="s">
        <v>19</v>
      </c>
      <c r="M47" s="60">
        <v>3.75</v>
      </c>
      <c r="N47" s="60">
        <v>2.8</v>
      </c>
      <c r="Q47" s="72"/>
    </row>
    <row r="48" spans="1:17" ht="16.350000000000001" customHeight="1" x14ac:dyDescent="0.25">
      <c r="A48" s="71">
        <v>38</v>
      </c>
      <c r="B48" s="71">
        <v>18</v>
      </c>
      <c r="C48" s="60">
        <v>47</v>
      </c>
      <c r="D48" s="60" t="s">
        <v>1</v>
      </c>
      <c r="E48" s="60" t="s">
        <v>18</v>
      </c>
      <c r="F48" s="60" t="s">
        <v>100</v>
      </c>
      <c r="G48" s="60" t="s">
        <v>100</v>
      </c>
      <c r="H48" s="60" t="s">
        <v>100</v>
      </c>
      <c r="I48" s="60" t="s">
        <v>722</v>
      </c>
      <c r="J48" s="60" t="s">
        <v>100</v>
      </c>
      <c r="K48" s="60" t="s">
        <v>100</v>
      </c>
      <c r="L48" s="60" t="s">
        <v>19</v>
      </c>
      <c r="M48" s="60">
        <v>3.75</v>
      </c>
      <c r="N48" s="60">
        <v>2.8</v>
      </c>
    </row>
    <row r="49" spans="1:17" ht="16.350000000000001" customHeight="1" x14ac:dyDescent="0.25">
      <c r="A49" s="71">
        <v>38</v>
      </c>
      <c r="B49" s="71">
        <v>19</v>
      </c>
      <c r="C49" s="60">
        <v>48</v>
      </c>
      <c r="D49" s="60" t="s">
        <v>1</v>
      </c>
      <c r="E49" s="60" t="s">
        <v>18</v>
      </c>
      <c r="F49" s="60" t="s">
        <v>100</v>
      </c>
      <c r="G49" s="60" t="s">
        <v>100</v>
      </c>
      <c r="H49" s="60" t="s">
        <v>100</v>
      </c>
      <c r="I49" s="60" t="s">
        <v>100</v>
      </c>
      <c r="J49" s="60" t="s">
        <v>730</v>
      </c>
      <c r="K49" s="60" t="s">
        <v>100</v>
      </c>
      <c r="L49" s="60" t="s">
        <v>19</v>
      </c>
      <c r="M49" s="60">
        <v>3.75</v>
      </c>
      <c r="N49" s="60">
        <v>2.8</v>
      </c>
      <c r="O49" s="72"/>
      <c r="Q49" s="72"/>
    </row>
    <row r="50" spans="1:17" ht="16.350000000000001" customHeight="1" x14ac:dyDescent="0.25">
      <c r="A50" s="71">
        <v>38</v>
      </c>
      <c r="B50" s="71">
        <v>20</v>
      </c>
      <c r="C50" s="60">
        <v>49</v>
      </c>
      <c r="D50" s="60" t="s">
        <v>55</v>
      </c>
      <c r="E50" s="60" t="s">
        <v>745</v>
      </c>
      <c r="F50" s="60">
        <v>0</v>
      </c>
      <c r="G50" s="60">
        <v>16.399999999999999</v>
      </c>
      <c r="H50" s="60">
        <v>0</v>
      </c>
      <c r="I50" s="60">
        <v>1</v>
      </c>
      <c r="Q50" s="72"/>
    </row>
    <row r="51" spans="1:17" ht="16.350000000000001" customHeight="1" x14ac:dyDescent="0.25">
      <c r="A51" s="71">
        <v>38</v>
      </c>
      <c r="B51" s="71">
        <v>21</v>
      </c>
      <c r="C51" s="60">
        <v>50</v>
      </c>
      <c r="D51" s="60" t="s">
        <v>695</v>
      </c>
      <c r="E51" s="60">
        <v>0.35</v>
      </c>
      <c r="F51" s="60">
        <v>80</v>
      </c>
      <c r="G51" s="60">
        <v>4</v>
      </c>
      <c r="H51" s="60">
        <v>5000</v>
      </c>
      <c r="Q51" s="72"/>
    </row>
    <row r="52" spans="1:17" ht="16.350000000000001" customHeight="1" x14ac:dyDescent="0.25">
      <c r="A52" s="71">
        <v>38</v>
      </c>
      <c r="B52" s="71">
        <v>22</v>
      </c>
      <c r="C52" s="60">
        <v>51</v>
      </c>
      <c r="D52" s="60" t="s">
        <v>49</v>
      </c>
      <c r="E52" s="60" t="s">
        <v>203</v>
      </c>
      <c r="F52" s="60">
        <v>2</v>
      </c>
      <c r="Q52" s="72"/>
    </row>
    <row r="53" spans="1:17" ht="16.350000000000001" customHeight="1" x14ac:dyDescent="0.25">
      <c r="A53" s="71">
        <v>38</v>
      </c>
      <c r="B53" s="71">
        <v>23</v>
      </c>
      <c r="C53" s="60">
        <v>52</v>
      </c>
      <c r="D53" s="60" t="s">
        <v>1</v>
      </c>
      <c r="E53" s="60" t="s">
        <v>18</v>
      </c>
      <c r="F53" s="60" t="s">
        <v>100</v>
      </c>
      <c r="G53" s="60" t="s">
        <v>100</v>
      </c>
      <c r="H53" s="60" t="s">
        <v>100</v>
      </c>
      <c r="I53" s="60" t="s">
        <v>100</v>
      </c>
      <c r="J53" s="60" t="s">
        <v>100</v>
      </c>
      <c r="K53" s="60">
        <v>6</v>
      </c>
      <c r="L53" s="60" t="s">
        <v>23</v>
      </c>
      <c r="M53" s="60">
        <v>3.75</v>
      </c>
      <c r="N53" s="60">
        <v>2.8</v>
      </c>
      <c r="Q53" s="72"/>
    </row>
    <row r="54" spans="1:17" ht="16.350000000000001" customHeight="1" x14ac:dyDescent="0.25">
      <c r="A54" s="71">
        <v>38</v>
      </c>
      <c r="B54" s="71">
        <v>24</v>
      </c>
      <c r="C54" s="60">
        <v>53</v>
      </c>
      <c r="D54" s="60" t="s">
        <v>172</v>
      </c>
      <c r="E54" s="60" t="s">
        <v>704</v>
      </c>
      <c r="F54" s="60">
        <v>155</v>
      </c>
      <c r="G54" s="60" t="s">
        <v>705</v>
      </c>
      <c r="H54" s="60">
        <v>0</v>
      </c>
      <c r="I54" s="60">
        <v>1</v>
      </c>
      <c r="J54" s="60">
        <v>1</v>
      </c>
      <c r="K54" s="60">
        <v>3.75</v>
      </c>
      <c r="L54" s="60">
        <v>2.8</v>
      </c>
      <c r="Q54" s="72"/>
    </row>
    <row r="55" spans="1:17" ht="16.350000000000001" customHeight="1" x14ac:dyDescent="0.25">
      <c r="A55" s="71">
        <v>38</v>
      </c>
      <c r="B55" s="71">
        <v>25</v>
      </c>
      <c r="C55" s="60">
        <v>54</v>
      </c>
      <c r="D55" s="60" t="s">
        <v>1</v>
      </c>
      <c r="E55" s="60" t="s">
        <v>18</v>
      </c>
      <c r="F55" s="60" t="s">
        <v>100</v>
      </c>
      <c r="G55" s="60" t="s">
        <v>100</v>
      </c>
      <c r="H55" s="60" t="s">
        <v>100</v>
      </c>
      <c r="I55" s="60">
        <v>275</v>
      </c>
      <c r="J55" s="60">
        <v>135</v>
      </c>
      <c r="K55" s="60">
        <v>6</v>
      </c>
      <c r="L55" s="60" t="s">
        <v>19</v>
      </c>
      <c r="M55" s="60">
        <v>3.75</v>
      </c>
      <c r="N55" s="60">
        <v>2.8</v>
      </c>
      <c r="Q55" s="72"/>
    </row>
    <row r="56" spans="1:17" ht="16.350000000000001" customHeight="1" x14ac:dyDescent="0.25">
      <c r="A56" s="71">
        <v>38</v>
      </c>
      <c r="B56" s="71">
        <v>26</v>
      </c>
      <c r="C56" s="60">
        <v>55</v>
      </c>
      <c r="D56" s="60" t="s">
        <v>1</v>
      </c>
      <c r="E56" s="60" t="s">
        <v>18</v>
      </c>
      <c r="F56" s="60" t="s">
        <v>100</v>
      </c>
      <c r="G56" s="60" t="s">
        <v>100</v>
      </c>
      <c r="H56" s="60" t="s">
        <v>100</v>
      </c>
      <c r="I56" s="60" t="s">
        <v>722</v>
      </c>
      <c r="J56" s="60" t="s">
        <v>100</v>
      </c>
      <c r="K56" s="60" t="s">
        <v>100</v>
      </c>
      <c r="L56" s="60" t="s">
        <v>19</v>
      </c>
      <c r="M56" s="60">
        <v>3.75</v>
      </c>
      <c r="N56" s="60">
        <v>2.8</v>
      </c>
      <c r="Q56" s="72"/>
    </row>
    <row r="57" spans="1:17" ht="16.350000000000001" customHeight="1" x14ac:dyDescent="0.25">
      <c r="A57" s="71">
        <v>38</v>
      </c>
      <c r="B57" s="71">
        <v>27</v>
      </c>
      <c r="C57" s="60">
        <v>56</v>
      </c>
      <c r="D57" s="60" t="s">
        <v>1</v>
      </c>
      <c r="E57" s="60" t="s">
        <v>18</v>
      </c>
      <c r="F57" s="60" t="s">
        <v>100</v>
      </c>
      <c r="G57" s="60" t="s">
        <v>100</v>
      </c>
      <c r="H57" s="60" t="s">
        <v>100</v>
      </c>
      <c r="I57" s="60" t="s">
        <v>100</v>
      </c>
      <c r="J57" s="60" t="s">
        <v>723</v>
      </c>
      <c r="K57" s="60" t="s">
        <v>100</v>
      </c>
      <c r="L57" s="60" t="s">
        <v>19</v>
      </c>
      <c r="M57" s="60">
        <v>3.75</v>
      </c>
      <c r="N57" s="60">
        <v>2.8</v>
      </c>
      <c r="Q57" s="72"/>
    </row>
    <row r="58" spans="1:17" ht="16.350000000000001" customHeight="1" x14ac:dyDescent="0.25">
      <c r="A58" s="71">
        <v>38</v>
      </c>
      <c r="B58" s="71">
        <v>28</v>
      </c>
      <c r="C58" s="60">
        <v>57</v>
      </c>
      <c r="D58" s="60" t="s">
        <v>1</v>
      </c>
      <c r="E58" s="60" t="s">
        <v>18</v>
      </c>
      <c r="F58" s="60" t="s">
        <v>100</v>
      </c>
      <c r="G58" s="60" t="s">
        <v>100</v>
      </c>
      <c r="H58" s="60" t="s">
        <v>100</v>
      </c>
      <c r="I58" s="60" t="s">
        <v>694</v>
      </c>
      <c r="J58" s="60" t="s">
        <v>100</v>
      </c>
      <c r="K58" s="60" t="s">
        <v>100</v>
      </c>
      <c r="L58" s="60" t="s">
        <v>19</v>
      </c>
      <c r="M58" s="60">
        <v>3.75</v>
      </c>
      <c r="N58" s="60">
        <v>2.8</v>
      </c>
      <c r="Q58" s="72"/>
    </row>
    <row r="59" spans="1:17" ht="16.350000000000001" customHeight="1" x14ac:dyDescent="0.25">
      <c r="A59" s="71">
        <v>38</v>
      </c>
      <c r="B59" s="71">
        <v>29</v>
      </c>
      <c r="C59" s="60">
        <v>58</v>
      </c>
      <c r="D59" s="60" t="s">
        <v>1</v>
      </c>
      <c r="E59" s="60" t="s">
        <v>18</v>
      </c>
      <c r="F59" s="60" t="s">
        <v>100</v>
      </c>
      <c r="G59" s="60" t="s">
        <v>100</v>
      </c>
      <c r="H59" s="60" t="s">
        <v>100</v>
      </c>
      <c r="I59" s="60" t="s">
        <v>100</v>
      </c>
      <c r="J59" s="60" t="s">
        <v>724</v>
      </c>
      <c r="K59" s="60" t="s">
        <v>100</v>
      </c>
      <c r="L59" s="60" t="s">
        <v>19</v>
      </c>
      <c r="M59" s="60">
        <v>3.75</v>
      </c>
      <c r="N59" s="60">
        <v>2.8</v>
      </c>
      <c r="Q59" s="72"/>
    </row>
    <row r="60" spans="1:17" ht="16.350000000000001" customHeight="1" x14ac:dyDescent="0.25">
      <c r="A60" s="71">
        <v>38</v>
      </c>
      <c r="B60" s="71">
        <v>30</v>
      </c>
      <c r="C60" s="60">
        <v>59</v>
      </c>
      <c r="D60" s="60" t="s">
        <v>55</v>
      </c>
      <c r="E60" s="60" t="s">
        <v>750</v>
      </c>
      <c r="F60" s="60">
        <v>0</v>
      </c>
      <c r="G60" s="60">
        <v>-16.399999999999999</v>
      </c>
      <c r="H60" s="60">
        <v>0</v>
      </c>
      <c r="I60" s="60">
        <v>1</v>
      </c>
      <c r="O60" s="72"/>
      <c r="Q60" s="72"/>
    </row>
    <row r="61" spans="1:17" ht="16.350000000000001" customHeight="1" x14ac:dyDescent="0.25">
      <c r="A61" s="71">
        <v>38</v>
      </c>
      <c r="B61" s="71">
        <v>31</v>
      </c>
      <c r="C61" s="60">
        <v>60</v>
      </c>
      <c r="D61" s="60" t="s">
        <v>39</v>
      </c>
      <c r="E61" s="60">
        <v>0</v>
      </c>
      <c r="F61" s="60">
        <v>0</v>
      </c>
      <c r="G61" s="60">
        <v>2</v>
      </c>
      <c r="H61" s="60">
        <v>5000</v>
      </c>
      <c r="Q61" s="72"/>
    </row>
    <row r="62" spans="1:17" ht="16.350000000000001" customHeight="1" x14ac:dyDescent="0.25">
      <c r="A62" s="71">
        <v>38</v>
      </c>
      <c r="B62" s="71">
        <v>32</v>
      </c>
      <c r="C62" s="60">
        <v>61</v>
      </c>
      <c r="D62" s="60" t="s">
        <v>1</v>
      </c>
      <c r="E62" s="60" t="s">
        <v>18</v>
      </c>
      <c r="F62" s="60" t="s">
        <v>100</v>
      </c>
      <c r="G62" s="60" t="s">
        <v>100</v>
      </c>
      <c r="H62" s="60" t="s">
        <v>100</v>
      </c>
      <c r="I62" s="60" t="s">
        <v>100</v>
      </c>
      <c r="J62" s="60" t="s">
        <v>737</v>
      </c>
      <c r="K62" s="60" t="s">
        <v>100</v>
      </c>
      <c r="L62" s="60" t="s">
        <v>19</v>
      </c>
      <c r="M62" s="60">
        <v>3.75</v>
      </c>
      <c r="N62" s="60">
        <v>2.8</v>
      </c>
      <c r="Q62" s="72"/>
    </row>
    <row r="63" spans="1:17" ht="16.350000000000001" customHeight="1" x14ac:dyDescent="0.25">
      <c r="A63" s="71">
        <v>38</v>
      </c>
      <c r="B63" s="71">
        <v>33</v>
      </c>
      <c r="C63" s="60">
        <v>62</v>
      </c>
      <c r="D63" s="60" t="s">
        <v>1</v>
      </c>
      <c r="E63" s="60" t="s">
        <v>18</v>
      </c>
      <c r="F63" s="60" t="s">
        <v>100</v>
      </c>
      <c r="G63" s="60" t="s">
        <v>100</v>
      </c>
      <c r="H63" s="60" t="s">
        <v>100</v>
      </c>
      <c r="I63" s="60" t="s">
        <v>722</v>
      </c>
      <c r="J63" s="60" t="s">
        <v>100</v>
      </c>
      <c r="K63" s="60" t="s">
        <v>100</v>
      </c>
      <c r="L63" s="60" t="s">
        <v>19</v>
      </c>
      <c r="M63" s="60">
        <v>3.75</v>
      </c>
      <c r="N63" s="60">
        <v>2.8</v>
      </c>
      <c r="Q63" s="72"/>
    </row>
    <row r="64" spans="1:17" ht="16.350000000000001" customHeight="1" x14ac:dyDescent="0.25">
      <c r="A64" s="71">
        <v>38</v>
      </c>
      <c r="B64" s="71">
        <v>34</v>
      </c>
      <c r="C64" s="60">
        <v>63</v>
      </c>
      <c r="D64" s="60" t="s">
        <v>1</v>
      </c>
      <c r="E64" s="60" t="s">
        <v>18</v>
      </c>
      <c r="F64" s="60" t="s">
        <v>100</v>
      </c>
      <c r="G64" s="60" t="s">
        <v>100</v>
      </c>
      <c r="H64" s="60" t="s">
        <v>100</v>
      </c>
      <c r="I64" s="60" t="s">
        <v>100</v>
      </c>
      <c r="J64" s="60" t="s">
        <v>364</v>
      </c>
      <c r="K64" s="60" t="s">
        <v>100</v>
      </c>
      <c r="L64" s="60" t="s">
        <v>19</v>
      </c>
      <c r="M64" s="60">
        <v>3.75</v>
      </c>
      <c r="N64" s="60">
        <v>2.8</v>
      </c>
      <c r="Q64" s="72"/>
    </row>
    <row r="65" spans="1:17" ht="16.350000000000001" customHeight="1" x14ac:dyDescent="0.25">
      <c r="A65" s="71">
        <v>38</v>
      </c>
      <c r="B65" s="71">
        <v>35</v>
      </c>
      <c r="C65" s="60">
        <v>64</v>
      </c>
      <c r="D65" s="60" t="s">
        <v>1</v>
      </c>
      <c r="E65" s="60" t="s">
        <v>18</v>
      </c>
      <c r="F65" s="60" t="s">
        <v>100</v>
      </c>
      <c r="G65" s="60" t="s">
        <v>100</v>
      </c>
      <c r="H65" s="60" t="s">
        <v>100</v>
      </c>
      <c r="I65" s="60" t="s">
        <v>694</v>
      </c>
      <c r="J65" s="60" t="s">
        <v>100</v>
      </c>
      <c r="K65" s="60" t="s">
        <v>100</v>
      </c>
      <c r="L65" s="60" t="s">
        <v>19</v>
      </c>
      <c r="M65" s="60">
        <v>3.75</v>
      </c>
      <c r="N65" s="60">
        <v>2.8</v>
      </c>
      <c r="Q65" s="72"/>
    </row>
    <row r="66" spans="1:17" ht="16.350000000000001" customHeight="1" x14ac:dyDescent="0.25">
      <c r="A66" s="71">
        <v>38</v>
      </c>
      <c r="B66" s="71">
        <v>36</v>
      </c>
      <c r="C66" s="60">
        <v>65</v>
      </c>
      <c r="D66" s="60" t="s">
        <v>55</v>
      </c>
      <c r="E66" s="60" t="s">
        <v>751</v>
      </c>
      <c r="F66" s="60">
        <v>0</v>
      </c>
      <c r="G66" s="60">
        <v>16.399999999999999</v>
      </c>
      <c r="H66" s="60">
        <v>0</v>
      </c>
      <c r="I66" s="60">
        <v>1</v>
      </c>
    </row>
    <row r="67" spans="1:17" ht="16.350000000000001" customHeight="1" x14ac:dyDescent="0.25">
      <c r="A67" s="71">
        <v>38</v>
      </c>
      <c r="B67" s="71">
        <v>37</v>
      </c>
      <c r="C67" s="60">
        <v>66</v>
      </c>
      <c r="D67" s="60" t="s">
        <v>39</v>
      </c>
      <c r="E67" s="60">
        <v>0</v>
      </c>
      <c r="F67" s="60">
        <v>0</v>
      </c>
      <c r="G67" s="60">
        <v>4</v>
      </c>
      <c r="H67" s="60">
        <v>5000</v>
      </c>
      <c r="Q67" s="72"/>
    </row>
    <row r="68" spans="1:17" ht="16.350000000000001" customHeight="1" x14ac:dyDescent="0.25">
      <c r="A68" s="71">
        <v>38</v>
      </c>
      <c r="B68" s="71">
        <v>9</v>
      </c>
      <c r="C68" s="60">
        <v>67</v>
      </c>
      <c r="D68" s="60" t="s">
        <v>49</v>
      </c>
      <c r="E68" s="60" t="s">
        <v>203</v>
      </c>
      <c r="F68" s="60">
        <v>3</v>
      </c>
    </row>
    <row r="69" spans="1:17" ht="16.350000000000001" customHeight="1" x14ac:dyDescent="0.25">
      <c r="A69" s="71">
        <v>38</v>
      </c>
      <c r="B69" s="71">
        <v>10</v>
      </c>
      <c r="C69" s="60">
        <v>68</v>
      </c>
      <c r="D69" s="60" t="s">
        <v>1</v>
      </c>
      <c r="E69" s="60" t="s">
        <v>18</v>
      </c>
      <c r="F69" s="60">
        <v>140</v>
      </c>
      <c r="G69" s="60">
        <v>140</v>
      </c>
      <c r="H69" s="60">
        <v>8.0000000001</v>
      </c>
      <c r="I69" s="60" t="s">
        <v>100</v>
      </c>
      <c r="J69" s="60" t="s">
        <v>726</v>
      </c>
      <c r="K69" s="60" t="s">
        <v>100</v>
      </c>
      <c r="L69" s="60" t="s">
        <v>19</v>
      </c>
      <c r="M69" s="60">
        <v>3.75</v>
      </c>
      <c r="N69" s="60">
        <v>2.8</v>
      </c>
      <c r="Q69" s="72"/>
    </row>
    <row r="70" spans="1:17" ht="16.350000000000001" customHeight="1" x14ac:dyDescent="0.25">
      <c r="A70" s="71">
        <v>38</v>
      </c>
      <c r="B70" s="71">
        <v>11</v>
      </c>
      <c r="C70" s="60">
        <v>69</v>
      </c>
      <c r="D70" s="60" t="s">
        <v>1</v>
      </c>
      <c r="E70" s="60" t="s">
        <v>18</v>
      </c>
      <c r="F70" s="60" t="s">
        <v>100</v>
      </c>
      <c r="G70" s="60" t="s">
        <v>100</v>
      </c>
      <c r="H70" s="60" t="s">
        <v>100</v>
      </c>
      <c r="I70" s="60" t="s">
        <v>694</v>
      </c>
      <c r="J70" s="60" t="s">
        <v>100</v>
      </c>
      <c r="K70" s="60" t="s">
        <v>100</v>
      </c>
      <c r="L70" s="60" t="s">
        <v>19</v>
      </c>
      <c r="M70" s="60">
        <v>3.75</v>
      </c>
      <c r="N70" s="60">
        <v>2.8</v>
      </c>
      <c r="Q70" s="72"/>
    </row>
    <row r="71" spans="1:17" ht="16.350000000000001" customHeight="1" x14ac:dyDescent="0.25">
      <c r="A71" s="71">
        <v>38</v>
      </c>
      <c r="B71" s="71">
        <v>12</v>
      </c>
      <c r="C71" s="60">
        <v>70</v>
      </c>
      <c r="D71" s="60" t="s">
        <v>1</v>
      </c>
      <c r="E71" s="60" t="s">
        <v>18</v>
      </c>
      <c r="F71" s="60" t="s">
        <v>100</v>
      </c>
      <c r="G71" s="60" t="s">
        <v>100</v>
      </c>
      <c r="H71" s="60" t="s">
        <v>100</v>
      </c>
      <c r="I71" s="60" t="s">
        <v>100</v>
      </c>
      <c r="J71" s="60" t="s">
        <v>727</v>
      </c>
      <c r="K71" s="60" t="s">
        <v>100</v>
      </c>
      <c r="L71" s="60" t="s">
        <v>19</v>
      </c>
      <c r="M71" s="60">
        <v>3.75</v>
      </c>
      <c r="N71" s="60">
        <v>2.8</v>
      </c>
      <c r="O71" s="72"/>
      <c r="Q71" s="72"/>
    </row>
    <row r="72" spans="1:17" ht="16.350000000000001" customHeight="1" x14ac:dyDescent="0.25">
      <c r="A72" s="71">
        <v>38</v>
      </c>
      <c r="B72" s="71">
        <v>13</v>
      </c>
      <c r="C72" s="60">
        <v>71</v>
      </c>
      <c r="D72" s="60" t="s">
        <v>1</v>
      </c>
      <c r="E72" s="60" t="s">
        <v>18</v>
      </c>
      <c r="F72" s="60" t="s">
        <v>100</v>
      </c>
      <c r="G72" s="60" t="s">
        <v>100</v>
      </c>
      <c r="H72" s="60" t="s">
        <v>100</v>
      </c>
      <c r="I72" s="60" t="s">
        <v>722</v>
      </c>
      <c r="J72" s="60" t="s">
        <v>100</v>
      </c>
      <c r="K72" s="60" t="s">
        <v>100</v>
      </c>
      <c r="L72" s="60" t="s">
        <v>19</v>
      </c>
      <c r="M72" s="60">
        <v>3.75</v>
      </c>
      <c r="N72" s="60">
        <v>2.8</v>
      </c>
    </row>
    <row r="73" spans="1:17" ht="16.350000000000001" customHeight="1" x14ac:dyDescent="0.25">
      <c r="A73" s="71">
        <v>38</v>
      </c>
      <c r="B73" s="71">
        <v>14</v>
      </c>
      <c r="C73" s="60">
        <v>72</v>
      </c>
      <c r="D73" s="60" t="s">
        <v>55</v>
      </c>
      <c r="E73" s="60" t="s">
        <v>752</v>
      </c>
      <c r="F73" s="60">
        <v>0</v>
      </c>
      <c r="G73" s="60">
        <v>-16.399999999999999</v>
      </c>
      <c r="H73" s="60">
        <v>0</v>
      </c>
      <c r="I73" s="60">
        <v>1</v>
      </c>
    </row>
    <row r="74" spans="1:17" ht="16.350000000000001" customHeight="1" x14ac:dyDescent="0.25">
      <c r="A74" s="71">
        <v>38</v>
      </c>
      <c r="B74" s="71">
        <v>15</v>
      </c>
      <c r="C74" s="60">
        <v>73</v>
      </c>
      <c r="D74" s="60" t="s">
        <v>39</v>
      </c>
      <c r="E74" s="60">
        <v>0</v>
      </c>
      <c r="F74" s="60">
        <v>0</v>
      </c>
      <c r="G74" s="60">
        <v>2</v>
      </c>
      <c r="H74" s="60">
        <v>5000</v>
      </c>
    </row>
    <row r="75" spans="1:17" ht="16.350000000000001" customHeight="1" x14ac:dyDescent="0.25">
      <c r="A75" s="71">
        <v>38</v>
      </c>
      <c r="B75" s="71">
        <v>16</v>
      </c>
      <c r="C75" s="60">
        <v>74</v>
      </c>
      <c r="D75" s="60" t="s">
        <v>1</v>
      </c>
      <c r="E75" s="60" t="s">
        <v>18</v>
      </c>
      <c r="F75" s="60" t="s">
        <v>100</v>
      </c>
      <c r="G75" s="60" t="s">
        <v>100</v>
      </c>
      <c r="H75" s="60" t="s">
        <v>100</v>
      </c>
      <c r="I75" s="60" t="s">
        <v>694</v>
      </c>
      <c r="J75" s="60" t="s">
        <v>100</v>
      </c>
      <c r="K75" s="60" t="s">
        <v>100</v>
      </c>
      <c r="L75" s="60" t="s">
        <v>19</v>
      </c>
      <c r="M75" s="60">
        <v>3.75</v>
      </c>
      <c r="N75" s="60">
        <v>2.8</v>
      </c>
    </row>
    <row r="76" spans="1:17" ht="16.350000000000001" customHeight="1" x14ac:dyDescent="0.25">
      <c r="A76" s="71">
        <v>38</v>
      </c>
      <c r="B76" s="71">
        <v>17</v>
      </c>
      <c r="C76" s="60">
        <v>75</v>
      </c>
      <c r="D76" s="60" t="s">
        <v>1</v>
      </c>
      <c r="E76" s="60" t="s">
        <v>18</v>
      </c>
      <c r="F76" s="60" t="s">
        <v>100</v>
      </c>
      <c r="G76" s="60" t="s">
        <v>100</v>
      </c>
      <c r="H76" s="60" t="s">
        <v>100</v>
      </c>
      <c r="I76" s="60" t="s">
        <v>100</v>
      </c>
      <c r="J76" s="60" t="s">
        <v>729</v>
      </c>
      <c r="K76" s="60" t="s">
        <v>100</v>
      </c>
      <c r="L76" s="60" t="s">
        <v>19</v>
      </c>
      <c r="M76" s="60">
        <v>3.75</v>
      </c>
      <c r="N76" s="60">
        <v>2.8</v>
      </c>
    </row>
    <row r="77" spans="1:17" ht="16.350000000000001" customHeight="1" x14ac:dyDescent="0.25">
      <c r="A77" s="71">
        <v>38</v>
      </c>
      <c r="B77" s="71">
        <v>18</v>
      </c>
      <c r="C77" s="60">
        <v>76</v>
      </c>
      <c r="D77" s="60" t="s">
        <v>1</v>
      </c>
      <c r="E77" s="60" t="s">
        <v>18</v>
      </c>
      <c r="F77" s="60" t="s">
        <v>100</v>
      </c>
      <c r="G77" s="60" t="s">
        <v>100</v>
      </c>
      <c r="H77" s="60" t="s">
        <v>100</v>
      </c>
      <c r="I77" s="60" t="s">
        <v>722</v>
      </c>
      <c r="J77" s="60" t="s">
        <v>100</v>
      </c>
      <c r="K77" s="60" t="s">
        <v>100</v>
      </c>
      <c r="L77" s="60" t="s">
        <v>19</v>
      </c>
      <c r="M77" s="60">
        <v>3.75</v>
      </c>
      <c r="N77" s="60">
        <v>2.8</v>
      </c>
    </row>
    <row r="78" spans="1:17" ht="16.350000000000001" customHeight="1" x14ac:dyDescent="0.25">
      <c r="A78" s="71">
        <v>38</v>
      </c>
      <c r="B78" s="71">
        <v>19</v>
      </c>
      <c r="C78" s="60">
        <v>77</v>
      </c>
      <c r="D78" s="60" t="s">
        <v>1</v>
      </c>
      <c r="E78" s="60" t="s">
        <v>18</v>
      </c>
      <c r="F78" s="60" t="s">
        <v>100</v>
      </c>
      <c r="G78" s="60" t="s">
        <v>100</v>
      </c>
      <c r="H78" s="60" t="s">
        <v>100</v>
      </c>
      <c r="I78" s="60" t="s">
        <v>100</v>
      </c>
      <c r="J78" s="60" t="s">
        <v>730</v>
      </c>
      <c r="K78" s="60" t="s">
        <v>100</v>
      </c>
      <c r="L78" s="60" t="s">
        <v>19</v>
      </c>
      <c r="M78" s="60">
        <v>3.75</v>
      </c>
      <c r="N78" s="60">
        <v>2.8</v>
      </c>
    </row>
    <row r="79" spans="1:17" ht="16.350000000000001" customHeight="1" x14ac:dyDescent="0.25">
      <c r="A79" s="71">
        <v>38</v>
      </c>
      <c r="B79" s="71">
        <v>20</v>
      </c>
      <c r="C79" s="60">
        <v>78</v>
      </c>
      <c r="D79" s="60" t="s">
        <v>55</v>
      </c>
      <c r="E79" s="60" t="s">
        <v>753</v>
      </c>
      <c r="F79" s="60">
        <v>0</v>
      </c>
      <c r="G79" s="60">
        <v>16.399999999999999</v>
      </c>
      <c r="H79" s="60">
        <v>0</v>
      </c>
      <c r="I79" s="60">
        <v>1</v>
      </c>
    </row>
    <row r="80" spans="1:17" ht="16.350000000000001" customHeight="1" x14ac:dyDescent="0.25">
      <c r="A80" s="71">
        <v>38</v>
      </c>
      <c r="B80" s="71">
        <v>21</v>
      </c>
      <c r="C80" s="60">
        <v>79</v>
      </c>
      <c r="D80" s="60" t="s">
        <v>695</v>
      </c>
      <c r="E80" s="60">
        <v>0.35</v>
      </c>
      <c r="F80" s="60">
        <v>80</v>
      </c>
      <c r="G80" s="60">
        <v>4</v>
      </c>
      <c r="H80" s="60">
        <v>5000</v>
      </c>
    </row>
    <row r="81" spans="1:15" ht="16.350000000000001" customHeight="1" x14ac:dyDescent="0.25">
      <c r="A81" s="71">
        <v>38</v>
      </c>
      <c r="B81" s="71">
        <v>22</v>
      </c>
      <c r="C81" s="60">
        <v>80</v>
      </c>
      <c r="D81" s="60" t="s">
        <v>49</v>
      </c>
      <c r="E81" s="60" t="s">
        <v>203</v>
      </c>
      <c r="F81" s="60">
        <v>2</v>
      </c>
    </row>
    <row r="82" spans="1:15" ht="16.350000000000001" customHeight="1" x14ac:dyDescent="0.25">
      <c r="A82" s="71">
        <v>38</v>
      </c>
      <c r="B82" s="71">
        <v>23</v>
      </c>
      <c r="C82" s="60">
        <v>81</v>
      </c>
      <c r="D82" s="60" t="s">
        <v>1</v>
      </c>
      <c r="E82" s="60" t="s">
        <v>18</v>
      </c>
      <c r="F82" s="60" t="s">
        <v>100</v>
      </c>
      <c r="G82" s="60" t="s">
        <v>100</v>
      </c>
      <c r="H82" s="60" t="s">
        <v>100</v>
      </c>
      <c r="I82" s="60" t="s">
        <v>100</v>
      </c>
      <c r="J82" s="60" t="s">
        <v>100</v>
      </c>
      <c r="K82" s="60">
        <v>10</v>
      </c>
      <c r="L82" s="60" t="s">
        <v>23</v>
      </c>
      <c r="M82" s="60">
        <v>3.75</v>
      </c>
      <c r="N82" s="60">
        <v>2.8</v>
      </c>
      <c r="O82" s="72"/>
    </row>
    <row r="83" spans="1:15" ht="16.350000000000001" customHeight="1" x14ac:dyDescent="0.25">
      <c r="A83" s="71">
        <v>38</v>
      </c>
      <c r="B83" s="71">
        <v>24</v>
      </c>
      <c r="C83" s="60">
        <v>82</v>
      </c>
      <c r="D83" s="60" t="s">
        <v>172</v>
      </c>
      <c r="E83" s="60" t="s">
        <v>704</v>
      </c>
      <c r="F83" s="60">
        <v>155</v>
      </c>
      <c r="G83" s="60" t="s">
        <v>706</v>
      </c>
      <c r="H83" s="60">
        <v>0</v>
      </c>
      <c r="I83" s="60">
        <v>1</v>
      </c>
      <c r="J83" s="60">
        <v>1</v>
      </c>
      <c r="K83" s="60">
        <v>3.75</v>
      </c>
      <c r="L83" s="60">
        <v>2.8</v>
      </c>
    </row>
    <row r="84" spans="1:15" ht="16.350000000000001" customHeight="1" x14ac:dyDescent="0.25">
      <c r="A84" s="71">
        <v>38</v>
      </c>
      <c r="B84" s="71">
        <v>25</v>
      </c>
      <c r="C84" s="60">
        <v>83</v>
      </c>
      <c r="D84" s="60" t="s">
        <v>1</v>
      </c>
      <c r="E84" s="60" t="s">
        <v>18</v>
      </c>
      <c r="F84" s="60" t="s">
        <v>100</v>
      </c>
      <c r="G84" s="60" t="s">
        <v>100</v>
      </c>
      <c r="H84" s="60" t="s">
        <v>100</v>
      </c>
      <c r="I84" s="60">
        <v>275</v>
      </c>
      <c r="J84" s="60">
        <v>135</v>
      </c>
      <c r="K84" s="60">
        <v>10</v>
      </c>
      <c r="L84" s="60" t="s">
        <v>19</v>
      </c>
      <c r="M84" s="60">
        <v>3.75</v>
      </c>
      <c r="N84" s="60">
        <v>2.8</v>
      </c>
    </row>
    <row r="85" spans="1:15" ht="16.350000000000001" customHeight="1" x14ac:dyDescent="0.25">
      <c r="A85" s="71">
        <v>38</v>
      </c>
      <c r="B85" s="71">
        <v>26</v>
      </c>
      <c r="C85" s="60">
        <v>84</v>
      </c>
      <c r="D85" s="60" t="s">
        <v>1</v>
      </c>
      <c r="E85" s="60" t="s">
        <v>18</v>
      </c>
      <c r="F85" s="60" t="s">
        <v>100</v>
      </c>
      <c r="G85" s="60" t="s">
        <v>100</v>
      </c>
      <c r="H85" s="60" t="s">
        <v>100</v>
      </c>
      <c r="I85" s="60" t="s">
        <v>722</v>
      </c>
      <c r="J85" s="60" t="s">
        <v>100</v>
      </c>
      <c r="K85" s="60" t="s">
        <v>100</v>
      </c>
      <c r="L85" s="60" t="s">
        <v>19</v>
      </c>
      <c r="M85" s="60">
        <v>3.75</v>
      </c>
      <c r="N85" s="60">
        <v>2.8</v>
      </c>
    </row>
    <row r="86" spans="1:15" ht="16.350000000000001" customHeight="1" x14ac:dyDescent="0.25">
      <c r="A86" s="71">
        <v>38</v>
      </c>
      <c r="B86" s="71">
        <v>27</v>
      </c>
      <c r="C86" s="60">
        <v>85</v>
      </c>
      <c r="D86" s="60" t="s">
        <v>1</v>
      </c>
      <c r="E86" s="60" t="s">
        <v>18</v>
      </c>
      <c r="F86" s="60" t="s">
        <v>100</v>
      </c>
      <c r="G86" s="60" t="s">
        <v>100</v>
      </c>
      <c r="H86" s="60" t="s">
        <v>100</v>
      </c>
      <c r="I86" s="60" t="s">
        <v>100</v>
      </c>
      <c r="J86" s="60" t="s">
        <v>723</v>
      </c>
      <c r="K86" s="60" t="s">
        <v>100</v>
      </c>
      <c r="L86" s="60" t="s">
        <v>19</v>
      </c>
      <c r="M86" s="60">
        <v>3.75</v>
      </c>
      <c r="N86" s="60">
        <v>2.8</v>
      </c>
    </row>
    <row r="87" spans="1:15" ht="16.350000000000001" customHeight="1" x14ac:dyDescent="0.25">
      <c r="A87" s="71">
        <v>38</v>
      </c>
      <c r="B87" s="71">
        <v>28</v>
      </c>
      <c r="C87" s="60">
        <v>86</v>
      </c>
      <c r="D87" s="60" t="s">
        <v>1</v>
      </c>
      <c r="E87" s="60" t="s">
        <v>18</v>
      </c>
      <c r="F87" s="60" t="s">
        <v>100</v>
      </c>
      <c r="G87" s="60" t="s">
        <v>100</v>
      </c>
      <c r="H87" s="60" t="s">
        <v>100</v>
      </c>
      <c r="I87" s="60" t="s">
        <v>694</v>
      </c>
      <c r="J87" s="60" t="s">
        <v>100</v>
      </c>
      <c r="K87" s="60" t="s">
        <v>100</v>
      </c>
      <c r="L87" s="60" t="s">
        <v>19</v>
      </c>
      <c r="M87" s="60">
        <v>3.75</v>
      </c>
      <c r="N87" s="60">
        <v>2.8</v>
      </c>
    </row>
    <row r="88" spans="1:15" ht="16.350000000000001" customHeight="1" x14ac:dyDescent="0.25">
      <c r="A88" s="71">
        <v>38</v>
      </c>
      <c r="B88" s="71">
        <v>29</v>
      </c>
      <c r="C88" s="60">
        <v>87</v>
      </c>
      <c r="D88" s="60" t="s">
        <v>1</v>
      </c>
      <c r="E88" s="60" t="s">
        <v>18</v>
      </c>
      <c r="F88" s="60" t="s">
        <v>100</v>
      </c>
      <c r="G88" s="60" t="s">
        <v>100</v>
      </c>
      <c r="H88" s="60" t="s">
        <v>100</v>
      </c>
      <c r="I88" s="60" t="s">
        <v>100</v>
      </c>
      <c r="J88" s="60" t="s">
        <v>724</v>
      </c>
      <c r="K88" s="60" t="s">
        <v>100</v>
      </c>
      <c r="L88" s="60" t="s">
        <v>19</v>
      </c>
      <c r="M88" s="60">
        <v>3.75</v>
      </c>
      <c r="N88" s="60">
        <v>2.8</v>
      </c>
    </row>
    <row r="89" spans="1:15" ht="16.350000000000001" customHeight="1" x14ac:dyDescent="0.25">
      <c r="A89" s="71">
        <v>38</v>
      </c>
      <c r="B89" s="71">
        <v>30</v>
      </c>
      <c r="C89" s="60">
        <v>88</v>
      </c>
      <c r="D89" s="60" t="s">
        <v>55</v>
      </c>
      <c r="E89" s="60" t="s">
        <v>754</v>
      </c>
      <c r="F89" s="60">
        <v>0</v>
      </c>
      <c r="G89" s="60">
        <v>-16.399999999999999</v>
      </c>
      <c r="H89" s="60">
        <v>0</v>
      </c>
      <c r="I89" s="60">
        <v>1</v>
      </c>
    </row>
    <row r="90" spans="1:15" ht="16.350000000000001" customHeight="1" x14ac:dyDescent="0.25">
      <c r="A90" s="71">
        <v>38</v>
      </c>
      <c r="B90" s="71">
        <v>31</v>
      </c>
      <c r="C90" s="60">
        <v>89</v>
      </c>
      <c r="D90" s="60" t="s">
        <v>39</v>
      </c>
      <c r="E90" s="60">
        <v>0</v>
      </c>
      <c r="F90" s="60">
        <v>0</v>
      </c>
      <c r="G90" s="60">
        <v>2</v>
      </c>
      <c r="H90" s="60">
        <v>5000</v>
      </c>
    </row>
    <row r="91" spans="1:15" ht="16.350000000000001" customHeight="1" x14ac:dyDescent="0.25">
      <c r="A91" s="71">
        <v>38</v>
      </c>
      <c r="B91" s="71">
        <v>32</v>
      </c>
      <c r="C91" s="60">
        <v>90</v>
      </c>
      <c r="D91" s="60" t="s">
        <v>1</v>
      </c>
      <c r="E91" s="60" t="s">
        <v>18</v>
      </c>
      <c r="F91" s="60" t="s">
        <v>100</v>
      </c>
      <c r="G91" s="60" t="s">
        <v>100</v>
      </c>
      <c r="H91" s="60" t="s">
        <v>100</v>
      </c>
      <c r="I91" s="60" t="s">
        <v>100</v>
      </c>
      <c r="J91" s="60" t="s">
        <v>737</v>
      </c>
      <c r="K91" s="60" t="s">
        <v>100</v>
      </c>
      <c r="L91" s="60" t="s">
        <v>19</v>
      </c>
      <c r="M91" s="60">
        <v>3.75</v>
      </c>
      <c r="N91" s="60">
        <v>2.8</v>
      </c>
    </row>
    <row r="92" spans="1:15" ht="16.350000000000001" customHeight="1" x14ac:dyDescent="0.25">
      <c r="A92" s="71">
        <v>38</v>
      </c>
      <c r="B92" s="71">
        <v>33</v>
      </c>
      <c r="C92" s="60">
        <v>91</v>
      </c>
      <c r="D92" s="60" t="s">
        <v>1</v>
      </c>
      <c r="E92" s="60" t="s">
        <v>18</v>
      </c>
      <c r="F92" s="60" t="s">
        <v>100</v>
      </c>
      <c r="G92" s="60" t="s">
        <v>100</v>
      </c>
      <c r="H92" s="60" t="s">
        <v>100</v>
      </c>
      <c r="I92" s="60" t="s">
        <v>722</v>
      </c>
      <c r="J92" s="60" t="s">
        <v>100</v>
      </c>
      <c r="K92" s="60" t="s">
        <v>100</v>
      </c>
      <c r="L92" s="60" t="s">
        <v>19</v>
      </c>
      <c r="M92" s="60">
        <v>3.75</v>
      </c>
      <c r="N92" s="60">
        <v>2.8</v>
      </c>
    </row>
    <row r="93" spans="1:15" ht="16.350000000000001" customHeight="1" x14ac:dyDescent="0.25">
      <c r="A93" s="71">
        <v>38</v>
      </c>
      <c r="B93" s="71">
        <v>34</v>
      </c>
      <c r="C93" s="60">
        <v>92</v>
      </c>
      <c r="D93" s="60" t="s">
        <v>1</v>
      </c>
      <c r="E93" s="60" t="s">
        <v>18</v>
      </c>
      <c r="F93" s="60" t="s">
        <v>100</v>
      </c>
      <c r="G93" s="60" t="s">
        <v>100</v>
      </c>
      <c r="H93" s="60" t="s">
        <v>100</v>
      </c>
      <c r="I93" s="60" t="s">
        <v>100</v>
      </c>
      <c r="J93" s="60" t="s">
        <v>364</v>
      </c>
      <c r="K93" s="60" t="s">
        <v>100</v>
      </c>
      <c r="L93" s="60" t="s">
        <v>19</v>
      </c>
      <c r="M93" s="60">
        <v>3.75</v>
      </c>
      <c r="N93" s="60">
        <v>2.8</v>
      </c>
      <c r="O93" s="72"/>
    </row>
    <row r="94" spans="1:15" ht="16.350000000000001" customHeight="1" x14ac:dyDescent="0.25">
      <c r="A94" s="71">
        <v>38</v>
      </c>
      <c r="B94" s="71">
        <v>35</v>
      </c>
      <c r="C94" s="60">
        <v>93</v>
      </c>
      <c r="D94" s="60" t="s">
        <v>1</v>
      </c>
      <c r="E94" s="60" t="s">
        <v>18</v>
      </c>
      <c r="F94" s="60" t="s">
        <v>100</v>
      </c>
      <c r="G94" s="60" t="s">
        <v>100</v>
      </c>
      <c r="H94" s="60" t="s">
        <v>100</v>
      </c>
      <c r="I94" s="60" t="s">
        <v>694</v>
      </c>
      <c r="J94" s="60" t="s">
        <v>100</v>
      </c>
      <c r="K94" s="60" t="s">
        <v>100</v>
      </c>
      <c r="L94" s="60" t="s">
        <v>19</v>
      </c>
      <c r="M94" s="60">
        <v>3.75</v>
      </c>
      <c r="N94" s="60">
        <v>2.8</v>
      </c>
    </row>
    <row r="95" spans="1:15" ht="16.350000000000001" customHeight="1" x14ac:dyDescent="0.25">
      <c r="A95" s="71">
        <v>38</v>
      </c>
      <c r="B95" s="71">
        <v>36</v>
      </c>
      <c r="C95" s="60">
        <v>94</v>
      </c>
      <c r="D95" s="60" t="s">
        <v>55</v>
      </c>
      <c r="E95" s="60" t="s">
        <v>755</v>
      </c>
      <c r="F95" s="60">
        <v>0</v>
      </c>
      <c r="G95" s="60">
        <v>16.399999999999999</v>
      </c>
      <c r="H95" s="60">
        <v>0</v>
      </c>
      <c r="I95" s="60">
        <v>1</v>
      </c>
    </row>
    <row r="96" spans="1:15" ht="16.350000000000001" customHeight="1" x14ac:dyDescent="0.25">
      <c r="A96" s="71">
        <v>38</v>
      </c>
      <c r="B96" s="71">
        <v>37</v>
      </c>
      <c r="C96" s="60">
        <v>95</v>
      </c>
      <c r="D96" s="60" t="s">
        <v>39</v>
      </c>
      <c r="E96" s="60">
        <v>0</v>
      </c>
      <c r="F96" s="60">
        <v>0</v>
      </c>
      <c r="G96" s="60">
        <v>4</v>
      </c>
      <c r="H96" s="60">
        <v>5000</v>
      </c>
    </row>
    <row r="97" spans="1:15" ht="16.350000000000001" customHeight="1" x14ac:dyDescent="0.25">
      <c r="A97" s="71">
        <v>38</v>
      </c>
      <c r="B97" s="71">
        <v>9</v>
      </c>
      <c r="C97" s="60">
        <v>96</v>
      </c>
      <c r="D97" s="60" t="s">
        <v>49</v>
      </c>
      <c r="E97" s="60" t="s">
        <v>203</v>
      </c>
      <c r="F97" s="60">
        <v>3</v>
      </c>
    </row>
    <row r="98" spans="1:15" ht="16.350000000000001" customHeight="1" x14ac:dyDescent="0.25">
      <c r="A98" s="71">
        <v>38</v>
      </c>
      <c r="B98" s="71">
        <v>10</v>
      </c>
      <c r="C98" s="60">
        <v>97</v>
      </c>
      <c r="D98" s="60" t="s">
        <v>1</v>
      </c>
      <c r="E98" s="60" t="s">
        <v>18</v>
      </c>
      <c r="F98" s="60">
        <v>140</v>
      </c>
      <c r="G98" s="60">
        <v>140</v>
      </c>
      <c r="H98" s="60">
        <v>12.0000000001</v>
      </c>
      <c r="I98" s="60" t="s">
        <v>100</v>
      </c>
      <c r="J98" s="60" t="s">
        <v>726</v>
      </c>
      <c r="K98" s="60" t="s">
        <v>100</v>
      </c>
      <c r="L98" s="60" t="s">
        <v>19</v>
      </c>
      <c r="M98" s="60">
        <v>3.75</v>
      </c>
      <c r="N98" s="60">
        <v>2.8</v>
      </c>
    </row>
    <row r="99" spans="1:15" ht="16.350000000000001" customHeight="1" x14ac:dyDescent="0.25">
      <c r="A99" s="71">
        <v>38</v>
      </c>
      <c r="B99" s="71">
        <v>11</v>
      </c>
      <c r="C99" s="60">
        <v>98</v>
      </c>
      <c r="D99" s="60" t="s">
        <v>1</v>
      </c>
      <c r="E99" s="60" t="s">
        <v>18</v>
      </c>
      <c r="F99" s="60" t="s">
        <v>100</v>
      </c>
      <c r="G99" s="60" t="s">
        <v>100</v>
      </c>
      <c r="H99" s="60" t="s">
        <v>100</v>
      </c>
      <c r="I99" s="60" t="s">
        <v>694</v>
      </c>
      <c r="J99" s="60" t="s">
        <v>100</v>
      </c>
      <c r="K99" s="60" t="s">
        <v>100</v>
      </c>
      <c r="L99" s="60" t="s">
        <v>19</v>
      </c>
      <c r="M99" s="60">
        <v>3.75</v>
      </c>
      <c r="N99" s="60">
        <v>2.8</v>
      </c>
    </row>
    <row r="100" spans="1:15" ht="16.350000000000001" customHeight="1" x14ac:dyDescent="0.25">
      <c r="A100" s="71">
        <v>38</v>
      </c>
      <c r="B100" s="71">
        <v>12</v>
      </c>
      <c r="C100" s="60">
        <v>99</v>
      </c>
      <c r="D100" s="60" t="s">
        <v>1</v>
      </c>
      <c r="E100" s="60" t="s">
        <v>18</v>
      </c>
      <c r="F100" s="60" t="s">
        <v>100</v>
      </c>
      <c r="G100" s="60" t="s">
        <v>100</v>
      </c>
      <c r="H100" s="60" t="s">
        <v>100</v>
      </c>
      <c r="I100" s="60" t="s">
        <v>100</v>
      </c>
      <c r="J100" s="60" t="s">
        <v>727</v>
      </c>
      <c r="K100" s="60" t="s">
        <v>100</v>
      </c>
      <c r="L100" s="60" t="s">
        <v>19</v>
      </c>
      <c r="M100" s="60">
        <v>3.75</v>
      </c>
      <c r="N100" s="60">
        <v>2.8</v>
      </c>
    </row>
    <row r="101" spans="1:15" ht="16.350000000000001" customHeight="1" x14ac:dyDescent="0.25">
      <c r="A101" s="71">
        <v>38</v>
      </c>
      <c r="B101" s="71">
        <v>13</v>
      </c>
      <c r="C101" s="60">
        <v>100</v>
      </c>
      <c r="D101" s="60" t="s">
        <v>1</v>
      </c>
      <c r="E101" s="60" t="s">
        <v>18</v>
      </c>
      <c r="F101" s="60" t="s">
        <v>100</v>
      </c>
      <c r="G101" s="60" t="s">
        <v>100</v>
      </c>
      <c r="H101" s="60" t="s">
        <v>100</v>
      </c>
      <c r="I101" s="60" t="s">
        <v>722</v>
      </c>
      <c r="J101" s="60" t="s">
        <v>100</v>
      </c>
      <c r="K101" s="60" t="s">
        <v>100</v>
      </c>
      <c r="L101" s="60" t="s">
        <v>19</v>
      </c>
      <c r="M101" s="60">
        <v>3.75</v>
      </c>
      <c r="N101" s="60">
        <v>2.8</v>
      </c>
    </row>
    <row r="102" spans="1:15" ht="16.350000000000001" customHeight="1" x14ac:dyDescent="0.25">
      <c r="A102" s="71">
        <v>38</v>
      </c>
      <c r="B102" s="71">
        <v>14</v>
      </c>
      <c r="C102" s="60">
        <v>101</v>
      </c>
      <c r="D102" s="60" t="s">
        <v>55</v>
      </c>
      <c r="E102" s="60" t="s">
        <v>738</v>
      </c>
      <c r="F102" s="60">
        <v>0</v>
      </c>
      <c r="G102" s="60">
        <v>-16.399999999999999</v>
      </c>
      <c r="H102" s="60">
        <v>0</v>
      </c>
      <c r="I102" s="60">
        <v>1</v>
      </c>
    </row>
    <row r="103" spans="1:15" ht="16.350000000000001" customHeight="1" x14ac:dyDescent="0.25">
      <c r="A103" s="71">
        <v>38</v>
      </c>
      <c r="B103" s="71">
        <v>15</v>
      </c>
      <c r="C103" s="60">
        <v>102</v>
      </c>
      <c r="D103" s="60" t="s">
        <v>39</v>
      </c>
      <c r="E103" s="60">
        <v>0</v>
      </c>
      <c r="F103" s="60">
        <v>0</v>
      </c>
      <c r="G103" s="60">
        <v>2</v>
      </c>
      <c r="H103" s="60">
        <v>5000</v>
      </c>
    </row>
    <row r="104" spans="1:15" ht="16.350000000000001" customHeight="1" x14ac:dyDescent="0.25">
      <c r="A104" s="71">
        <v>38</v>
      </c>
      <c r="B104" s="71">
        <v>16</v>
      </c>
      <c r="C104" s="60">
        <v>103</v>
      </c>
      <c r="D104" s="60" t="s">
        <v>1</v>
      </c>
      <c r="E104" s="60" t="s">
        <v>18</v>
      </c>
      <c r="F104" s="60" t="s">
        <v>100</v>
      </c>
      <c r="G104" s="60" t="s">
        <v>100</v>
      </c>
      <c r="H104" s="60" t="s">
        <v>100</v>
      </c>
      <c r="I104" s="60" t="s">
        <v>694</v>
      </c>
      <c r="J104" s="60" t="s">
        <v>100</v>
      </c>
      <c r="K104" s="60" t="s">
        <v>100</v>
      </c>
      <c r="L104" s="60" t="s">
        <v>19</v>
      </c>
      <c r="M104" s="60">
        <v>3.75</v>
      </c>
      <c r="N104" s="60">
        <v>2.8</v>
      </c>
      <c r="O104" s="72"/>
    </row>
    <row r="105" spans="1:15" ht="16.350000000000001" customHeight="1" x14ac:dyDescent="0.25">
      <c r="A105" s="71">
        <v>38</v>
      </c>
      <c r="B105" s="71">
        <v>17</v>
      </c>
      <c r="C105" s="60">
        <v>104</v>
      </c>
      <c r="D105" s="60" t="s">
        <v>1</v>
      </c>
      <c r="E105" s="60" t="s">
        <v>18</v>
      </c>
      <c r="F105" s="60" t="s">
        <v>100</v>
      </c>
      <c r="G105" s="60" t="s">
        <v>100</v>
      </c>
      <c r="H105" s="60" t="s">
        <v>100</v>
      </c>
      <c r="I105" s="60" t="s">
        <v>100</v>
      </c>
      <c r="J105" s="60" t="s">
        <v>729</v>
      </c>
      <c r="K105" s="60" t="s">
        <v>100</v>
      </c>
      <c r="L105" s="60" t="s">
        <v>19</v>
      </c>
      <c r="M105" s="60">
        <v>3.75</v>
      </c>
      <c r="N105" s="60">
        <v>2.8</v>
      </c>
    </row>
    <row r="106" spans="1:15" ht="16.350000000000001" customHeight="1" x14ac:dyDescent="0.25">
      <c r="A106" s="71">
        <v>38</v>
      </c>
      <c r="B106" s="71">
        <v>18</v>
      </c>
      <c r="C106" s="60">
        <v>105</v>
      </c>
      <c r="D106" s="60" t="s">
        <v>1</v>
      </c>
      <c r="E106" s="60" t="s">
        <v>18</v>
      </c>
      <c r="F106" s="60" t="s">
        <v>100</v>
      </c>
      <c r="G106" s="60" t="s">
        <v>100</v>
      </c>
      <c r="H106" s="60" t="s">
        <v>100</v>
      </c>
      <c r="I106" s="60" t="s">
        <v>722</v>
      </c>
      <c r="J106" s="60" t="s">
        <v>100</v>
      </c>
      <c r="K106" s="60" t="s">
        <v>100</v>
      </c>
      <c r="L106" s="60" t="s">
        <v>19</v>
      </c>
      <c r="M106" s="60">
        <v>3.75</v>
      </c>
      <c r="N106" s="60">
        <v>2.8</v>
      </c>
    </row>
    <row r="107" spans="1:15" ht="16.350000000000001" customHeight="1" x14ac:dyDescent="0.25">
      <c r="A107" s="71">
        <v>38</v>
      </c>
      <c r="B107" s="71">
        <v>19</v>
      </c>
      <c r="C107" s="60">
        <v>106</v>
      </c>
      <c r="D107" s="60" t="s">
        <v>1</v>
      </c>
      <c r="E107" s="60" t="s">
        <v>18</v>
      </c>
      <c r="F107" s="60" t="s">
        <v>100</v>
      </c>
      <c r="G107" s="60" t="s">
        <v>100</v>
      </c>
      <c r="H107" s="60" t="s">
        <v>100</v>
      </c>
      <c r="I107" s="60" t="s">
        <v>100</v>
      </c>
      <c r="J107" s="60" t="s">
        <v>730</v>
      </c>
      <c r="K107" s="60" t="s">
        <v>100</v>
      </c>
      <c r="L107" s="60" t="s">
        <v>19</v>
      </c>
      <c r="M107" s="60">
        <v>3.75</v>
      </c>
      <c r="N107" s="60">
        <v>2.8</v>
      </c>
    </row>
    <row r="108" spans="1:15" ht="16.350000000000001" customHeight="1" x14ac:dyDescent="0.25">
      <c r="A108" s="71">
        <v>38</v>
      </c>
      <c r="B108" s="71">
        <v>20</v>
      </c>
      <c r="C108" s="60">
        <v>107</v>
      </c>
      <c r="D108" s="60" t="s">
        <v>55</v>
      </c>
      <c r="E108" s="60" t="s">
        <v>732</v>
      </c>
      <c r="F108" s="60">
        <v>0</v>
      </c>
      <c r="G108" s="60">
        <v>16.399999999999999</v>
      </c>
      <c r="H108" s="60">
        <v>0</v>
      </c>
      <c r="I108" s="60">
        <v>1</v>
      </c>
    </row>
    <row r="109" spans="1:15" ht="16.350000000000001" customHeight="1" x14ac:dyDescent="0.25">
      <c r="A109" s="71">
        <v>38</v>
      </c>
      <c r="B109" s="71">
        <v>21</v>
      </c>
      <c r="C109" s="60">
        <v>108</v>
      </c>
      <c r="D109" s="60" t="s">
        <v>695</v>
      </c>
      <c r="E109" s="60">
        <v>0.35</v>
      </c>
      <c r="F109" s="60">
        <v>80</v>
      </c>
      <c r="G109" s="60">
        <v>4</v>
      </c>
      <c r="H109" s="60">
        <v>5000</v>
      </c>
    </row>
    <row r="110" spans="1:15" ht="16.350000000000001" customHeight="1" x14ac:dyDescent="0.25">
      <c r="A110" s="71">
        <v>38</v>
      </c>
      <c r="B110" s="71">
        <v>22</v>
      </c>
      <c r="C110" s="60">
        <v>109</v>
      </c>
      <c r="D110" s="60" t="s">
        <v>49</v>
      </c>
      <c r="E110" s="60" t="s">
        <v>203</v>
      </c>
      <c r="F110" s="60">
        <v>2</v>
      </c>
    </row>
    <row r="111" spans="1:15" ht="16.350000000000001" customHeight="1" x14ac:dyDescent="0.25">
      <c r="A111" s="71">
        <v>38</v>
      </c>
      <c r="B111" s="71">
        <v>23</v>
      </c>
      <c r="C111" s="60">
        <v>110</v>
      </c>
      <c r="D111" s="60" t="s">
        <v>1</v>
      </c>
      <c r="E111" s="60" t="s">
        <v>18</v>
      </c>
      <c r="F111" s="60" t="s">
        <v>100</v>
      </c>
      <c r="G111" s="60" t="s">
        <v>100</v>
      </c>
      <c r="H111" s="60" t="s">
        <v>100</v>
      </c>
      <c r="I111" s="60" t="s">
        <v>100</v>
      </c>
      <c r="J111" s="60" t="s">
        <v>100</v>
      </c>
      <c r="K111" s="60">
        <v>14</v>
      </c>
      <c r="L111" s="60" t="s">
        <v>23</v>
      </c>
      <c r="M111" s="60">
        <v>3.75</v>
      </c>
      <c r="N111" s="60">
        <v>2.8</v>
      </c>
    </row>
    <row r="112" spans="1:15" ht="16.350000000000001" customHeight="1" x14ac:dyDescent="0.25">
      <c r="A112" s="71">
        <v>38</v>
      </c>
      <c r="B112" s="71">
        <v>24</v>
      </c>
      <c r="C112" s="60">
        <v>111</v>
      </c>
      <c r="D112" s="60" t="s">
        <v>172</v>
      </c>
      <c r="E112" s="60" t="s">
        <v>704</v>
      </c>
      <c r="F112" s="60">
        <v>155</v>
      </c>
      <c r="G112" s="60" t="s">
        <v>733</v>
      </c>
      <c r="H112" s="60">
        <v>0</v>
      </c>
      <c r="I112" s="60">
        <v>1</v>
      </c>
      <c r="J112" s="60">
        <v>1</v>
      </c>
      <c r="K112" s="60">
        <v>3.75</v>
      </c>
      <c r="L112" s="60">
        <v>2.8</v>
      </c>
    </row>
    <row r="113" spans="1:15" ht="16.350000000000001" customHeight="1" x14ac:dyDescent="0.25">
      <c r="A113" s="71">
        <v>38</v>
      </c>
      <c r="B113" s="71">
        <v>25</v>
      </c>
      <c r="C113" s="60">
        <v>112</v>
      </c>
      <c r="D113" s="60" t="s">
        <v>1</v>
      </c>
      <c r="E113" s="60" t="s">
        <v>18</v>
      </c>
      <c r="F113" s="60" t="s">
        <v>100</v>
      </c>
      <c r="G113" s="60" t="s">
        <v>100</v>
      </c>
      <c r="H113" s="60" t="s">
        <v>100</v>
      </c>
      <c r="I113" s="60">
        <v>275</v>
      </c>
      <c r="J113" s="60">
        <v>135</v>
      </c>
      <c r="K113" s="60">
        <v>14</v>
      </c>
      <c r="L113" s="60" t="s">
        <v>19</v>
      </c>
      <c r="M113" s="60">
        <v>3.75</v>
      </c>
      <c r="N113" s="60">
        <v>2.8</v>
      </c>
    </row>
    <row r="114" spans="1:15" ht="16.350000000000001" customHeight="1" x14ac:dyDescent="0.25">
      <c r="A114" s="71">
        <v>38</v>
      </c>
      <c r="B114" s="71">
        <v>26</v>
      </c>
      <c r="C114" s="60">
        <v>113</v>
      </c>
      <c r="D114" s="60" t="s">
        <v>1</v>
      </c>
      <c r="E114" s="60" t="s">
        <v>18</v>
      </c>
      <c r="F114" s="60" t="s">
        <v>100</v>
      </c>
      <c r="G114" s="60" t="s">
        <v>100</v>
      </c>
      <c r="H114" s="60" t="s">
        <v>100</v>
      </c>
      <c r="I114" s="60" t="s">
        <v>722</v>
      </c>
      <c r="J114" s="60" t="s">
        <v>100</v>
      </c>
      <c r="K114" s="60" t="s">
        <v>100</v>
      </c>
      <c r="L114" s="60" t="s">
        <v>19</v>
      </c>
      <c r="M114" s="60">
        <v>3.75</v>
      </c>
      <c r="N114" s="60">
        <v>2.8</v>
      </c>
    </row>
    <row r="115" spans="1:15" ht="16.350000000000001" customHeight="1" x14ac:dyDescent="0.25">
      <c r="A115" s="71">
        <v>38</v>
      </c>
      <c r="B115" s="71">
        <v>27</v>
      </c>
      <c r="C115" s="60">
        <v>114</v>
      </c>
      <c r="D115" s="60" t="s">
        <v>1</v>
      </c>
      <c r="E115" s="60" t="s">
        <v>18</v>
      </c>
      <c r="F115" s="60" t="s">
        <v>100</v>
      </c>
      <c r="G115" s="60" t="s">
        <v>100</v>
      </c>
      <c r="H115" s="60" t="s">
        <v>100</v>
      </c>
      <c r="I115" s="60" t="s">
        <v>100</v>
      </c>
      <c r="J115" s="60" t="s">
        <v>723</v>
      </c>
      <c r="K115" s="60" t="s">
        <v>100</v>
      </c>
      <c r="L115" s="60" t="s">
        <v>19</v>
      </c>
      <c r="M115" s="60">
        <v>3.75</v>
      </c>
      <c r="N115" s="60">
        <v>2.8</v>
      </c>
      <c r="O115" s="72"/>
    </row>
    <row r="116" spans="1:15" ht="16.350000000000001" customHeight="1" x14ac:dyDescent="0.25">
      <c r="A116" s="71">
        <v>38</v>
      </c>
      <c r="B116" s="71">
        <v>28</v>
      </c>
      <c r="C116" s="60">
        <v>115</v>
      </c>
      <c r="D116" s="60" t="s">
        <v>1</v>
      </c>
      <c r="E116" s="60" t="s">
        <v>18</v>
      </c>
      <c r="F116" s="60" t="s">
        <v>100</v>
      </c>
      <c r="G116" s="60" t="s">
        <v>100</v>
      </c>
      <c r="H116" s="60" t="s">
        <v>100</v>
      </c>
      <c r="I116" s="60" t="s">
        <v>694</v>
      </c>
      <c r="J116" s="60" t="s">
        <v>100</v>
      </c>
      <c r="K116" s="60" t="s">
        <v>100</v>
      </c>
      <c r="L116" s="60" t="s">
        <v>19</v>
      </c>
      <c r="M116" s="60">
        <v>3.75</v>
      </c>
      <c r="N116" s="60">
        <v>2.8</v>
      </c>
    </row>
    <row r="117" spans="1:15" ht="16.350000000000001" customHeight="1" x14ac:dyDescent="0.25">
      <c r="A117" s="71">
        <v>38</v>
      </c>
      <c r="B117" s="71">
        <v>29</v>
      </c>
      <c r="C117" s="60">
        <v>116</v>
      </c>
      <c r="D117" s="60" t="s">
        <v>1</v>
      </c>
      <c r="E117" s="60" t="s">
        <v>18</v>
      </c>
      <c r="F117" s="60" t="s">
        <v>100</v>
      </c>
      <c r="G117" s="60" t="s">
        <v>100</v>
      </c>
      <c r="H117" s="60" t="s">
        <v>100</v>
      </c>
      <c r="I117" s="60" t="s">
        <v>100</v>
      </c>
      <c r="J117" s="60" t="s">
        <v>724</v>
      </c>
      <c r="K117" s="60" t="s">
        <v>100</v>
      </c>
      <c r="L117" s="60" t="s">
        <v>19</v>
      </c>
      <c r="M117" s="60">
        <v>3.75</v>
      </c>
      <c r="N117" s="60">
        <v>2.8</v>
      </c>
    </row>
    <row r="118" spans="1:15" ht="16.350000000000001" customHeight="1" x14ac:dyDescent="0.25">
      <c r="A118" s="71">
        <v>38</v>
      </c>
      <c r="B118" s="71">
        <v>30</v>
      </c>
      <c r="C118" s="60">
        <v>117</v>
      </c>
      <c r="D118" s="60" t="s">
        <v>55</v>
      </c>
      <c r="E118" s="60" t="s">
        <v>756</v>
      </c>
      <c r="F118" s="60">
        <v>0</v>
      </c>
      <c r="G118" s="60">
        <v>-16.399999999999999</v>
      </c>
      <c r="H118" s="60">
        <v>0</v>
      </c>
      <c r="I118" s="60">
        <v>1</v>
      </c>
    </row>
    <row r="119" spans="1:15" ht="16.350000000000001" customHeight="1" x14ac:dyDescent="0.25">
      <c r="A119" s="71">
        <v>38</v>
      </c>
      <c r="B119" s="71">
        <v>31</v>
      </c>
      <c r="C119" s="60">
        <v>118</v>
      </c>
      <c r="D119" s="60" t="s">
        <v>39</v>
      </c>
      <c r="E119" s="60">
        <v>0</v>
      </c>
      <c r="F119" s="60">
        <v>0</v>
      </c>
      <c r="G119" s="60">
        <v>2</v>
      </c>
      <c r="H119" s="60">
        <v>5000</v>
      </c>
    </row>
    <row r="120" spans="1:15" ht="16.350000000000001" customHeight="1" x14ac:dyDescent="0.25">
      <c r="A120" s="71">
        <v>38</v>
      </c>
      <c r="B120" s="71">
        <v>32</v>
      </c>
      <c r="C120" s="60">
        <v>119</v>
      </c>
      <c r="D120" s="60" t="s">
        <v>1</v>
      </c>
      <c r="E120" s="60" t="s">
        <v>18</v>
      </c>
      <c r="F120" s="60" t="s">
        <v>100</v>
      </c>
      <c r="G120" s="60" t="s">
        <v>100</v>
      </c>
      <c r="H120" s="60" t="s">
        <v>100</v>
      </c>
      <c r="I120" s="60" t="s">
        <v>100</v>
      </c>
      <c r="J120" s="60" t="s">
        <v>737</v>
      </c>
      <c r="K120" s="60" t="s">
        <v>100</v>
      </c>
      <c r="L120" s="60" t="s">
        <v>19</v>
      </c>
      <c r="M120" s="60">
        <v>3.75</v>
      </c>
      <c r="N120" s="60">
        <v>2.8</v>
      </c>
    </row>
    <row r="121" spans="1:15" ht="16.350000000000001" customHeight="1" x14ac:dyDescent="0.25">
      <c r="A121" s="71">
        <v>38</v>
      </c>
      <c r="B121" s="71">
        <v>33</v>
      </c>
      <c r="C121" s="60">
        <v>120</v>
      </c>
      <c r="D121" s="60" t="s">
        <v>1</v>
      </c>
      <c r="E121" s="60" t="s">
        <v>18</v>
      </c>
      <c r="F121" s="60" t="s">
        <v>100</v>
      </c>
      <c r="G121" s="60" t="s">
        <v>100</v>
      </c>
      <c r="H121" s="60" t="s">
        <v>100</v>
      </c>
      <c r="I121" s="60" t="s">
        <v>722</v>
      </c>
      <c r="J121" s="60" t="s">
        <v>100</v>
      </c>
      <c r="K121" s="60" t="s">
        <v>100</v>
      </c>
      <c r="L121" s="60" t="s">
        <v>19</v>
      </c>
      <c r="M121" s="60">
        <v>3.75</v>
      </c>
      <c r="N121" s="60">
        <v>2.8</v>
      </c>
    </row>
    <row r="122" spans="1:15" ht="16.350000000000001" customHeight="1" x14ac:dyDescent="0.25">
      <c r="A122" s="71">
        <v>38</v>
      </c>
      <c r="B122" s="71">
        <v>34</v>
      </c>
      <c r="C122" s="60">
        <v>121</v>
      </c>
      <c r="D122" s="60" t="s">
        <v>1</v>
      </c>
      <c r="E122" s="60" t="s">
        <v>18</v>
      </c>
      <c r="F122" s="60" t="s">
        <v>100</v>
      </c>
      <c r="G122" s="60" t="s">
        <v>100</v>
      </c>
      <c r="H122" s="60" t="s">
        <v>100</v>
      </c>
      <c r="I122" s="60" t="s">
        <v>100</v>
      </c>
      <c r="J122" s="60" t="s">
        <v>364</v>
      </c>
      <c r="K122" s="60" t="s">
        <v>100</v>
      </c>
      <c r="L122" s="60" t="s">
        <v>19</v>
      </c>
      <c r="M122" s="60">
        <v>3.75</v>
      </c>
      <c r="N122" s="60">
        <v>2.8</v>
      </c>
    </row>
    <row r="123" spans="1:15" ht="16.350000000000001" customHeight="1" x14ac:dyDescent="0.25">
      <c r="A123" s="71">
        <v>38</v>
      </c>
      <c r="B123" s="71">
        <v>35</v>
      </c>
      <c r="C123" s="60">
        <v>122</v>
      </c>
      <c r="D123" s="60" t="s">
        <v>1</v>
      </c>
      <c r="E123" s="60" t="s">
        <v>18</v>
      </c>
      <c r="F123" s="60" t="s">
        <v>100</v>
      </c>
      <c r="G123" s="60" t="s">
        <v>100</v>
      </c>
      <c r="H123" s="60" t="s">
        <v>100</v>
      </c>
      <c r="I123" s="60" t="s">
        <v>694</v>
      </c>
      <c r="J123" s="60" t="s">
        <v>100</v>
      </c>
      <c r="K123" s="60" t="s">
        <v>100</v>
      </c>
      <c r="L123" s="60" t="s">
        <v>19</v>
      </c>
      <c r="M123" s="60">
        <v>3.75</v>
      </c>
      <c r="N123" s="60">
        <v>2.8</v>
      </c>
    </row>
    <row r="124" spans="1:15" ht="16.350000000000001" customHeight="1" x14ac:dyDescent="0.25">
      <c r="A124" s="71">
        <v>38</v>
      </c>
      <c r="B124" s="71">
        <v>36</v>
      </c>
      <c r="C124" s="60">
        <v>123</v>
      </c>
      <c r="D124" s="60" t="s">
        <v>55</v>
      </c>
      <c r="E124" s="60" t="s">
        <v>757</v>
      </c>
      <c r="F124" s="60">
        <v>0</v>
      </c>
      <c r="G124" s="60">
        <v>16.399999999999999</v>
      </c>
      <c r="H124" s="60">
        <v>0</v>
      </c>
      <c r="I124" s="60">
        <v>1</v>
      </c>
    </row>
    <row r="125" spans="1:15" ht="16.350000000000001" customHeight="1" x14ac:dyDescent="0.25">
      <c r="A125" s="71">
        <v>38</v>
      </c>
      <c r="B125" s="71">
        <v>37</v>
      </c>
      <c r="C125" s="60">
        <v>124</v>
      </c>
      <c r="D125" s="60" t="s">
        <v>39</v>
      </c>
      <c r="E125" s="60">
        <v>0</v>
      </c>
      <c r="F125" s="60">
        <v>0</v>
      </c>
      <c r="G125" s="60">
        <v>4</v>
      </c>
      <c r="H125" s="60">
        <v>5000</v>
      </c>
    </row>
    <row r="126" spans="1:15" ht="16.350000000000001" customHeight="1" x14ac:dyDescent="0.25">
      <c r="A126" s="71">
        <v>38</v>
      </c>
      <c r="B126" s="71">
        <v>9</v>
      </c>
      <c r="C126" s="60">
        <v>125</v>
      </c>
      <c r="D126" s="60" t="s">
        <v>49</v>
      </c>
      <c r="E126" s="60" t="s">
        <v>203</v>
      </c>
      <c r="F126" s="60">
        <v>3</v>
      </c>
      <c r="O126" s="72"/>
    </row>
    <row r="127" spans="1:15" ht="16.350000000000001" customHeight="1" x14ac:dyDescent="0.25">
      <c r="A127" s="71">
        <v>38</v>
      </c>
      <c r="B127" s="71">
        <v>10</v>
      </c>
      <c r="C127" s="60">
        <v>126</v>
      </c>
      <c r="D127" s="60" t="s">
        <v>1</v>
      </c>
      <c r="E127" s="60" t="s">
        <v>18</v>
      </c>
      <c r="F127" s="60">
        <v>140</v>
      </c>
      <c r="G127" s="60">
        <v>140</v>
      </c>
      <c r="H127" s="60">
        <v>16.000000000099998</v>
      </c>
      <c r="I127" s="60" t="s">
        <v>100</v>
      </c>
      <c r="J127" s="60" t="s">
        <v>726</v>
      </c>
      <c r="K127" s="60" t="s">
        <v>100</v>
      </c>
      <c r="L127" s="60" t="s">
        <v>19</v>
      </c>
      <c r="M127" s="60">
        <v>3.75</v>
      </c>
      <c r="N127" s="60">
        <v>2.8</v>
      </c>
    </row>
    <row r="128" spans="1:15" ht="16.350000000000001" customHeight="1" x14ac:dyDescent="0.25">
      <c r="A128" s="71">
        <v>38</v>
      </c>
      <c r="B128" s="71">
        <v>11</v>
      </c>
      <c r="C128" s="60">
        <v>127</v>
      </c>
      <c r="D128" s="60" t="s">
        <v>1</v>
      </c>
      <c r="E128" s="60" t="s">
        <v>18</v>
      </c>
      <c r="F128" s="60" t="s">
        <v>100</v>
      </c>
      <c r="G128" s="60" t="s">
        <v>100</v>
      </c>
      <c r="H128" s="60" t="s">
        <v>100</v>
      </c>
      <c r="I128" s="60" t="s">
        <v>694</v>
      </c>
      <c r="J128" s="60" t="s">
        <v>100</v>
      </c>
      <c r="K128" s="60" t="s">
        <v>100</v>
      </c>
      <c r="L128" s="60" t="s">
        <v>19</v>
      </c>
      <c r="M128" s="60">
        <v>3.75</v>
      </c>
      <c r="N128" s="60">
        <v>2.8</v>
      </c>
    </row>
    <row r="129" spans="1:15" ht="16.350000000000001" customHeight="1" x14ac:dyDescent="0.25">
      <c r="A129" s="71">
        <v>38</v>
      </c>
      <c r="B129" s="71">
        <v>12</v>
      </c>
      <c r="C129" s="60">
        <v>128</v>
      </c>
      <c r="D129" s="60" t="s">
        <v>1</v>
      </c>
      <c r="E129" s="60" t="s">
        <v>18</v>
      </c>
      <c r="F129" s="60" t="s">
        <v>100</v>
      </c>
      <c r="G129" s="60" t="s">
        <v>100</v>
      </c>
      <c r="H129" s="60" t="s">
        <v>100</v>
      </c>
      <c r="I129" s="60" t="s">
        <v>100</v>
      </c>
      <c r="J129" s="60" t="s">
        <v>727</v>
      </c>
      <c r="K129" s="60" t="s">
        <v>100</v>
      </c>
      <c r="L129" s="60" t="s">
        <v>19</v>
      </c>
      <c r="M129" s="60">
        <v>3.75</v>
      </c>
      <c r="N129" s="60">
        <v>2.8</v>
      </c>
    </row>
    <row r="130" spans="1:15" ht="16.350000000000001" customHeight="1" x14ac:dyDescent="0.25">
      <c r="A130" s="71">
        <v>38</v>
      </c>
      <c r="B130" s="71">
        <v>13</v>
      </c>
      <c r="C130" s="60">
        <v>129</v>
      </c>
      <c r="D130" s="60" t="s">
        <v>1</v>
      </c>
      <c r="E130" s="60" t="s">
        <v>18</v>
      </c>
      <c r="F130" s="60" t="s">
        <v>100</v>
      </c>
      <c r="G130" s="60" t="s">
        <v>100</v>
      </c>
      <c r="H130" s="60" t="s">
        <v>100</v>
      </c>
      <c r="I130" s="60" t="s">
        <v>722</v>
      </c>
      <c r="J130" s="60" t="s">
        <v>100</v>
      </c>
      <c r="K130" s="60" t="s">
        <v>100</v>
      </c>
      <c r="L130" s="60" t="s">
        <v>19</v>
      </c>
      <c r="M130" s="60">
        <v>3.75</v>
      </c>
      <c r="N130" s="60">
        <v>2.8</v>
      </c>
    </row>
    <row r="131" spans="1:15" ht="16.350000000000001" customHeight="1" x14ac:dyDescent="0.25">
      <c r="A131" s="71">
        <v>38</v>
      </c>
      <c r="B131" s="71">
        <v>14</v>
      </c>
      <c r="C131" s="60">
        <v>130</v>
      </c>
      <c r="D131" s="60" t="s">
        <v>55</v>
      </c>
      <c r="E131" s="60" t="s">
        <v>758</v>
      </c>
      <c r="F131" s="60">
        <v>0</v>
      </c>
      <c r="G131" s="60">
        <v>-16.399999999999999</v>
      </c>
      <c r="H131" s="60">
        <v>0</v>
      </c>
      <c r="I131" s="60">
        <v>1</v>
      </c>
    </row>
    <row r="132" spans="1:15" ht="16.350000000000001" customHeight="1" x14ac:dyDescent="0.25">
      <c r="A132" s="71">
        <v>38</v>
      </c>
      <c r="B132" s="71">
        <v>15</v>
      </c>
      <c r="C132" s="60">
        <v>131</v>
      </c>
      <c r="D132" s="60" t="s">
        <v>39</v>
      </c>
      <c r="E132" s="60">
        <v>0</v>
      </c>
      <c r="F132" s="60">
        <v>0</v>
      </c>
      <c r="G132" s="60">
        <v>2</v>
      </c>
      <c r="H132" s="60">
        <v>5000</v>
      </c>
    </row>
    <row r="133" spans="1:15" ht="16.350000000000001" customHeight="1" x14ac:dyDescent="0.25">
      <c r="A133" s="71">
        <v>38</v>
      </c>
      <c r="B133" s="71">
        <v>16</v>
      </c>
      <c r="C133" s="60">
        <v>132</v>
      </c>
      <c r="D133" s="60" t="s">
        <v>1</v>
      </c>
      <c r="E133" s="60" t="s">
        <v>18</v>
      </c>
      <c r="F133" s="60" t="s">
        <v>100</v>
      </c>
      <c r="G133" s="60" t="s">
        <v>100</v>
      </c>
      <c r="H133" s="60" t="s">
        <v>100</v>
      </c>
      <c r="I133" s="60" t="s">
        <v>694</v>
      </c>
      <c r="J133" s="60" t="s">
        <v>100</v>
      </c>
      <c r="K133" s="60" t="s">
        <v>100</v>
      </c>
      <c r="L133" s="60" t="s">
        <v>19</v>
      </c>
      <c r="M133" s="60">
        <v>3.75</v>
      </c>
      <c r="N133" s="60">
        <v>2.8</v>
      </c>
    </row>
    <row r="134" spans="1:15" ht="16.350000000000001" customHeight="1" x14ac:dyDescent="0.25">
      <c r="A134" s="71">
        <v>38</v>
      </c>
      <c r="B134" s="71">
        <v>17</v>
      </c>
      <c r="C134" s="60">
        <v>133</v>
      </c>
      <c r="D134" s="60" t="s">
        <v>1</v>
      </c>
      <c r="E134" s="60" t="s">
        <v>18</v>
      </c>
      <c r="F134" s="60" t="s">
        <v>100</v>
      </c>
      <c r="G134" s="60" t="s">
        <v>100</v>
      </c>
      <c r="H134" s="60" t="s">
        <v>100</v>
      </c>
      <c r="I134" s="60" t="s">
        <v>100</v>
      </c>
      <c r="J134" s="60" t="s">
        <v>729</v>
      </c>
      <c r="K134" s="60" t="s">
        <v>100</v>
      </c>
      <c r="L134" s="60" t="s">
        <v>19</v>
      </c>
      <c r="M134" s="60">
        <v>3.75</v>
      </c>
      <c r="N134" s="60">
        <v>2.8</v>
      </c>
    </row>
    <row r="135" spans="1:15" ht="16.350000000000001" customHeight="1" x14ac:dyDescent="0.25">
      <c r="A135" s="71">
        <v>38</v>
      </c>
      <c r="B135" s="71">
        <v>18</v>
      </c>
      <c r="C135" s="60">
        <v>134</v>
      </c>
      <c r="D135" s="60" t="s">
        <v>1</v>
      </c>
      <c r="E135" s="60" t="s">
        <v>18</v>
      </c>
      <c r="F135" s="60" t="s">
        <v>100</v>
      </c>
      <c r="G135" s="60" t="s">
        <v>100</v>
      </c>
      <c r="H135" s="60" t="s">
        <v>100</v>
      </c>
      <c r="I135" s="60" t="s">
        <v>722</v>
      </c>
      <c r="J135" s="60" t="s">
        <v>100</v>
      </c>
      <c r="K135" s="60" t="s">
        <v>100</v>
      </c>
      <c r="L135" s="60" t="s">
        <v>19</v>
      </c>
      <c r="M135" s="60">
        <v>3.75</v>
      </c>
      <c r="N135" s="60">
        <v>2.8</v>
      </c>
    </row>
    <row r="136" spans="1:15" ht="16.350000000000001" customHeight="1" x14ac:dyDescent="0.25">
      <c r="A136" s="71">
        <v>38</v>
      </c>
      <c r="B136" s="71">
        <v>19</v>
      </c>
      <c r="C136" s="60">
        <v>135</v>
      </c>
      <c r="D136" s="60" t="s">
        <v>1</v>
      </c>
      <c r="E136" s="60" t="s">
        <v>18</v>
      </c>
      <c r="F136" s="60" t="s">
        <v>100</v>
      </c>
      <c r="G136" s="60" t="s">
        <v>100</v>
      </c>
      <c r="H136" s="60" t="s">
        <v>100</v>
      </c>
      <c r="I136" s="60" t="s">
        <v>100</v>
      </c>
      <c r="J136" s="60" t="s">
        <v>730</v>
      </c>
      <c r="K136" s="60" t="s">
        <v>100</v>
      </c>
      <c r="L136" s="60" t="s">
        <v>19</v>
      </c>
      <c r="M136" s="60">
        <v>3.75</v>
      </c>
      <c r="N136" s="60">
        <v>2.8</v>
      </c>
    </row>
    <row r="137" spans="1:15" ht="16.350000000000001" customHeight="1" x14ac:dyDescent="0.25">
      <c r="A137" s="71">
        <v>38</v>
      </c>
      <c r="B137" s="71">
        <v>20</v>
      </c>
      <c r="C137" s="60">
        <v>136</v>
      </c>
      <c r="D137" s="60" t="s">
        <v>55</v>
      </c>
      <c r="E137" s="60" t="s">
        <v>759</v>
      </c>
      <c r="F137" s="60">
        <v>0</v>
      </c>
      <c r="G137" s="60">
        <v>16.399999999999999</v>
      </c>
      <c r="H137" s="60">
        <v>0</v>
      </c>
      <c r="I137" s="60">
        <v>1</v>
      </c>
      <c r="O137" s="72"/>
    </row>
    <row r="138" spans="1:15" ht="16.350000000000001" customHeight="1" x14ac:dyDescent="0.25">
      <c r="A138" s="71">
        <v>38</v>
      </c>
      <c r="B138" s="71">
        <v>21</v>
      </c>
      <c r="C138" s="60">
        <v>137</v>
      </c>
      <c r="D138" s="60" t="s">
        <v>695</v>
      </c>
      <c r="E138" s="60">
        <v>0.35</v>
      </c>
      <c r="F138" s="60">
        <v>80</v>
      </c>
      <c r="G138" s="60">
        <v>4</v>
      </c>
      <c r="H138" s="60">
        <v>5000</v>
      </c>
    </row>
    <row r="139" spans="1:15" ht="16.350000000000001" customHeight="1" x14ac:dyDescent="0.25">
      <c r="A139" s="71">
        <v>38</v>
      </c>
      <c r="B139" s="71">
        <v>22</v>
      </c>
      <c r="C139" s="60">
        <v>138</v>
      </c>
      <c r="D139" s="60" t="s">
        <v>49</v>
      </c>
      <c r="E139" s="60" t="s">
        <v>203</v>
      </c>
      <c r="F139" s="60">
        <v>2</v>
      </c>
    </row>
    <row r="140" spans="1:15" ht="16.350000000000001" customHeight="1" x14ac:dyDescent="0.25">
      <c r="A140" s="71">
        <v>38</v>
      </c>
      <c r="B140" s="71">
        <v>23</v>
      </c>
      <c r="C140" s="60">
        <v>139</v>
      </c>
      <c r="D140" s="60" t="s">
        <v>1</v>
      </c>
      <c r="E140" s="60" t="s">
        <v>18</v>
      </c>
      <c r="F140" s="60" t="s">
        <v>100</v>
      </c>
      <c r="G140" s="60" t="s">
        <v>100</v>
      </c>
      <c r="H140" s="60" t="s">
        <v>100</v>
      </c>
      <c r="I140" s="60" t="s">
        <v>100</v>
      </c>
      <c r="J140" s="60" t="s">
        <v>100</v>
      </c>
      <c r="K140" s="60">
        <v>18</v>
      </c>
      <c r="L140" s="60" t="s">
        <v>23</v>
      </c>
      <c r="M140" s="60">
        <v>3.75</v>
      </c>
      <c r="N140" s="60">
        <v>2.8</v>
      </c>
    </row>
    <row r="141" spans="1:15" ht="16.350000000000001" customHeight="1" x14ac:dyDescent="0.25">
      <c r="A141" s="71">
        <v>38</v>
      </c>
      <c r="B141" s="71">
        <v>24</v>
      </c>
      <c r="C141" s="60">
        <v>140</v>
      </c>
      <c r="D141" s="60" t="s">
        <v>172</v>
      </c>
      <c r="E141" s="60" t="s">
        <v>704</v>
      </c>
      <c r="F141" s="60">
        <v>155</v>
      </c>
      <c r="G141" s="60" t="s">
        <v>734</v>
      </c>
      <c r="H141" s="60">
        <v>0</v>
      </c>
      <c r="I141" s="60">
        <v>1</v>
      </c>
      <c r="J141" s="60">
        <v>1</v>
      </c>
      <c r="K141" s="60">
        <v>3.75</v>
      </c>
      <c r="L141" s="60">
        <v>2.8</v>
      </c>
    </row>
    <row r="142" spans="1:15" ht="16.350000000000001" customHeight="1" x14ac:dyDescent="0.25">
      <c r="A142" s="71">
        <v>38</v>
      </c>
      <c r="B142" s="71">
        <v>25</v>
      </c>
      <c r="C142" s="60">
        <v>141</v>
      </c>
      <c r="D142" s="60" t="s">
        <v>1</v>
      </c>
      <c r="E142" s="60" t="s">
        <v>18</v>
      </c>
      <c r="F142" s="60" t="s">
        <v>100</v>
      </c>
      <c r="G142" s="60" t="s">
        <v>100</v>
      </c>
      <c r="H142" s="60" t="s">
        <v>100</v>
      </c>
      <c r="I142" s="60">
        <v>275</v>
      </c>
      <c r="J142" s="60">
        <v>135</v>
      </c>
      <c r="K142" s="60">
        <v>18</v>
      </c>
      <c r="L142" s="60" t="s">
        <v>19</v>
      </c>
      <c r="M142" s="60">
        <v>3.75</v>
      </c>
      <c r="N142" s="60">
        <v>2.8</v>
      </c>
    </row>
    <row r="143" spans="1:15" ht="16.350000000000001" customHeight="1" x14ac:dyDescent="0.25">
      <c r="A143" s="71">
        <v>38</v>
      </c>
      <c r="B143" s="71">
        <v>26</v>
      </c>
      <c r="C143" s="60">
        <v>142</v>
      </c>
      <c r="D143" s="60" t="s">
        <v>1</v>
      </c>
      <c r="E143" s="60" t="s">
        <v>18</v>
      </c>
      <c r="F143" s="60" t="s">
        <v>100</v>
      </c>
      <c r="G143" s="60" t="s">
        <v>100</v>
      </c>
      <c r="H143" s="60" t="s">
        <v>100</v>
      </c>
      <c r="I143" s="60" t="s">
        <v>722</v>
      </c>
      <c r="J143" s="60" t="s">
        <v>100</v>
      </c>
      <c r="K143" s="60" t="s">
        <v>100</v>
      </c>
      <c r="L143" s="60" t="s">
        <v>19</v>
      </c>
      <c r="M143" s="60">
        <v>3.75</v>
      </c>
      <c r="N143" s="60">
        <v>2.8</v>
      </c>
    </row>
    <row r="144" spans="1:15" ht="16.350000000000001" customHeight="1" x14ac:dyDescent="0.25">
      <c r="A144" s="71">
        <v>38</v>
      </c>
      <c r="B144" s="71">
        <v>27</v>
      </c>
      <c r="C144" s="60">
        <v>143</v>
      </c>
      <c r="D144" s="60" t="s">
        <v>1</v>
      </c>
      <c r="E144" s="60" t="s">
        <v>18</v>
      </c>
      <c r="F144" s="60" t="s">
        <v>100</v>
      </c>
      <c r="G144" s="60" t="s">
        <v>100</v>
      </c>
      <c r="H144" s="60" t="s">
        <v>100</v>
      </c>
      <c r="I144" s="60" t="s">
        <v>100</v>
      </c>
      <c r="J144" s="60" t="s">
        <v>723</v>
      </c>
      <c r="K144" s="60" t="s">
        <v>100</v>
      </c>
      <c r="L144" s="60" t="s">
        <v>19</v>
      </c>
      <c r="M144" s="60">
        <v>3.75</v>
      </c>
      <c r="N144" s="60">
        <v>2.8</v>
      </c>
    </row>
    <row r="145" spans="1:15" ht="16.350000000000001" customHeight="1" x14ac:dyDescent="0.25">
      <c r="A145" s="71">
        <v>38</v>
      </c>
      <c r="B145" s="71">
        <v>28</v>
      </c>
      <c r="C145" s="60">
        <v>144</v>
      </c>
      <c r="D145" s="60" t="s">
        <v>1</v>
      </c>
      <c r="E145" s="60" t="s">
        <v>18</v>
      </c>
      <c r="F145" s="60" t="s">
        <v>100</v>
      </c>
      <c r="G145" s="60" t="s">
        <v>100</v>
      </c>
      <c r="H145" s="60" t="s">
        <v>100</v>
      </c>
      <c r="I145" s="60" t="s">
        <v>694</v>
      </c>
      <c r="J145" s="60" t="s">
        <v>100</v>
      </c>
      <c r="K145" s="60" t="s">
        <v>100</v>
      </c>
      <c r="L145" s="60" t="s">
        <v>19</v>
      </c>
      <c r="M145" s="60">
        <v>3.75</v>
      </c>
      <c r="N145" s="60">
        <v>2.8</v>
      </c>
    </row>
    <row r="146" spans="1:15" ht="16.350000000000001" customHeight="1" x14ac:dyDescent="0.25">
      <c r="A146" s="71">
        <v>38</v>
      </c>
      <c r="B146" s="71">
        <v>29</v>
      </c>
      <c r="C146" s="60">
        <v>145</v>
      </c>
      <c r="D146" s="60" t="s">
        <v>1</v>
      </c>
      <c r="E146" s="60" t="s">
        <v>18</v>
      </c>
      <c r="F146" s="60" t="s">
        <v>100</v>
      </c>
      <c r="G146" s="60" t="s">
        <v>100</v>
      </c>
      <c r="H146" s="60" t="s">
        <v>100</v>
      </c>
      <c r="I146" s="60" t="s">
        <v>100</v>
      </c>
      <c r="J146" s="60" t="s">
        <v>724</v>
      </c>
      <c r="K146" s="60" t="s">
        <v>100</v>
      </c>
      <c r="L146" s="60" t="s">
        <v>19</v>
      </c>
      <c r="M146" s="60">
        <v>3.75</v>
      </c>
      <c r="N146" s="60">
        <v>2.8</v>
      </c>
    </row>
    <row r="147" spans="1:15" ht="16.350000000000001" customHeight="1" x14ac:dyDescent="0.25">
      <c r="A147" s="71">
        <v>38</v>
      </c>
      <c r="B147" s="71">
        <v>30</v>
      </c>
      <c r="C147" s="60">
        <v>146</v>
      </c>
      <c r="D147" s="60" t="s">
        <v>55</v>
      </c>
      <c r="E147" s="60" t="s">
        <v>760</v>
      </c>
      <c r="F147" s="60">
        <v>0</v>
      </c>
      <c r="G147" s="60">
        <v>-16.399999999999999</v>
      </c>
      <c r="H147" s="60">
        <v>0</v>
      </c>
      <c r="I147" s="60">
        <v>1</v>
      </c>
    </row>
    <row r="148" spans="1:15" ht="16.350000000000001" customHeight="1" x14ac:dyDescent="0.25">
      <c r="A148" s="71">
        <v>38</v>
      </c>
      <c r="B148" s="71">
        <v>31</v>
      </c>
      <c r="C148" s="60">
        <v>147</v>
      </c>
      <c r="D148" s="60" t="s">
        <v>39</v>
      </c>
      <c r="E148" s="60">
        <v>0</v>
      </c>
      <c r="F148" s="60">
        <v>0</v>
      </c>
      <c r="G148" s="60">
        <v>2</v>
      </c>
      <c r="H148" s="60">
        <v>5000</v>
      </c>
      <c r="O148" s="72"/>
    </row>
    <row r="149" spans="1:15" ht="16.350000000000001" customHeight="1" x14ac:dyDescent="0.25">
      <c r="A149" s="71">
        <v>38</v>
      </c>
      <c r="B149" s="71">
        <v>32</v>
      </c>
      <c r="C149" s="60">
        <v>148</v>
      </c>
      <c r="D149" s="60" t="s">
        <v>1</v>
      </c>
      <c r="E149" s="60" t="s">
        <v>18</v>
      </c>
      <c r="F149" s="60" t="s">
        <v>100</v>
      </c>
      <c r="G149" s="60" t="s">
        <v>100</v>
      </c>
      <c r="H149" s="60" t="s">
        <v>100</v>
      </c>
      <c r="I149" s="60" t="s">
        <v>100</v>
      </c>
      <c r="J149" s="60" t="s">
        <v>737</v>
      </c>
      <c r="K149" s="60" t="s">
        <v>100</v>
      </c>
      <c r="L149" s="60" t="s">
        <v>19</v>
      </c>
      <c r="M149" s="60">
        <v>3.75</v>
      </c>
      <c r="N149" s="60">
        <v>2.8</v>
      </c>
    </row>
    <row r="150" spans="1:15" ht="16.350000000000001" customHeight="1" x14ac:dyDescent="0.25">
      <c r="A150" s="71">
        <v>38</v>
      </c>
      <c r="B150" s="71">
        <v>33</v>
      </c>
      <c r="C150" s="60">
        <v>149</v>
      </c>
      <c r="D150" s="60" t="s">
        <v>1</v>
      </c>
      <c r="E150" s="60" t="s">
        <v>18</v>
      </c>
      <c r="F150" s="60" t="s">
        <v>100</v>
      </c>
      <c r="G150" s="60" t="s">
        <v>100</v>
      </c>
      <c r="H150" s="60" t="s">
        <v>100</v>
      </c>
      <c r="I150" s="60" t="s">
        <v>722</v>
      </c>
      <c r="J150" s="60" t="s">
        <v>100</v>
      </c>
      <c r="K150" s="60" t="s">
        <v>100</v>
      </c>
      <c r="L150" s="60" t="s">
        <v>19</v>
      </c>
      <c r="M150" s="60">
        <v>3.75</v>
      </c>
      <c r="N150" s="60">
        <v>2.8</v>
      </c>
    </row>
    <row r="151" spans="1:15" ht="16.350000000000001" customHeight="1" x14ac:dyDescent="0.25">
      <c r="A151" s="71">
        <v>38</v>
      </c>
      <c r="B151" s="71">
        <v>34</v>
      </c>
      <c r="C151" s="60">
        <v>150</v>
      </c>
      <c r="D151" s="60" t="s">
        <v>1</v>
      </c>
      <c r="E151" s="60" t="s">
        <v>18</v>
      </c>
      <c r="F151" s="60" t="s">
        <v>100</v>
      </c>
      <c r="G151" s="60" t="s">
        <v>100</v>
      </c>
      <c r="H151" s="60" t="s">
        <v>100</v>
      </c>
      <c r="I151" s="60" t="s">
        <v>100</v>
      </c>
      <c r="J151" s="60" t="s">
        <v>364</v>
      </c>
      <c r="K151" s="60" t="s">
        <v>100</v>
      </c>
      <c r="L151" s="60" t="s">
        <v>19</v>
      </c>
      <c r="M151" s="60">
        <v>3.75</v>
      </c>
      <c r="N151" s="60">
        <v>2.8</v>
      </c>
    </row>
    <row r="152" spans="1:15" ht="16.350000000000001" customHeight="1" x14ac:dyDescent="0.25">
      <c r="A152" s="71">
        <v>38</v>
      </c>
      <c r="B152" s="71">
        <v>35</v>
      </c>
      <c r="C152" s="60">
        <v>151</v>
      </c>
      <c r="D152" s="60" t="s">
        <v>1</v>
      </c>
      <c r="E152" s="60" t="s">
        <v>18</v>
      </c>
      <c r="F152" s="60" t="s">
        <v>100</v>
      </c>
      <c r="G152" s="60" t="s">
        <v>100</v>
      </c>
      <c r="H152" s="60" t="s">
        <v>100</v>
      </c>
      <c r="I152" s="60" t="s">
        <v>694</v>
      </c>
      <c r="J152" s="60" t="s">
        <v>100</v>
      </c>
      <c r="K152" s="60" t="s">
        <v>100</v>
      </c>
      <c r="L152" s="60" t="s">
        <v>19</v>
      </c>
      <c r="M152" s="60">
        <v>3.75</v>
      </c>
      <c r="N152" s="60">
        <v>2.8</v>
      </c>
    </row>
    <row r="153" spans="1:15" ht="16.350000000000001" customHeight="1" x14ac:dyDescent="0.25">
      <c r="A153" s="71">
        <v>38</v>
      </c>
      <c r="B153" s="71">
        <v>36</v>
      </c>
      <c r="C153" s="60">
        <v>152</v>
      </c>
      <c r="D153" s="60" t="s">
        <v>55</v>
      </c>
      <c r="E153" s="60" t="s">
        <v>761</v>
      </c>
      <c r="F153" s="60">
        <v>0</v>
      </c>
      <c r="G153" s="60">
        <v>16.399999999999999</v>
      </c>
      <c r="H153" s="60">
        <v>0</v>
      </c>
      <c r="I153" s="60">
        <v>1</v>
      </c>
    </row>
    <row r="154" spans="1:15" ht="16.350000000000001" customHeight="1" x14ac:dyDescent="0.25">
      <c r="A154" s="71">
        <v>38</v>
      </c>
      <c r="B154" s="71">
        <v>37</v>
      </c>
      <c r="C154" s="60">
        <v>153</v>
      </c>
      <c r="D154" s="60" t="s">
        <v>39</v>
      </c>
      <c r="E154" s="60">
        <v>0</v>
      </c>
      <c r="F154" s="60">
        <v>0</v>
      </c>
      <c r="G154" s="60">
        <v>4</v>
      </c>
      <c r="H154" s="60">
        <v>5000</v>
      </c>
    </row>
    <row r="155" spans="1:15" ht="16.350000000000001" customHeight="1" x14ac:dyDescent="0.25">
      <c r="A155" s="71">
        <v>38</v>
      </c>
      <c r="B155" s="71">
        <v>9</v>
      </c>
      <c r="C155" s="60">
        <v>154</v>
      </c>
      <c r="D155" s="60" t="s">
        <v>49</v>
      </c>
      <c r="E155" s="60" t="s">
        <v>203</v>
      </c>
      <c r="F155" s="60">
        <v>3</v>
      </c>
    </row>
    <row r="156" spans="1:15" ht="16.350000000000001" customHeight="1" x14ac:dyDescent="0.25">
      <c r="A156" s="71">
        <v>38</v>
      </c>
      <c r="B156" s="71">
        <v>10</v>
      </c>
      <c r="C156" s="60">
        <v>155</v>
      </c>
      <c r="D156" s="60" t="s">
        <v>1</v>
      </c>
      <c r="E156" s="60" t="s">
        <v>18</v>
      </c>
      <c r="F156" s="60">
        <v>140</v>
      </c>
      <c r="G156" s="60">
        <v>140</v>
      </c>
      <c r="H156" s="60">
        <v>20.000000000099998</v>
      </c>
      <c r="I156" s="60" t="s">
        <v>100</v>
      </c>
      <c r="J156" s="60" t="s">
        <v>726</v>
      </c>
      <c r="K156" s="60" t="s">
        <v>100</v>
      </c>
      <c r="L156" s="60" t="s">
        <v>19</v>
      </c>
      <c r="M156" s="60">
        <v>3.75</v>
      </c>
      <c r="N156" s="60">
        <v>2.8</v>
      </c>
    </row>
    <row r="157" spans="1:15" ht="16.350000000000001" customHeight="1" x14ac:dyDescent="0.25">
      <c r="A157" s="71">
        <v>38</v>
      </c>
      <c r="B157" s="71">
        <v>11</v>
      </c>
      <c r="C157" s="60">
        <v>156</v>
      </c>
      <c r="D157" s="60" t="s">
        <v>1</v>
      </c>
      <c r="E157" s="60" t="s">
        <v>18</v>
      </c>
      <c r="F157" s="60" t="s">
        <v>100</v>
      </c>
      <c r="G157" s="60" t="s">
        <v>100</v>
      </c>
      <c r="H157" s="60" t="s">
        <v>100</v>
      </c>
      <c r="I157" s="60" t="s">
        <v>694</v>
      </c>
      <c r="J157" s="60" t="s">
        <v>100</v>
      </c>
      <c r="K157" s="60" t="s">
        <v>100</v>
      </c>
      <c r="L157" s="60" t="s">
        <v>19</v>
      </c>
      <c r="M157" s="60">
        <v>3.75</v>
      </c>
      <c r="N157" s="60">
        <v>2.8</v>
      </c>
    </row>
    <row r="158" spans="1:15" ht="16.350000000000001" customHeight="1" x14ac:dyDescent="0.25">
      <c r="A158" s="71">
        <v>38</v>
      </c>
      <c r="B158" s="71">
        <v>12</v>
      </c>
      <c r="C158" s="60">
        <v>157</v>
      </c>
      <c r="D158" s="60" t="s">
        <v>1</v>
      </c>
      <c r="E158" s="60" t="s">
        <v>18</v>
      </c>
      <c r="F158" s="60" t="s">
        <v>100</v>
      </c>
      <c r="G158" s="60" t="s">
        <v>100</v>
      </c>
      <c r="H158" s="60" t="s">
        <v>100</v>
      </c>
      <c r="I158" s="60" t="s">
        <v>100</v>
      </c>
      <c r="J158" s="60" t="s">
        <v>727</v>
      </c>
      <c r="K158" s="60" t="s">
        <v>100</v>
      </c>
      <c r="L158" s="60" t="s">
        <v>19</v>
      </c>
      <c r="M158" s="60">
        <v>3.75</v>
      </c>
      <c r="N158" s="60">
        <v>2.8</v>
      </c>
    </row>
    <row r="159" spans="1:15" ht="16.350000000000001" customHeight="1" x14ac:dyDescent="0.25">
      <c r="A159" s="71">
        <v>38</v>
      </c>
      <c r="B159" s="71">
        <v>13</v>
      </c>
      <c r="C159" s="60">
        <v>158</v>
      </c>
      <c r="D159" s="60" t="s">
        <v>1</v>
      </c>
      <c r="E159" s="60" t="s">
        <v>18</v>
      </c>
      <c r="F159" s="60" t="s">
        <v>100</v>
      </c>
      <c r="G159" s="60" t="s">
        <v>100</v>
      </c>
      <c r="H159" s="60" t="s">
        <v>100</v>
      </c>
      <c r="I159" s="60" t="s">
        <v>722</v>
      </c>
      <c r="J159" s="60" t="s">
        <v>100</v>
      </c>
      <c r="K159" s="60" t="s">
        <v>100</v>
      </c>
      <c r="L159" s="60" t="s">
        <v>19</v>
      </c>
      <c r="M159" s="60">
        <v>3.75</v>
      </c>
      <c r="N159" s="60">
        <v>2.8</v>
      </c>
      <c r="O159" s="72"/>
    </row>
    <row r="160" spans="1:15" ht="16.350000000000001" customHeight="1" x14ac:dyDescent="0.25">
      <c r="A160" s="71">
        <v>38</v>
      </c>
      <c r="B160" s="71">
        <v>14</v>
      </c>
      <c r="C160" s="60">
        <v>159</v>
      </c>
      <c r="D160" s="60" t="s">
        <v>55</v>
      </c>
      <c r="E160" s="60" t="s">
        <v>762</v>
      </c>
      <c r="F160" s="60">
        <v>0</v>
      </c>
      <c r="G160" s="60">
        <v>-16.399999999999999</v>
      </c>
      <c r="H160" s="60">
        <v>0</v>
      </c>
      <c r="I160" s="60">
        <v>1</v>
      </c>
    </row>
    <row r="161" spans="1:15" ht="16.350000000000001" customHeight="1" x14ac:dyDescent="0.25">
      <c r="A161" s="71">
        <v>38</v>
      </c>
      <c r="B161" s="71">
        <v>15</v>
      </c>
      <c r="C161" s="60">
        <v>160</v>
      </c>
      <c r="D161" s="60" t="s">
        <v>39</v>
      </c>
      <c r="E161" s="60">
        <v>0</v>
      </c>
      <c r="F161" s="60">
        <v>0</v>
      </c>
      <c r="G161" s="60">
        <v>2</v>
      </c>
      <c r="H161" s="60">
        <v>5000</v>
      </c>
    </row>
    <row r="162" spans="1:15" ht="16.350000000000001" customHeight="1" x14ac:dyDescent="0.25">
      <c r="A162" s="71">
        <v>38</v>
      </c>
      <c r="B162" s="71">
        <v>16</v>
      </c>
      <c r="C162" s="60">
        <v>161</v>
      </c>
      <c r="D162" s="60" t="s">
        <v>1</v>
      </c>
      <c r="E162" s="60" t="s">
        <v>18</v>
      </c>
      <c r="F162" s="60" t="s">
        <v>100</v>
      </c>
      <c r="G162" s="60" t="s">
        <v>100</v>
      </c>
      <c r="H162" s="60" t="s">
        <v>100</v>
      </c>
      <c r="I162" s="60" t="s">
        <v>694</v>
      </c>
      <c r="J162" s="60" t="s">
        <v>100</v>
      </c>
      <c r="K162" s="60" t="s">
        <v>100</v>
      </c>
      <c r="L162" s="60" t="s">
        <v>19</v>
      </c>
      <c r="M162" s="60">
        <v>3.75</v>
      </c>
      <c r="N162" s="60">
        <v>2.8</v>
      </c>
    </row>
    <row r="163" spans="1:15" ht="16.350000000000001" customHeight="1" x14ac:dyDescent="0.25">
      <c r="A163" s="71">
        <v>38</v>
      </c>
      <c r="B163" s="71">
        <v>17</v>
      </c>
      <c r="C163" s="60">
        <v>162</v>
      </c>
      <c r="D163" s="60" t="s">
        <v>1</v>
      </c>
      <c r="E163" s="60" t="s">
        <v>18</v>
      </c>
      <c r="F163" s="60" t="s">
        <v>100</v>
      </c>
      <c r="G163" s="60" t="s">
        <v>100</v>
      </c>
      <c r="H163" s="60" t="s">
        <v>100</v>
      </c>
      <c r="I163" s="60" t="s">
        <v>100</v>
      </c>
      <c r="J163" s="60" t="s">
        <v>729</v>
      </c>
      <c r="K163" s="60" t="s">
        <v>100</v>
      </c>
      <c r="L163" s="60" t="s">
        <v>19</v>
      </c>
      <c r="M163" s="60">
        <v>3.75</v>
      </c>
      <c r="N163" s="60">
        <v>2.8</v>
      </c>
    </row>
    <row r="164" spans="1:15" ht="16.350000000000001" customHeight="1" x14ac:dyDescent="0.25">
      <c r="A164" s="71">
        <v>38</v>
      </c>
      <c r="B164" s="71">
        <v>18</v>
      </c>
      <c r="C164" s="60">
        <v>163</v>
      </c>
      <c r="D164" s="60" t="s">
        <v>1</v>
      </c>
      <c r="E164" s="60" t="s">
        <v>18</v>
      </c>
      <c r="F164" s="60" t="s">
        <v>100</v>
      </c>
      <c r="G164" s="60" t="s">
        <v>100</v>
      </c>
      <c r="H164" s="60" t="s">
        <v>100</v>
      </c>
      <c r="I164" s="60" t="s">
        <v>722</v>
      </c>
      <c r="J164" s="60" t="s">
        <v>100</v>
      </c>
      <c r="K164" s="60" t="s">
        <v>100</v>
      </c>
      <c r="L164" s="60" t="s">
        <v>19</v>
      </c>
      <c r="M164" s="60">
        <v>3.75</v>
      </c>
      <c r="N164" s="60">
        <v>2.8</v>
      </c>
    </row>
    <row r="165" spans="1:15" ht="16.350000000000001" customHeight="1" x14ac:dyDescent="0.25">
      <c r="A165" s="71">
        <v>38</v>
      </c>
      <c r="B165" s="71">
        <v>19</v>
      </c>
      <c r="C165" s="60">
        <v>164</v>
      </c>
      <c r="D165" s="60" t="s">
        <v>1</v>
      </c>
      <c r="E165" s="60" t="s">
        <v>18</v>
      </c>
      <c r="F165" s="60" t="s">
        <v>100</v>
      </c>
      <c r="G165" s="60" t="s">
        <v>100</v>
      </c>
      <c r="H165" s="60" t="s">
        <v>100</v>
      </c>
      <c r="I165" s="60" t="s">
        <v>100</v>
      </c>
      <c r="J165" s="60" t="s">
        <v>730</v>
      </c>
      <c r="K165" s="60" t="s">
        <v>100</v>
      </c>
      <c r="L165" s="60" t="s">
        <v>19</v>
      </c>
      <c r="M165" s="60">
        <v>3.75</v>
      </c>
      <c r="N165" s="60">
        <v>2.8</v>
      </c>
    </row>
    <row r="166" spans="1:15" ht="16.350000000000001" customHeight="1" x14ac:dyDescent="0.25">
      <c r="A166" s="71">
        <v>38</v>
      </c>
      <c r="B166" s="71">
        <v>20</v>
      </c>
      <c r="C166" s="60">
        <v>165</v>
      </c>
      <c r="D166" s="60" t="s">
        <v>55</v>
      </c>
      <c r="E166" s="60" t="s">
        <v>763</v>
      </c>
      <c r="F166" s="60">
        <v>0</v>
      </c>
      <c r="G166" s="60">
        <v>16.399999999999999</v>
      </c>
      <c r="H166" s="60">
        <v>0</v>
      </c>
      <c r="I166" s="60">
        <v>1</v>
      </c>
    </row>
    <row r="167" spans="1:15" ht="16.350000000000001" customHeight="1" x14ac:dyDescent="0.25">
      <c r="A167" s="71">
        <v>38</v>
      </c>
      <c r="B167" s="71">
        <v>21</v>
      </c>
      <c r="C167" s="60">
        <v>166</v>
      </c>
      <c r="D167" s="60" t="s">
        <v>695</v>
      </c>
      <c r="E167" s="60">
        <v>0.35</v>
      </c>
      <c r="F167" s="60">
        <v>80</v>
      </c>
      <c r="G167" s="60">
        <v>4</v>
      </c>
      <c r="H167" s="60">
        <v>5000</v>
      </c>
    </row>
    <row r="168" spans="1:15" ht="16.350000000000001" customHeight="1" x14ac:dyDescent="0.25">
      <c r="A168" s="71">
        <v>38</v>
      </c>
      <c r="B168" s="71">
        <v>22</v>
      </c>
      <c r="C168" s="60">
        <v>167</v>
      </c>
      <c r="D168" s="60" t="s">
        <v>49</v>
      </c>
      <c r="E168" s="60" t="s">
        <v>203</v>
      </c>
      <c r="F168" s="60">
        <v>2</v>
      </c>
    </row>
    <row r="169" spans="1:15" ht="16.350000000000001" customHeight="1" x14ac:dyDescent="0.25">
      <c r="A169" s="71">
        <v>38</v>
      </c>
      <c r="B169" s="71">
        <v>23</v>
      </c>
      <c r="C169" s="60">
        <v>168</v>
      </c>
      <c r="D169" s="60" t="s">
        <v>1</v>
      </c>
      <c r="E169" s="60" t="s">
        <v>18</v>
      </c>
      <c r="F169" s="60" t="s">
        <v>100</v>
      </c>
      <c r="G169" s="60" t="s">
        <v>100</v>
      </c>
      <c r="H169" s="60" t="s">
        <v>100</v>
      </c>
      <c r="I169" s="60" t="s">
        <v>100</v>
      </c>
      <c r="J169" s="60" t="s">
        <v>100</v>
      </c>
      <c r="K169" s="60">
        <v>22</v>
      </c>
      <c r="L169" s="60" t="s">
        <v>23</v>
      </c>
      <c r="M169" s="60">
        <v>3.75</v>
      </c>
      <c r="N169" s="60">
        <v>2.8</v>
      </c>
    </row>
    <row r="170" spans="1:15" ht="16.350000000000001" customHeight="1" x14ac:dyDescent="0.25">
      <c r="A170" s="71">
        <v>38</v>
      </c>
      <c r="B170" s="71">
        <v>24</v>
      </c>
      <c r="C170" s="60">
        <v>169</v>
      </c>
      <c r="D170" s="60" t="s">
        <v>172</v>
      </c>
      <c r="E170" s="60" t="s">
        <v>704</v>
      </c>
      <c r="F170" s="60">
        <v>155</v>
      </c>
      <c r="G170" s="60" t="s">
        <v>736</v>
      </c>
      <c r="H170" s="60">
        <v>0</v>
      </c>
      <c r="I170" s="60">
        <v>1</v>
      </c>
      <c r="J170" s="60">
        <v>1</v>
      </c>
      <c r="K170" s="60">
        <v>3.75</v>
      </c>
      <c r="L170" s="60">
        <v>2.8</v>
      </c>
      <c r="O170" s="72"/>
    </row>
    <row r="171" spans="1:15" ht="16.350000000000001" customHeight="1" x14ac:dyDescent="0.25">
      <c r="A171" s="71">
        <v>38</v>
      </c>
      <c r="B171" s="71">
        <v>25</v>
      </c>
      <c r="C171" s="60">
        <v>170</v>
      </c>
      <c r="D171" s="60" t="s">
        <v>1</v>
      </c>
      <c r="E171" s="60" t="s">
        <v>18</v>
      </c>
      <c r="F171" s="60" t="s">
        <v>100</v>
      </c>
      <c r="G171" s="60" t="s">
        <v>100</v>
      </c>
      <c r="H171" s="60" t="s">
        <v>100</v>
      </c>
      <c r="I171" s="60">
        <v>275</v>
      </c>
      <c r="J171" s="60">
        <v>135</v>
      </c>
      <c r="K171" s="60">
        <v>22</v>
      </c>
      <c r="L171" s="60" t="s">
        <v>19</v>
      </c>
      <c r="M171" s="60">
        <v>3.75</v>
      </c>
      <c r="N171" s="60">
        <v>2.8</v>
      </c>
    </row>
    <row r="172" spans="1:15" ht="16.350000000000001" customHeight="1" x14ac:dyDescent="0.25">
      <c r="A172" s="71">
        <v>38</v>
      </c>
      <c r="B172" s="71">
        <v>26</v>
      </c>
      <c r="C172" s="60">
        <v>171</v>
      </c>
      <c r="D172" s="60" t="s">
        <v>1</v>
      </c>
      <c r="E172" s="60" t="s">
        <v>18</v>
      </c>
      <c r="F172" s="60" t="s">
        <v>100</v>
      </c>
      <c r="G172" s="60" t="s">
        <v>100</v>
      </c>
      <c r="H172" s="60" t="s">
        <v>100</v>
      </c>
      <c r="I172" s="60" t="s">
        <v>722</v>
      </c>
      <c r="J172" s="60" t="s">
        <v>100</v>
      </c>
      <c r="K172" s="60" t="s">
        <v>100</v>
      </c>
      <c r="L172" s="60" t="s">
        <v>19</v>
      </c>
      <c r="M172" s="60">
        <v>3.75</v>
      </c>
      <c r="N172" s="60">
        <v>2.8</v>
      </c>
    </row>
    <row r="173" spans="1:15" ht="16.350000000000001" customHeight="1" x14ac:dyDescent="0.25">
      <c r="A173" s="71">
        <v>38</v>
      </c>
      <c r="B173" s="71">
        <v>27</v>
      </c>
      <c r="C173" s="60">
        <v>172</v>
      </c>
      <c r="D173" s="60" t="s">
        <v>1</v>
      </c>
      <c r="E173" s="60" t="s">
        <v>18</v>
      </c>
      <c r="F173" s="60" t="s">
        <v>100</v>
      </c>
      <c r="G173" s="60" t="s">
        <v>100</v>
      </c>
      <c r="H173" s="60" t="s">
        <v>100</v>
      </c>
      <c r="I173" s="60" t="s">
        <v>100</v>
      </c>
      <c r="J173" s="60" t="s">
        <v>723</v>
      </c>
      <c r="K173" s="60" t="s">
        <v>100</v>
      </c>
      <c r="L173" s="60" t="s">
        <v>19</v>
      </c>
      <c r="M173" s="60">
        <v>3.75</v>
      </c>
      <c r="N173" s="60">
        <v>2.8</v>
      </c>
    </row>
    <row r="174" spans="1:15" ht="16.350000000000001" customHeight="1" x14ac:dyDescent="0.25">
      <c r="A174" s="71">
        <v>38</v>
      </c>
      <c r="B174" s="71">
        <v>28</v>
      </c>
      <c r="C174" s="60">
        <v>173</v>
      </c>
      <c r="D174" s="60" t="s">
        <v>1</v>
      </c>
      <c r="E174" s="60" t="s">
        <v>18</v>
      </c>
      <c r="F174" s="60" t="s">
        <v>100</v>
      </c>
      <c r="G174" s="60" t="s">
        <v>100</v>
      </c>
      <c r="H174" s="60" t="s">
        <v>100</v>
      </c>
      <c r="I174" s="60" t="s">
        <v>694</v>
      </c>
      <c r="J174" s="60" t="s">
        <v>100</v>
      </c>
      <c r="K174" s="60" t="s">
        <v>100</v>
      </c>
      <c r="L174" s="60" t="s">
        <v>19</v>
      </c>
      <c r="M174" s="60">
        <v>3.75</v>
      </c>
      <c r="N174" s="60">
        <v>2.8</v>
      </c>
    </row>
    <row r="175" spans="1:15" ht="16.350000000000001" customHeight="1" x14ac:dyDescent="0.25">
      <c r="A175" s="71">
        <v>38</v>
      </c>
      <c r="B175" s="71">
        <v>29</v>
      </c>
      <c r="C175" s="60">
        <v>174</v>
      </c>
      <c r="D175" s="60" t="s">
        <v>1</v>
      </c>
      <c r="E175" s="60" t="s">
        <v>18</v>
      </c>
      <c r="F175" s="60" t="s">
        <v>100</v>
      </c>
      <c r="G175" s="60" t="s">
        <v>100</v>
      </c>
      <c r="H175" s="60" t="s">
        <v>100</v>
      </c>
      <c r="I175" s="60" t="s">
        <v>100</v>
      </c>
      <c r="J175" s="60" t="s">
        <v>724</v>
      </c>
      <c r="K175" s="60" t="s">
        <v>100</v>
      </c>
      <c r="L175" s="60" t="s">
        <v>19</v>
      </c>
      <c r="M175" s="60">
        <v>3.75</v>
      </c>
      <c r="N175" s="60">
        <v>2.8</v>
      </c>
    </row>
    <row r="176" spans="1:15" ht="16.350000000000001" customHeight="1" x14ac:dyDescent="0.25">
      <c r="A176" s="71">
        <v>38</v>
      </c>
      <c r="B176" s="71">
        <v>30</v>
      </c>
      <c r="C176" s="60">
        <v>175</v>
      </c>
      <c r="D176" s="60" t="s">
        <v>55</v>
      </c>
      <c r="E176" s="60" t="s">
        <v>735</v>
      </c>
      <c r="F176" s="60">
        <v>0</v>
      </c>
      <c r="G176" s="60">
        <v>-16.399999999999999</v>
      </c>
      <c r="H176" s="60">
        <v>0</v>
      </c>
      <c r="I176" s="60">
        <v>1</v>
      </c>
    </row>
    <row r="177" spans="1:15" ht="16.350000000000001" customHeight="1" x14ac:dyDescent="0.25">
      <c r="A177" s="71">
        <v>38</v>
      </c>
      <c r="B177" s="71">
        <v>31</v>
      </c>
      <c r="C177" s="60">
        <v>176</v>
      </c>
      <c r="D177" s="60" t="s">
        <v>39</v>
      </c>
      <c r="E177" s="60">
        <v>0</v>
      </c>
      <c r="F177" s="60">
        <v>0</v>
      </c>
      <c r="G177" s="60">
        <v>2</v>
      </c>
      <c r="H177" s="60">
        <v>5000</v>
      </c>
    </row>
    <row r="178" spans="1:15" ht="16.350000000000001" customHeight="1" x14ac:dyDescent="0.25">
      <c r="A178" s="71">
        <v>38</v>
      </c>
      <c r="B178" s="71">
        <v>32</v>
      </c>
      <c r="C178" s="60">
        <v>177</v>
      </c>
      <c r="D178" s="60" t="s">
        <v>1</v>
      </c>
      <c r="E178" s="60" t="s">
        <v>18</v>
      </c>
      <c r="F178" s="60" t="s">
        <v>100</v>
      </c>
      <c r="G178" s="60" t="s">
        <v>100</v>
      </c>
      <c r="H178" s="60" t="s">
        <v>100</v>
      </c>
      <c r="I178" s="60" t="s">
        <v>100</v>
      </c>
      <c r="J178" s="60" t="s">
        <v>737</v>
      </c>
      <c r="K178" s="60" t="s">
        <v>100</v>
      </c>
      <c r="L178" s="60" t="s">
        <v>19</v>
      </c>
      <c r="M178" s="60">
        <v>3.75</v>
      </c>
      <c r="N178" s="60">
        <v>2.8</v>
      </c>
    </row>
    <row r="179" spans="1:15" ht="16.350000000000001" customHeight="1" x14ac:dyDescent="0.25">
      <c r="A179" s="71">
        <v>38</v>
      </c>
      <c r="B179" s="71">
        <v>33</v>
      </c>
      <c r="C179" s="60">
        <v>178</v>
      </c>
      <c r="D179" s="60" t="s">
        <v>1</v>
      </c>
      <c r="E179" s="60" t="s">
        <v>18</v>
      </c>
      <c r="F179" s="60" t="s">
        <v>100</v>
      </c>
      <c r="G179" s="60" t="s">
        <v>100</v>
      </c>
      <c r="H179" s="60" t="s">
        <v>100</v>
      </c>
      <c r="I179" s="60" t="s">
        <v>722</v>
      </c>
      <c r="J179" s="60" t="s">
        <v>100</v>
      </c>
      <c r="K179" s="60" t="s">
        <v>100</v>
      </c>
      <c r="L179" s="60" t="s">
        <v>19</v>
      </c>
      <c r="M179" s="60">
        <v>3.75</v>
      </c>
      <c r="N179" s="60">
        <v>2.8</v>
      </c>
    </row>
    <row r="180" spans="1:15" ht="16.350000000000001" customHeight="1" x14ac:dyDescent="0.25">
      <c r="A180" s="71">
        <v>38</v>
      </c>
      <c r="B180" s="71">
        <v>34</v>
      </c>
      <c r="C180" s="60">
        <v>179</v>
      </c>
      <c r="D180" s="60" t="s">
        <v>1</v>
      </c>
      <c r="E180" s="60" t="s">
        <v>18</v>
      </c>
      <c r="F180" s="60" t="s">
        <v>100</v>
      </c>
      <c r="G180" s="60" t="s">
        <v>100</v>
      </c>
      <c r="H180" s="60" t="s">
        <v>100</v>
      </c>
      <c r="I180" s="60" t="s">
        <v>100</v>
      </c>
      <c r="J180" s="60" t="s">
        <v>364</v>
      </c>
      <c r="K180" s="60" t="s">
        <v>100</v>
      </c>
      <c r="L180" s="60" t="s">
        <v>19</v>
      </c>
      <c r="M180" s="60">
        <v>3.75</v>
      </c>
      <c r="N180" s="60">
        <v>2.8</v>
      </c>
    </row>
    <row r="181" spans="1:15" ht="16.350000000000001" customHeight="1" x14ac:dyDescent="0.25">
      <c r="A181" s="71">
        <v>38</v>
      </c>
      <c r="B181" s="71">
        <v>35</v>
      </c>
      <c r="C181" s="60">
        <v>180</v>
      </c>
      <c r="D181" s="60" t="s">
        <v>1</v>
      </c>
      <c r="E181" s="60" t="s">
        <v>18</v>
      </c>
      <c r="F181" s="60" t="s">
        <v>100</v>
      </c>
      <c r="G181" s="60" t="s">
        <v>100</v>
      </c>
      <c r="H181" s="60" t="s">
        <v>100</v>
      </c>
      <c r="I181" s="60" t="s">
        <v>694</v>
      </c>
      <c r="J181" s="60" t="s">
        <v>100</v>
      </c>
      <c r="K181" s="60" t="s">
        <v>100</v>
      </c>
      <c r="L181" s="60" t="s">
        <v>19</v>
      </c>
      <c r="M181" s="60">
        <v>3.75</v>
      </c>
      <c r="N181" s="60">
        <v>2.8</v>
      </c>
      <c r="O181" s="72"/>
    </row>
    <row r="182" spans="1:15" ht="16.350000000000001" customHeight="1" x14ac:dyDescent="0.25">
      <c r="A182" s="71">
        <v>38</v>
      </c>
      <c r="B182" s="71">
        <v>36</v>
      </c>
      <c r="C182" s="60">
        <v>181</v>
      </c>
      <c r="D182" s="60" t="s">
        <v>55</v>
      </c>
      <c r="E182" s="60" t="s">
        <v>764</v>
      </c>
      <c r="F182" s="60">
        <v>0</v>
      </c>
      <c r="G182" s="60">
        <v>16.399999999999999</v>
      </c>
      <c r="H182" s="60">
        <v>0</v>
      </c>
      <c r="I182" s="60">
        <v>1</v>
      </c>
    </row>
    <row r="183" spans="1:15" ht="16.350000000000001" customHeight="1" x14ac:dyDescent="0.25">
      <c r="A183" s="71">
        <v>38</v>
      </c>
      <c r="B183" s="71">
        <v>37</v>
      </c>
      <c r="C183" s="60">
        <v>182</v>
      </c>
      <c r="D183" s="60" t="s">
        <v>39</v>
      </c>
      <c r="E183" s="60">
        <v>0</v>
      </c>
      <c r="F183" s="60">
        <v>0</v>
      </c>
      <c r="G183" s="60">
        <v>4</v>
      </c>
      <c r="H183" s="60">
        <v>5000</v>
      </c>
    </row>
    <row r="184" spans="1:15" ht="16.350000000000001" customHeight="1" x14ac:dyDescent="0.25">
      <c r="A184" s="71">
        <v>38</v>
      </c>
      <c r="B184" s="71">
        <v>9</v>
      </c>
      <c r="C184" s="60">
        <v>183</v>
      </c>
      <c r="D184" s="60" t="s">
        <v>49</v>
      </c>
      <c r="E184" s="60" t="s">
        <v>203</v>
      </c>
      <c r="F184" s="60">
        <v>3</v>
      </c>
    </row>
    <row r="185" spans="1:15" ht="16.350000000000001" customHeight="1" x14ac:dyDescent="0.25">
      <c r="A185" s="71">
        <v>38</v>
      </c>
      <c r="B185" s="71">
        <v>10</v>
      </c>
      <c r="C185" s="60">
        <v>184</v>
      </c>
      <c r="D185" s="60" t="s">
        <v>1</v>
      </c>
      <c r="E185" s="60" t="s">
        <v>18</v>
      </c>
      <c r="F185" s="60">
        <v>140</v>
      </c>
      <c r="G185" s="60">
        <v>140</v>
      </c>
      <c r="H185" s="60">
        <v>24.000000000099998</v>
      </c>
      <c r="I185" s="60" t="s">
        <v>100</v>
      </c>
      <c r="J185" s="60" t="s">
        <v>726</v>
      </c>
      <c r="K185" s="60" t="s">
        <v>100</v>
      </c>
      <c r="L185" s="60" t="s">
        <v>19</v>
      </c>
      <c r="M185" s="60">
        <v>3.75</v>
      </c>
      <c r="N185" s="60">
        <v>2.8</v>
      </c>
    </row>
    <row r="186" spans="1:15" ht="16.350000000000001" customHeight="1" x14ac:dyDescent="0.25">
      <c r="A186" s="71">
        <v>38</v>
      </c>
      <c r="B186" s="71">
        <v>11</v>
      </c>
      <c r="C186" s="60">
        <v>185</v>
      </c>
      <c r="D186" s="60" t="s">
        <v>1</v>
      </c>
      <c r="E186" s="60" t="s">
        <v>18</v>
      </c>
      <c r="F186" s="60" t="s">
        <v>100</v>
      </c>
      <c r="G186" s="60" t="s">
        <v>100</v>
      </c>
      <c r="H186" s="60" t="s">
        <v>100</v>
      </c>
      <c r="I186" s="60" t="s">
        <v>694</v>
      </c>
      <c r="J186" s="60" t="s">
        <v>100</v>
      </c>
      <c r="K186" s="60" t="s">
        <v>100</v>
      </c>
      <c r="L186" s="60" t="s">
        <v>19</v>
      </c>
      <c r="M186" s="60">
        <v>3.75</v>
      </c>
      <c r="N186" s="60">
        <v>2.8</v>
      </c>
    </row>
    <row r="187" spans="1:15" ht="16.350000000000001" customHeight="1" x14ac:dyDescent="0.25">
      <c r="A187" s="71">
        <v>38</v>
      </c>
      <c r="B187" s="71">
        <v>12</v>
      </c>
      <c r="C187" s="60">
        <v>186</v>
      </c>
      <c r="D187" s="60" t="s">
        <v>1</v>
      </c>
      <c r="E187" s="60" t="s">
        <v>18</v>
      </c>
      <c r="F187" s="60" t="s">
        <v>100</v>
      </c>
      <c r="G187" s="60" t="s">
        <v>100</v>
      </c>
      <c r="H187" s="60" t="s">
        <v>100</v>
      </c>
      <c r="I187" s="60" t="s">
        <v>100</v>
      </c>
      <c r="J187" s="60" t="s">
        <v>727</v>
      </c>
      <c r="K187" s="60" t="s">
        <v>100</v>
      </c>
      <c r="L187" s="60" t="s">
        <v>19</v>
      </c>
      <c r="M187" s="60">
        <v>3.75</v>
      </c>
      <c r="N187" s="60">
        <v>2.8</v>
      </c>
    </row>
    <row r="188" spans="1:15" ht="16.350000000000001" customHeight="1" x14ac:dyDescent="0.25">
      <c r="A188" s="71">
        <v>38</v>
      </c>
      <c r="B188" s="71">
        <v>13</v>
      </c>
      <c r="C188" s="60">
        <v>187</v>
      </c>
      <c r="D188" s="60" t="s">
        <v>1</v>
      </c>
      <c r="E188" s="60" t="s">
        <v>18</v>
      </c>
      <c r="F188" s="60" t="s">
        <v>100</v>
      </c>
      <c r="G188" s="60" t="s">
        <v>100</v>
      </c>
      <c r="H188" s="60" t="s">
        <v>100</v>
      </c>
      <c r="I188" s="60" t="s">
        <v>722</v>
      </c>
      <c r="J188" s="60" t="s">
        <v>100</v>
      </c>
      <c r="K188" s="60" t="s">
        <v>100</v>
      </c>
      <c r="L188" s="60" t="s">
        <v>19</v>
      </c>
      <c r="M188" s="60">
        <v>3.75</v>
      </c>
      <c r="N188" s="60">
        <v>2.8</v>
      </c>
    </row>
    <row r="189" spans="1:15" ht="16.350000000000001" customHeight="1" x14ac:dyDescent="0.25">
      <c r="A189" s="71">
        <v>38</v>
      </c>
      <c r="B189" s="71">
        <v>14</v>
      </c>
      <c r="C189" s="60">
        <v>188</v>
      </c>
      <c r="D189" s="60" t="s">
        <v>55</v>
      </c>
      <c r="E189" s="60" t="s">
        <v>741</v>
      </c>
      <c r="F189" s="60">
        <v>0</v>
      </c>
      <c r="G189" s="60">
        <v>-16.399999999999999</v>
      </c>
      <c r="H189" s="60">
        <v>0</v>
      </c>
      <c r="I189" s="60">
        <v>1</v>
      </c>
    </row>
    <row r="190" spans="1:15" ht="16.350000000000001" customHeight="1" x14ac:dyDescent="0.25">
      <c r="A190" s="71">
        <v>38</v>
      </c>
      <c r="B190" s="71">
        <v>15</v>
      </c>
      <c r="C190" s="60">
        <v>189</v>
      </c>
      <c r="D190" s="60" t="s">
        <v>39</v>
      </c>
      <c r="E190" s="60">
        <v>0</v>
      </c>
      <c r="F190" s="60">
        <v>0</v>
      </c>
      <c r="G190" s="60">
        <v>2</v>
      </c>
      <c r="H190" s="60">
        <v>5000</v>
      </c>
    </row>
    <row r="191" spans="1:15" ht="16.350000000000001" customHeight="1" x14ac:dyDescent="0.25">
      <c r="A191" s="71">
        <v>38</v>
      </c>
      <c r="B191" s="71">
        <v>16</v>
      </c>
      <c r="C191" s="60">
        <v>190</v>
      </c>
      <c r="D191" s="60" t="s">
        <v>1</v>
      </c>
      <c r="E191" s="60" t="s">
        <v>18</v>
      </c>
      <c r="F191" s="60" t="s">
        <v>100</v>
      </c>
      <c r="G191" s="60" t="s">
        <v>100</v>
      </c>
      <c r="H191" s="60" t="s">
        <v>100</v>
      </c>
      <c r="I191" s="60" t="s">
        <v>694</v>
      </c>
      <c r="J191" s="60" t="s">
        <v>100</v>
      </c>
      <c r="K191" s="60" t="s">
        <v>100</v>
      </c>
      <c r="L191" s="60" t="s">
        <v>19</v>
      </c>
      <c r="M191" s="60">
        <v>3.75</v>
      </c>
      <c r="N191" s="60">
        <v>2.8</v>
      </c>
    </row>
    <row r="192" spans="1:15" ht="16.350000000000001" customHeight="1" x14ac:dyDescent="0.25">
      <c r="A192" s="71">
        <v>38</v>
      </c>
      <c r="B192" s="71">
        <v>17</v>
      </c>
      <c r="C192" s="60">
        <v>191</v>
      </c>
      <c r="D192" s="60" t="s">
        <v>1</v>
      </c>
      <c r="E192" s="60" t="s">
        <v>18</v>
      </c>
      <c r="F192" s="60" t="s">
        <v>100</v>
      </c>
      <c r="G192" s="60" t="s">
        <v>100</v>
      </c>
      <c r="H192" s="60" t="s">
        <v>100</v>
      </c>
      <c r="I192" s="60" t="s">
        <v>100</v>
      </c>
      <c r="J192" s="60" t="s">
        <v>729</v>
      </c>
      <c r="K192" s="60" t="s">
        <v>100</v>
      </c>
      <c r="L192" s="60" t="s">
        <v>19</v>
      </c>
      <c r="M192" s="60">
        <v>3.75</v>
      </c>
      <c r="N192" s="60">
        <v>2.8</v>
      </c>
      <c r="O192" s="72"/>
    </row>
    <row r="193" spans="1:15" ht="16.350000000000001" customHeight="1" x14ac:dyDescent="0.25">
      <c r="A193" s="71">
        <v>38</v>
      </c>
      <c r="B193" s="71">
        <v>18</v>
      </c>
      <c r="C193" s="60">
        <v>192</v>
      </c>
      <c r="D193" s="60" t="s">
        <v>1</v>
      </c>
      <c r="E193" s="60" t="s">
        <v>18</v>
      </c>
      <c r="F193" s="60" t="s">
        <v>100</v>
      </c>
      <c r="G193" s="60" t="s">
        <v>100</v>
      </c>
      <c r="H193" s="60" t="s">
        <v>100</v>
      </c>
      <c r="I193" s="60" t="s">
        <v>722</v>
      </c>
      <c r="J193" s="60" t="s">
        <v>100</v>
      </c>
      <c r="K193" s="60" t="s">
        <v>100</v>
      </c>
      <c r="L193" s="60" t="s">
        <v>19</v>
      </c>
      <c r="M193" s="60">
        <v>3.75</v>
      </c>
      <c r="N193" s="60">
        <v>2.8</v>
      </c>
    </row>
    <row r="194" spans="1:15" ht="16.350000000000001" customHeight="1" x14ac:dyDescent="0.25">
      <c r="A194" s="71">
        <v>38</v>
      </c>
      <c r="B194" s="71">
        <v>19</v>
      </c>
      <c r="C194" s="60">
        <v>193</v>
      </c>
      <c r="D194" s="60" t="s">
        <v>1</v>
      </c>
      <c r="E194" s="60" t="s">
        <v>18</v>
      </c>
      <c r="F194" s="60" t="s">
        <v>100</v>
      </c>
      <c r="G194" s="60" t="s">
        <v>100</v>
      </c>
      <c r="H194" s="60" t="s">
        <v>100</v>
      </c>
      <c r="I194" s="60" t="s">
        <v>100</v>
      </c>
      <c r="J194" s="60" t="s">
        <v>730</v>
      </c>
      <c r="K194" s="60" t="s">
        <v>100</v>
      </c>
      <c r="L194" s="60" t="s">
        <v>19</v>
      </c>
      <c r="M194" s="60">
        <v>3.75</v>
      </c>
      <c r="N194" s="60">
        <v>2.8</v>
      </c>
    </row>
    <row r="195" spans="1:15" ht="16.350000000000001" customHeight="1" x14ac:dyDescent="0.25">
      <c r="A195" s="71">
        <v>38</v>
      </c>
      <c r="B195" s="71">
        <v>20</v>
      </c>
      <c r="C195" s="60">
        <v>194</v>
      </c>
      <c r="D195" s="60" t="s">
        <v>55</v>
      </c>
      <c r="E195" s="60" t="s">
        <v>765</v>
      </c>
      <c r="F195" s="60">
        <v>0</v>
      </c>
      <c r="G195" s="60">
        <v>16.399999999999999</v>
      </c>
      <c r="H195" s="60">
        <v>0</v>
      </c>
      <c r="I195" s="60">
        <v>1</v>
      </c>
    </row>
    <row r="196" spans="1:15" ht="16.350000000000001" customHeight="1" x14ac:dyDescent="0.25">
      <c r="A196" s="71">
        <v>38</v>
      </c>
      <c r="B196" s="71">
        <v>21</v>
      </c>
      <c r="C196" s="60">
        <v>195</v>
      </c>
      <c r="D196" s="60" t="s">
        <v>695</v>
      </c>
      <c r="E196" s="60">
        <v>0.35</v>
      </c>
      <c r="F196" s="60">
        <v>80</v>
      </c>
      <c r="G196" s="60">
        <v>4</v>
      </c>
      <c r="H196" s="60">
        <v>5000</v>
      </c>
    </row>
    <row r="197" spans="1:15" ht="16.350000000000001" customHeight="1" x14ac:dyDescent="0.25">
      <c r="A197" s="71">
        <v>38</v>
      </c>
      <c r="B197" s="71">
        <v>22</v>
      </c>
      <c r="C197" s="60">
        <v>196</v>
      </c>
      <c r="D197" s="60" t="s">
        <v>49</v>
      </c>
      <c r="E197" s="60" t="s">
        <v>203</v>
      </c>
      <c r="F197" s="60">
        <v>2</v>
      </c>
    </row>
    <row r="198" spans="1:15" ht="16.350000000000001" customHeight="1" x14ac:dyDescent="0.25">
      <c r="A198" s="71">
        <v>38</v>
      </c>
      <c r="B198" s="71">
        <v>23</v>
      </c>
      <c r="C198" s="60">
        <v>197</v>
      </c>
      <c r="D198" s="60" t="s">
        <v>1</v>
      </c>
      <c r="E198" s="60" t="s">
        <v>18</v>
      </c>
      <c r="F198" s="60" t="s">
        <v>100</v>
      </c>
      <c r="G198" s="60" t="s">
        <v>100</v>
      </c>
      <c r="H198" s="60" t="s">
        <v>100</v>
      </c>
      <c r="I198" s="60" t="s">
        <v>100</v>
      </c>
      <c r="J198" s="60" t="s">
        <v>100</v>
      </c>
      <c r="K198" s="60">
        <v>26</v>
      </c>
      <c r="L198" s="60" t="s">
        <v>23</v>
      </c>
      <c r="M198" s="60">
        <v>3.75</v>
      </c>
      <c r="N198" s="60">
        <v>2.8</v>
      </c>
    </row>
    <row r="199" spans="1:15" ht="16.350000000000001" customHeight="1" x14ac:dyDescent="0.25">
      <c r="A199" s="71">
        <v>38</v>
      </c>
      <c r="B199" s="71">
        <v>24</v>
      </c>
      <c r="C199" s="60">
        <v>198</v>
      </c>
      <c r="D199" s="60" t="s">
        <v>172</v>
      </c>
      <c r="E199" s="60" t="s">
        <v>704</v>
      </c>
      <c r="F199" s="60">
        <v>155</v>
      </c>
      <c r="G199" s="60" t="s">
        <v>739</v>
      </c>
      <c r="H199" s="60">
        <v>0</v>
      </c>
      <c r="I199" s="60">
        <v>1</v>
      </c>
      <c r="J199" s="60">
        <v>1</v>
      </c>
      <c r="K199" s="60">
        <v>3.75</v>
      </c>
      <c r="L199" s="60">
        <v>2.8</v>
      </c>
    </row>
    <row r="200" spans="1:15" ht="16.350000000000001" customHeight="1" x14ac:dyDescent="0.25">
      <c r="A200" s="71">
        <v>38</v>
      </c>
      <c r="B200" s="71">
        <v>25</v>
      </c>
      <c r="C200" s="60">
        <v>199</v>
      </c>
      <c r="D200" s="60" t="s">
        <v>1</v>
      </c>
      <c r="E200" s="60" t="s">
        <v>18</v>
      </c>
      <c r="F200" s="60" t="s">
        <v>100</v>
      </c>
      <c r="G200" s="60" t="s">
        <v>100</v>
      </c>
      <c r="H200" s="60" t="s">
        <v>100</v>
      </c>
      <c r="I200" s="60">
        <v>275</v>
      </c>
      <c r="J200" s="60">
        <v>135</v>
      </c>
      <c r="K200" s="60">
        <v>26</v>
      </c>
      <c r="L200" s="60" t="s">
        <v>19</v>
      </c>
      <c r="M200" s="60">
        <v>3.75</v>
      </c>
      <c r="N200" s="60">
        <v>2.8</v>
      </c>
    </row>
    <row r="201" spans="1:15" ht="16.350000000000001" customHeight="1" x14ac:dyDescent="0.25">
      <c r="A201" s="71">
        <v>38</v>
      </c>
      <c r="B201" s="71">
        <v>26</v>
      </c>
      <c r="C201" s="60">
        <v>200</v>
      </c>
      <c r="D201" s="60" t="s">
        <v>1</v>
      </c>
      <c r="E201" s="60" t="s">
        <v>18</v>
      </c>
      <c r="F201" s="60" t="s">
        <v>100</v>
      </c>
      <c r="G201" s="60" t="s">
        <v>100</v>
      </c>
      <c r="H201" s="60" t="s">
        <v>100</v>
      </c>
      <c r="I201" s="60" t="s">
        <v>722</v>
      </c>
      <c r="J201" s="60" t="s">
        <v>100</v>
      </c>
      <c r="K201" s="60" t="s">
        <v>100</v>
      </c>
      <c r="L201" s="60" t="s">
        <v>19</v>
      </c>
      <c r="M201" s="60">
        <v>3.75</v>
      </c>
      <c r="N201" s="60">
        <v>2.8</v>
      </c>
    </row>
    <row r="202" spans="1:15" ht="16.350000000000001" customHeight="1" x14ac:dyDescent="0.25">
      <c r="A202" s="71">
        <v>38</v>
      </c>
      <c r="B202" s="71">
        <v>27</v>
      </c>
      <c r="C202" s="60">
        <v>201</v>
      </c>
      <c r="D202" s="60" t="s">
        <v>1</v>
      </c>
      <c r="E202" s="60" t="s">
        <v>18</v>
      </c>
      <c r="F202" s="60" t="s">
        <v>100</v>
      </c>
      <c r="G202" s="60" t="s">
        <v>100</v>
      </c>
      <c r="H202" s="60" t="s">
        <v>100</v>
      </c>
      <c r="I202" s="60" t="s">
        <v>100</v>
      </c>
      <c r="J202" s="60" t="s">
        <v>723</v>
      </c>
      <c r="K202" s="60" t="s">
        <v>100</v>
      </c>
      <c r="L202" s="60" t="s">
        <v>19</v>
      </c>
      <c r="M202" s="60">
        <v>3.75</v>
      </c>
      <c r="N202" s="60">
        <v>2.8</v>
      </c>
    </row>
    <row r="203" spans="1:15" ht="16.350000000000001" customHeight="1" x14ac:dyDescent="0.25">
      <c r="A203" s="71">
        <v>38</v>
      </c>
      <c r="B203" s="71">
        <v>28</v>
      </c>
      <c r="C203" s="60">
        <v>202</v>
      </c>
      <c r="D203" s="60" t="s">
        <v>1</v>
      </c>
      <c r="E203" s="60" t="s">
        <v>18</v>
      </c>
      <c r="F203" s="60" t="s">
        <v>100</v>
      </c>
      <c r="G203" s="60" t="s">
        <v>100</v>
      </c>
      <c r="H203" s="60" t="s">
        <v>100</v>
      </c>
      <c r="I203" s="60" t="s">
        <v>694</v>
      </c>
      <c r="J203" s="60" t="s">
        <v>100</v>
      </c>
      <c r="K203" s="60" t="s">
        <v>100</v>
      </c>
      <c r="L203" s="60" t="s">
        <v>19</v>
      </c>
      <c r="M203" s="60">
        <v>3.75</v>
      </c>
      <c r="N203" s="60">
        <v>2.8</v>
      </c>
      <c r="O203" s="72"/>
    </row>
    <row r="204" spans="1:15" ht="16.350000000000001" customHeight="1" x14ac:dyDescent="0.25">
      <c r="A204" s="71">
        <v>38</v>
      </c>
      <c r="B204" s="71">
        <v>29</v>
      </c>
      <c r="C204" s="60">
        <v>203</v>
      </c>
      <c r="D204" s="60" t="s">
        <v>1</v>
      </c>
      <c r="E204" s="60" t="s">
        <v>18</v>
      </c>
      <c r="F204" s="60" t="s">
        <v>100</v>
      </c>
      <c r="G204" s="60" t="s">
        <v>100</v>
      </c>
      <c r="H204" s="60" t="s">
        <v>100</v>
      </c>
      <c r="I204" s="60" t="s">
        <v>100</v>
      </c>
      <c r="J204" s="60" t="s">
        <v>724</v>
      </c>
      <c r="K204" s="60" t="s">
        <v>100</v>
      </c>
      <c r="L204" s="60" t="s">
        <v>19</v>
      </c>
      <c r="M204" s="60">
        <v>3.75</v>
      </c>
      <c r="N204" s="60">
        <v>2.8</v>
      </c>
    </row>
    <row r="205" spans="1:15" ht="16.350000000000001" customHeight="1" x14ac:dyDescent="0.25">
      <c r="A205" s="71">
        <v>38</v>
      </c>
      <c r="B205" s="71">
        <v>30</v>
      </c>
      <c r="C205" s="60">
        <v>204</v>
      </c>
      <c r="D205" s="60" t="s">
        <v>55</v>
      </c>
      <c r="E205" s="60" t="s">
        <v>746</v>
      </c>
      <c r="F205" s="60">
        <v>0</v>
      </c>
      <c r="G205" s="60">
        <v>-16.399999999999999</v>
      </c>
      <c r="H205" s="60">
        <v>0</v>
      </c>
      <c r="I205" s="60">
        <v>1</v>
      </c>
    </row>
    <row r="206" spans="1:15" ht="16.350000000000001" customHeight="1" x14ac:dyDescent="0.25">
      <c r="A206" s="71">
        <v>38</v>
      </c>
      <c r="B206" s="71">
        <v>31</v>
      </c>
      <c r="C206" s="60">
        <v>205</v>
      </c>
      <c r="D206" s="60" t="s">
        <v>39</v>
      </c>
      <c r="E206" s="60">
        <v>0</v>
      </c>
      <c r="F206" s="60">
        <v>0</v>
      </c>
      <c r="G206" s="60">
        <v>2</v>
      </c>
      <c r="H206" s="60">
        <v>5000</v>
      </c>
    </row>
    <row r="207" spans="1:15" ht="16.350000000000001" customHeight="1" x14ac:dyDescent="0.25">
      <c r="A207" s="71">
        <v>38</v>
      </c>
      <c r="B207" s="71">
        <v>32</v>
      </c>
      <c r="C207" s="60">
        <v>206</v>
      </c>
      <c r="D207" s="60" t="s">
        <v>1</v>
      </c>
      <c r="E207" s="60" t="s">
        <v>18</v>
      </c>
      <c r="F207" s="60" t="s">
        <v>100</v>
      </c>
      <c r="G207" s="60" t="s">
        <v>100</v>
      </c>
      <c r="H207" s="60" t="s">
        <v>100</v>
      </c>
      <c r="I207" s="60" t="s">
        <v>100</v>
      </c>
      <c r="J207" s="60" t="s">
        <v>737</v>
      </c>
      <c r="K207" s="60" t="s">
        <v>100</v>
      </c>
      <c r="L207" s="60" t="s">
        <v>19</v>
      </c>
      <c r="M207" s="60">
        <v>3.75</v>
      </c>
      <c r="N207" s="60">
        <v>2.8</v>
      </c>
    </row>
    <row r="208" spans="1:15" ht="16.350000000000001" customHeight="1" x14ac:dyDescent="0.25">
      <c r="A208" s="71">
        <v>38</v>
      </c>
      <c r="B208" s="71">
        <v>33</v>
      </c>
      <c r="C208" s="60">
        <v>207</v>
      </c>
      <c r="D208" s="60" t="s">
        <v>1</v>
      </c>
      <c r="E208" s="60" t="s">
        <v>18</v>
      </c>
      <c r="F208" s="60" t="s">
        <v>100</v>
      </c>
      <c r="G208" s="60" t="s">
        <v>100</v>
      </c>
      <c r="H208" s="60" t="s">
        <v>100</v>
      </c>
      <c r="I208" s="60" t="s">
        <v>722</v>
      </c>
      <c r="J208" s="60" t="s">
        <v>100</v>
      </c>
      <c r="K208" s="60" t="s">
        <v>100</v>
      </c>
      <c r="L208" s="60" t="s">
        <v>19</v>
      </c>
      <c r="M208" s="60">
        <v>3.75</v>
      </c>
      <c r="N208" s="60">
        <v>2.8</v>
      </c>
    </row>
    <row r="209" spans="1:15" ht="16.350000000000001" customHeight="1" x14ac:dyDescent="0.25">
      <c r="A209" s="71">
        <v>38</v>
      </c>
      <c r="B209" s="71">
        <v>34</v>
      </c>
      <c r="C209" s="60">
        <v>208</v>
      </c>
      <c r="D209" s="60" t="s">
        <v>1</v>
      </c>
      <c r="E209" s="60" t="s">
        <v>18</v>
      </c>
      <c r="F209" s="60" t="s">
        <v>100</v>
      </c>
      <c r="G209" s="60" t="s">
        <v>100</v>
      </c>
      <c r="H209" s="60" t="s">
        <v>100</v>
      </c>
      <c r="I209" s="60" t="s">
        <v>100</v>
      </c>
      <c r="J209" s="60" t="s">
        <v>364</v>
      </c>
      <c r="K209" s="60" t="s">
        <v>100</v>
      </c>
      <c r="L209" s="60" t="s">
        <v>19</v>
      </c>
      <c r="M209" s="60">
        <v>3.75</v>
      </c>
      <c r="N209" s="60">
        <v>2.8</v>
      </c>
    </row>
    <row r="210" spans="1:15" ht="16.350000000000001" customHeight="1" x14ac:dyDescent="0.25">
      <c r="A210" s="71">
        <v>38</v>
      </c>
      <c r="B210" s="71">
        <v>35</v>
      </c>
      <c r="C210" s="60">
        <v>209</v>
      </c>
      <c r="D210" s="60" t="s">
        <v>1</v>
      </c>
      <c r="E210" s="60" t="s">
        <v>18</v>
      </c>
      <c r="F210" s="60" t="s">
        <v>100</v>
      </c>
      <c r="G210" s="60" t="s">
        <v>100</v>
      </c>
      <c r="H210" s="60" t="s">
        <v>100</v>
      </c>
      <c r="I210" s="60" t="s">
        <v>694</v>
      </c>
      <c r="J210" s="60" t="s">
        <v>100</v>
      </c>
      <c r="K210" s="60" t="s">
        <v>100</v>
      </c>
      <c r="L210" s="60" t="s">
        <v>19</v>
      </c>
      <c r="M210" s="60">
        <v>3.75</v>
      </c>
      <c r="N210" s="60">
        <v>2.8</v>
      </c>
    </row>
    <row r="211" spans="1:15" ht="16.350000000000001" customHeight="1" x14ac:dyDescent="0.25">
      <c r="A211" s="71">
        <v>38</v>
      </c>
      <c r="B211" s="71">
        <v>36</v>
      </c>
      <c r="C211" s="60">
        <v>210</v>
      </c>
      <c r="D211" s="60" t="s">
        <v>55</v>
      </c>
      <c r="E211" s="60" t="s">
        <v>742</v>
      </c>
      <c r="F211" s="60">
        <v>0</v>
      </c>
      <c r="G211" s="60">
        <v>16.399999999999999</v>
      </c>
      <c r="H211" s="60">
        <v>0</v>
      </c>
      <c r="I211" s="60">
        <v>1</v>
      </c>
    </row>
    <row r="212" spans="1:15" ht="16.350000000000001" customHeight="1" x14ac:dyDescent="0.25">
      <c r="A212" s="71">
        <v>38</v>
      </c>
      <c r="B212" s="71">
        <v>37</v>
      </c>
      <c r="C212" s="60">
        <v>211</v>
      </c>
      <c r="D212" s="60" t="s">
        <v>39</v>
      </c>
      <c r="E212" s="60">
        <v>0</v>
      </c>
      <c r="F212" s="60">
        <v>0</v>
      </c>
      <c r="G212" s="60">
        <v>4</v>
      </c>
      <c r="H212" s="60">
        <v>5000</v>
      </c>
    </row>
    <row r="213" spans="1:15" ht="16.350000000000001" customHeight="1" x14ac:dyDescent="0.25">
      <c r="A213" s="71">
        <v>38</v>
      </c>
      <c r="B213" s="71">
        <v>9</v>
      </c>
      <c r="C213" s="60">
        <v>212</v>
      </c>
      <c r="D213" s="60" t="s">
        <v>49</v>
      </c>
      <c r="E213" s="60" t="s">
        <v>203</v>
      </c>
      <c r="F213" s="60">
        <v>3</v>
      </c>
    </row>
    <row r="214" spans="1:15" ht="16.350000000000001" customHeight="1" x14ac:dyDescent="0.25">
      <c r="A214" s="71">
        <v>38</v>
      </c>
      <c r="B214" s="71">
        <v>10</v>
      </c>
      <c r="C214" s="60">
        <v>213</v>
      </c>
      <c r="D214" s="60" t="s">
        <v>1</v>
      </c>
      <c r="E214" s="60" t="s">
        <v>18</v>
      </c>
      <c r="F214" s="60">
        <v>140</v>
      </c>
      <c r="G214" s="60">
        <v>140</v>
      </c>
      <c r="H214" s="60">
        <v>28.000000000099998</v>
      </c>
      <c r="I214" s="60" t="s">
        <v>100</v>
      </c>
      <c r="J214" s="60" t="s">
        <v>726</v>
      </c>
      <c r="K214" s="60" t="s">
        <v>100</v>
      </c>
      <c r="L214" s="60" t="s">
        <v>19</v>
      </c>
      <c r="M214" s="60">
        <v>3.75</v>
      </c>
      <c r="N214" s="60">
        <v>2.8</v>
      </c>
      <c r="O214" s="72"/>
    </row>
    <row r="215" spans="1:15" ht="16.350000000000001" customHeight="1" x14ac:dyDescent="0.25">
      <c r="A215" s="71">
        <v>38</v>
      </c>
      <c r="B215" s="71">
        <v>11</v>
      </c>
      <c r="C215" s="60">
        <v>214</v>
      </c>
      <c r="D215" s="60" t="s">
        <v>1</v>
      </c>
      <c r="E215" s="60" t="s">
        <v>18</v>
      </c>
      <c r="F215" s="60" t="s">
        <v>100</v>
      </c>
      <c r="G215" s="60" t="s">
        <v>100</v>
      </c>
      <c r="H215" s="60" t="s">
        <v>100</v>
      </c>
      <c r="I215" s="60" t="s">
        <v>694</v>
      </c>
      <c r="J215" s="60" t="s">
        <v>100</v>
      </c>
      <c r="K215" s="60" t="s">
        <v>100</v>
      </c>
      <c r="L215" s="60" t="s">
        <v>19</v>
      </c>
      <c r="M215" s="60">
        <v>3.75</v>
      </c>
      <c r="N215" s="60">
        <v>2.8</v>
      </c>
    </row>
    <row r="216" spans="1:15" ht="16.350000000000001" customHeight="1" x14ac:dyDescent="0.25">
      <c r="A216" s="71">
        <v>38</v>
      </c>
      <c r="B216" s="71">
        <v>12</v>
      </c>
      <c r="C216" s="60">
        <v>215</v>
      </c>
      <c r="D216" s="60" t="s">
        <v>1</v>
      </c>
      <c r="E216" s="60" t="s">
        <v>18</v>
      </c>
      <c r="F216" s="60" t="s">
        <v>100</v>
      </c>
      <c r="G216" s="60" t="s">
        <v>100</v>
      </c>
      <c r="H216" s="60" t="s">
        <v>100</v>
      </c>
      <c r="I216" s="60" t="s">
        <v>100</v>
      </c>
      <c r="J216" s="60" t="s">
        <v>727</v>
      </c>
      <c r="K216" s="60" t="s">
        <v>100</v>
      </c>
      <c r="L216" s="60" t="s">
        <v>19</v>
      </c>
      <c r="M216" s="60">
        <v>3.75</v>
      </c>
      <c r="N216" s="60">
        <v>2.8</v>
      </c>
    </row>
    <row r="217" spans="1:15" ht="16.350000000000001" customHeight="1" x14ac:dyDescent="0.25">
      <c r="A217" s="71">
        <v>38</v>
      </c>
      <c r="B217" s="71">
        <v>13</v>
      </c>
      <c r="C217" s="60">
        <v>216</v>
      </c>
      <c r="D217" s="60" t="s">
        <v>1</v>
      </c>
      <c r="E217" s="60" t="s">
        <v>18</v>
      </c>
      <c r="F217" s="60" t="s">
        <v>100</v>
      </c>
      <c r="G217" s="60" t="s">
        <v>100</v>
      </c>
      <c r="H217" s="60" t="s">
        <v>100</v>
      </c>
      <c r="I217" s="60" t="s">
        <v>722</v>
      </c>
      <c r="J217" s="60" t="s">
        <v>100</v>
      </c>
      <c r="K217" s="60" t="s">
        <v>100</v>
      </c>
      <c r="L217" s="60" t="s">
        <v>19</v>
      </c>
      <c r="M217" s="60">
        <v>3.75</v>
      </c>
      <c r="N217" s="60">
        <v>2.8</v>
      </c>
    </row>
    <row r="218" spans="1:15" ht="16.350000000000001" customHeight="1" x14ac:dyDescent="0.25">
      <c r="A218" s="71">
        <v>38</v>
      </c>
      <c r="B218" s="71">
        <v>14</v>
      </c>
      <c r="C218" s="60">
        <v>217</v>
      </c>
      <c r="D218" s="60" t="s">
        <v>55</v>
      </c>
      <c r="E218" s="60" t="s">
        <v>747</v>
      </c>
      <c r="F218" s="60">
        <v>0</v>
      </c>
      <c r="G218" s="60">
        <v>-16.399999999999999</v>
      </c>
      <c r="H218" s="60">
        <v>0</v>
      </c>
      <c r="I218" s="60">
        <v>1</v>
      </c>
    </row>
    <row r="219" spans="1:15" ht="16.350000000000001" customHeight="1" x14ac:dyDescent="0.25">
      <c r="A219" s="71">
        <v>38</v>
      </c>
      <c r="B219" s="71">
        <v>15</v>
      </c>
      <c r="C219" s="60">
        <v>218</v>
      </c>
      <c r="D219" s="60" t="s">
        <v>39</v>
      </c>
      <c r="E219" s="60">
        <v>0</v>
      </c>
      <c r="F219" s="60">
        <v>0</v>
      </c>
      <c r="G219" s="60">
        <v>2</v>
      </c>
      <c r="H219" s="60">
        <v>5000</v>
      </c>
    </row>
    <row r="220" spans="1:15" ht="16.350000000000001" customHeight="1" x14ac:dyDescent="0.25">
      <c r="A220" s="71">
        <v>38</v>
      </c>
      <c r="B220" s="71">
        <v>16</v>
      </c>
      <c r="C220" s="60">
        <v>219</v>
      </c>
      <c r="D220" s="60" t="s">
        <v>1</v>
      </c>
      <c r="E220" s="60" t="s">
        <v>18</v>
      </c>
      <c r="F220" s="60" t="s">
        <v>100</v>
      </c>
      <c r="G220" s="60" t="s">
        <v>100</v>
      </c>
      <c r="H220" s="60" t="s">
        <v>100</v>
      </c>
      <c r="I220" s="60" t="s">
        <v>694</v>
      </c>
      <c r="J220" s="60" t="s">
        <v>100</v>
      </c>
      <c r="K220" s="60" t="s">
        <v>100</v>
      </c>
      <c r="L220" s="60" t="s">
        <v>19</v>
      </c>
      <c r="M220" s="60">
        <v>3.75</v>
      </c>
      <c r="N220" s="60">
        <v>2.8</v>
      </c>
    </row>
    <row r="221" spans="1:15" ht="16.350000000000001" customHeight="1" x14ac:dyDescent="0.25">
      <c r="A221" s="71">
        <v>38</v>
      </c>
      <c r="B221" s="71">
        <v>17</v>
      </c>
      <c r="C221" s="60">
        <v>220</v>
      </c>
      <c r="D221" s="60" t="s">
        <v>1</v>
      </c>
      <c r="E221" s="60" t="s">
        <v>18</v>
      </c>
      <c r="F221" s="60" t="s">
        <v>100</v>
      </c>
      <c r="G221" s="60" t="s">
        <v>100</v>
      </c>
      <c r="H221" s="60" t="s">
        <v>100</v>
      </c>
      <c r="I221" s="60" t="s">
        <v>100</v>
      </c>
      <c r="J221" s="60" t="s">
        <v>729</v>
      </c>
      <c r="K221" s="60" t="s">
        <v>100</v>
      </c>
      <c r="L221" s="60" t="s">
        <v>19</v>
      </c>
      <c r="M221" s="60">
        <v>3.75</v>
      </c>
      <c r="N221" s="60">
        <v>2.8</v>
      </c>
    </row>
    <row r="222" spans="1:15" ht="16.350000000000001" customHeight="1" x14ac:dyDescent="0.25">
      <c r="A222" s="71">
        <v>38</v>
      </c>
      <c r="B222" s="71">
        <v>18</v>
      </c>
      <c r="C222" s="60">
        <v>221</v>
      </c>
      <c r="D222" s="60" t="s">
        <v>1</v>
      </c>
      <c r="E222" s="60" t="s">
        <v>18</v>
      </c>
      <c r="F222" s="60" t="s">
        <v>100</v>
      </c>
      <c r="G222" s="60" t="s">
        <v>100</v>
      </c>
      <c r="H222" s="60" t="s">
        <v>100</v>
      </c>
      <c r="I222" s="60" t="s">
        <v>722</v>
      </c>
      <c r="J222" s="60" t="s">
        <v>100</v>
      </c>
      <c r="K222" s="60" t="s">
        <v>100</v>
      </c>
      <c r="L222" s="60" t="s">
        <v>19</v>
      </c>
      <c r="M222" s="60">
        <v>3.75</v>
      </c>
      <c r="N222" s="60">
        <v>2.8</v>
      </c>
    </row>
    <row r="223" spans="1:15" ht="16.350000000000001" customHeight="1" x14ac:dyDescent="0.25">
      <c r="A223" s="71">
        <v>38</v>
      </c>
      <c r="B223" s="71">
        <v>19</v>
      </c>
      <c r="C223" s="60">
        <v>222</v>
      </c>
      <c r="D223" s="60" t="s">
        <v>1</v>
      </c>
      <c r="E223" s="60" t="s">
        <v>18</v>
      </c>
      <c r="F223" s="60" t="s">
        <v>100</v>
      </c>
      <c r="G223" s="60" t="s">
        <v>100</v>
      </c>
      <c r="H223" s="60" t="s">
        <v>100</v>
      </c>
      <c r="I223" s="60" t="s">
        <v>100</v>
      </c>
      <c r="J223" s="60" t="s">
        <v>730</v>
      </c>
      <c r="K223" s="60" t="s">
        <v>100</v>
      </c>
      <c r="L223" s="60" t="s">
        <v>19</v>
      </c>
      <c r="M223" s="60">
        <v>3.75</v>
      </c>
      <c r="N223" s="60">
        <v>2.8</v>
      </c>
    </row>
    <row r="224" spans="1:15" ht="16.350000000000001" customHeight="1" x14ac:dyDescent="0.25">
      <c r="A224" s="71">
        <v>38</v>
      </c>
      <c r="B224" s="71">
        <v>20</v>
      </c>
      <c r="C224" s="60">
        <v>223</v>
      </c>
      <c r="D224" s="60" t="s">
        <v>55</v>
      </c>
      <c r="E224" s="60" t="s">
        <v>766</v>
      </c>
      <c r="F224" s="60">
        <v>0</v>
      </c>
      <c r="G224" s="60">
        <v>16.399999999999999</v>
      </c>
      <c r="H224" s="60">
        <v>0</v>
      </c>
      <c r="I224" s="60">
        <v>1</v>
      </c>
    </row>
    <row r="225" spans="1:15" ht="16.350000000000001" customHeight="1" x14ac:dyDescent="0.25">
      <c r="A225" s="71">
        <v>38</v>
      </c>
      <c r="B225" s="71">
        <v>21</v>
      </c>
      <c r="C225" s="60">
        <v>224</v>
      </c>
      <c r="D225" s="60" t="s">
        <v>695</v>
      </c>
      <c r="E225" s="60">
        <v>0.35</v>
      </c>
      <c r="F225" s="60">
        <v>80</v>
      </c>
      <c r="G225" s="60">
        <v>4</v>
      </c>
      <c r="H225" s="60">
        <v>5000</v>
      </c>
      <c r="O225" s="72"/>
    </row>
    <row r="226" spans="1:15" ht="16.350000000000001" customHeight="1" x14ac:dyDescent="0.25">
      <c r="A226" s="71">
        <v>38</v>
      </c>
      <c r="B226" s="71">
        <v>22</v>
      </c>
      <c r="C226" s="60">
        <v>225</v>
      </c>
      <c r="D226" s="60" t="s">
        <v>49</v>
      </c>
      <c r="E226" s="60" t="s">
        <v>203</v>
      </c>
      <c r="F226" s="60">
        <v>2</v>
      </c>
    </row>
    <row r="227" spans="1:15" ht="16.350000000000001" customHeight="1" x14ac:dyDescent="0.25">
      <c r="A227" s="71">
        <v>38</v>
      </c>
      <c r="B227" s="71">
        <v>23</v>
      </c>
      <c r="C227" s="60">
        <v>226</v>
      </c>
      <c r="D227" s="60" t="s">
        <v>1</v>
      </c>
      <c r="E227" s="60" t="s">
        <v>18</v>
      </c>
      <c r="F227" s="60" t="s">
        <v>100</v>
      </c>
      <c r="G227" s="60" t="s">
        <v>100</v>
      </c>
      <c r="H227" s="60" t="s">
        <v>100</v>
      </c>
      <c r="I227" s="60" t="s">
        <v>100</v>
      </c>
      <c r="J227" s="60" t="s">
        <v>100</v>
      </c>
      <c r="K227" s="60">
        <v>30</v>
      </c>
      <c r="L227" s="60" t="s">
        <v>23</v>
      </c>
      <c r="M227" s="60">
        <v>3.75</v>
      </c>
      <c r="N227" s="60">
        <v>2.8</v>
      </c>
    </row>
    <row r="228" spans="1:15" ht="16.350000000000001" customHeight="1" x14ac:dyDescent="0.25">
      <c r="A228" s="71">
        <v>38</v>
      </c>
      <c r="B228" s="71">
        <v>24</v>
      </c>
      <c r="C228" s="60">
        <v>227</v>
      </c>
      <c r="D228" s="60" t="s">
        <v>172</v>
      </c>
      <c r="E228" s="60" t="s">
        <v>704</v>
      </c>
      <c r="F228" s="60">
        <v>155</v>
      </c>
      <c r="G228" s="60" t="s">
        <v>740</v>
      </c>
      <c r="H228" s="60">
        <v>0</v>
      </c>
      <c r="I228" s="60">
        <v>1</v>
      </c>
      <c r="J228" s="60">
        <v>1</v>
      </c>
      <c r="K228" s="60">
        <v>3.75</v>
      </c>
      <c r="L228" s="60">
        <v>2.8</v>
      </c>
    </row>
    <row r="229" spans="1:15" ht="16.350000000000001" customHeight="1" x14ac:dyDescent="0.25">
      <c r="A229" s="71">
        <v>38</v>
      </c>
      <c r="B229" s="71">
        <v>25</v>
      </c>
      <c r="C229" s="60">
        <v>228</v>
      </c>
      <c r="D229" s="60" t="s">
        <v>1</v>
      </c>
      <c r="E229" s="60" t="s">
        <v>18</v>
      </c>
      <c r="F229" s="60" t="s">
        <v>100</v>
      </c>
      <c r="G229" s="60" t="s">
        <v>100</v>
      </c>
      <c r="H229" s="60" t="s">
        <v>100</v>
      </c>
      <c r="I229" s="60">
        <v>275</v>
      </c>
      <c r="J229" s="60">
        <v>135</v>
      </c>
      <c r="K229" s="60">
        <v>30</v>
      </c>
      <c r="L229" s="60" t="s">
        <v>19</v>
      </c>
      <c r="M229" s="60">
        <v>3.75</v>
      </c>
      <c r="N229" s="60">
        <v>2.8</v>
      </c>
    </row>
    <row r="230" spans="1:15" ht="16.350000000000001" customHeight="1" x14ac:dyDescent="0.25">
      <c r="A230" s="71">
        <v>38</v>
      </c>
      <c r="B230" s="71">
        <v>26</v>
      </c>
      <c r="C230" s="60">
        <v>229</v>
      </c>
      <c r="D230" s="60" t="s">
        <v>1</v>
      </c>
      <c r="E230" s="60" t="s">
        <v>18</v>
      </c>
      <c r="F230" s="60" t="s">
        <v>100</v>
      </c>
      <c r="G230" s="60" t="s">
        <v>100</v>
      </c>
      <c r="H230" s="60" t="s">
        <v>100</v>
      </c>
      <c r="I230" s="60" t="s">
        <v>722</v>
      </c>
      <c r="J230" s="60" t="s">
        <v>100</v>
      </c>
      <c r="K230" s="60" t="s">
        <v>100</v>
      </c>
      <c r="L230" s="60" t="s">
        <v>19</v>
      </c>
      <c r="M230" s="60">
        <v>3.75</v>
      </c>
      <c r="N230" s="60">
        <v>2.8</v>
      </c>
    </row>
    <row r="231" spans="1:15" ht="16.350000000000001" customHeight="1" x14ac:dyDescent="0.25">
      <c r="A231" s="71">
        <v>38</v>
      </c>
      <c r="B231" s="71">
        <v>27</v>
      </c>
      <c r="C231" s="60">
        <v>230</v>
      </c>
      <c r="D231" s="60" t="s">
        <v>1</v>
      </c>
      <c r="E231" s="60" t="s">
        <v>18</v>
      </c>
      <c r="F231" s="60" t="s">
        <v>100</v>
      </c>
      <c r="G231" s="60" t="s">
        <v>100</v>
      </c>
      <c r="H231" s="60" t="s">
        <v>100</v>
      </c>
      <c r="I231" s="60" t="s">
        <v>100</v>
      </c>
      <c r="J231" s="60" t="s">
        <v>723</v>
      </c>
      <c r="K231" s="60" t="s">
        <v>100</v>
      </c>
      <c r="L231" s="60" t="s">
        <v>19</v>
      </c>
      <c r="M231" s="60">
        <v>3.75</v>
      </c>
      <c r="N231" s="60">
        <v>2.8</v>
      </c>
    </row>
    <row r="232" spans="1:15" ht="16.350000000000001" customHeight="1" x14ac:dyDescent="0.25">
      <c r="A232" s="71">
        <v>38</v>
      </c>
      <c r="B232" s="71">
        <v>28</v>
      </c>
      <c r="C232" s="60">
        <v>231</v>
      </c>
      <c r="D232" s="60" t="s">
        <v>1</v>
      </c>
      <c r="E232" s="60" t="s">
        <v>18</v>
      </c>
      <c r="F232" s="60" t="s">
        <v>100</v>
      </c>
      <c r="G232" s="60" t="s">
        <v>100</v>
      </c>
      <c r="H232" s="60" t="s">
        <v>100</v>
      </c>
      <c r="I232" s="60" t="s">
        <v>694</v>
      </c>
      <c r="J232" s="60" t="s">
        <v>100</v>
      </c>
      <c r="K232" s="60" t="s">
        <v>100</v>
      </c>
      <c r="L232" s="60" t="s">
        <v>19</v>
      </c>
      <c r="M232" s="60">
        <v>3.75</v>
      </c>
      <c r="N232" s="60">
        <v>2.8</v>
      </c>
    </row>
    <row r="233" spans="1:15" ht="16.350000000000001" customHeight="1" x14ac:dyDescent="0.25">
      <c r="A233" s="71">
        <v>38</v>
      </c>
      <c r="B233" s="71">
        <v>29</v>
      </c>
      <c r="C233" s="60">
        <v>232</v>
      </c>
      <c r="D233" s="60" t="s">
        <v>1</v>
      </c>
      <c r="E233" s="60" t="s">
        <v>18</v>
      </c>
      <c r="F233" s="60" t="s">
        <v>100</v>
      </c>
      <c r="G233" s="60" t="s">
        <v>100</v>
      </c>
      <c r="H233" s="60" t="s">
        <v>100</v>
      </c>
      <c r="I233" s="60" t="s">
        <v>100</v>
      </c>
      <c r="J233" s="60" t="s">
        <v>724</v>
      </c>
      <c r="K233" s="60" t="s">
        <v>100</v>
      </c>
      <c r="L233" s="60" t="s">
        <v>19</v>
      </c>
      <c r="M233" s="60">
        <v>3.75</v>
      </c>
      <c r="N233" s="60">
        <v>2.8</v>
      </c>
    </row>
    <row r="234" spans="1:15" ht="16.350000000000001" customHeight="1" x14ac:dyDescent="0.25">
      <c r="A234" s="71">
        <v>38</v>
      </c>
      <c r="B234" s="71">
        <v>30</v>
      </c>
      <c r="C234" s="60">
        <v>233</v>
      </c>
      <c r="D234" s="60" t="s">
        <v>55</v>
      </c>
      <c r="E234" s="60" t="s">
        <v>767</v>
      </c>
      <c r="F234" s="60">
        <v>0</v>
      </c>
      <c r="G234" s="60">
        <v>-16.399999999999999</v>
      </c>
      <c r="H234" s="60">
        <v>0</v>
      </c>
      <c r="I234" s="60">
        <v>1</v>
      </c>
    </row>
    <row r="235" spans="1:15" ht="16.350000000000001" customHeight="1" x14ac:dyDescent="0.25">
      <c r="A235" s="71">
        <v>38</v>
      </c>
      <c r="B235" s="71">
        <v>31</v>
      </c>
      <c r="C235" s="60">
        <v>234</v>
      </c>
      <c r="D235" s="60" t="s">
        <v>39</v>
      </c>
      <c r="E235" s="60">
        <v>0</v>
      </c>
      <c r="F235" s="60">
        <v>0</v>
      </c>
      <c r="G235" s="60">
        <v>2</v>
      </c>
      <c r="H235" s="60">
        <v>5000</v>
      </c>
    </row>
    <row r="236" spans="1:15" ht="16.350000000000001" customHeight="1" x14ac:dyDescent="0.25">
      <c r="A236" s="71">
        <v>38</v>
      </c>
      <c r="B236" s="71">
        <v>32</v>
      </c>
      <c r="C236" s="60">
        <v>235</v>
      </c>
      <c r="D236" s="60" t="s">
        <v>1</v>
      </c>
      <c r="E236" s="60" t="s">
        <v>18</v>
      </c>
      <c r="F236" s="60" t="s">
        <v>100</v>
      </c>
      <c r="G236" s="60" t="s">
        <v>100</v>
      </c>
      <c r="H236" s="60" t="s">
        <v>100</v>
      </c>
      <c r="I236" s="60" t="s">
        <v>100</v>
      </c>
      <c r="J236" s="60" t="s">
        <v>737</v>
      </c>
      <c r="K236" s="60" t="s">
        <v>100</v>
      </c>
      <c r="L236" s="60" t="s">
        <v>19</v>
      </c>
      <c r="M236" s="60">
        <v>3.75</v>
      </c>
      <c r="N236" s="60">
        <v>2.8</v>
      </c>
      <c r="O236" s="72"/>
    </row>
    <row r="237" spans="1:15" ht="16.350000000000001" customHeight="1" x14ac:dyDescent="0.25">
      <c r="A237" s="71">
        <v>38</v>
      </c>
      <c r="B237" s="71">
        <v>33</v>
      </c>
      <c r="C237" s="60">
        <v>236</v>
      </c>
      <c r="D237" s="60" t="s">
        <v>1</v>
      </c>
      <c r="E237" s="60" t="s">
        <v>18</v>
      </c>
      <c r="F237" s="60" t="s">
        <v>100</v>
      </c>
      <c r="G237" s="60" t="s">
        <v>100</v>
      </c>
      <c r="H237" s="60" t="s">
        <v>100</v>
      </c>
      <c r="I237" s="60" t="s">
        <v>722</v>
      </c>
      <c r="J237" s="60" t="s">
        <v>100</v>
      </c>
      <c r="K237" s="60" t="s">
        <v>100</v>
      </c>
      <c r="L237" s="60" t="s">
        <v>19</v>
      </c>
      <c r="M237" s="60">
        <v>3.75</v>
      </c>
      <c r="N237" s="60">
        <v>2.8</v>
      </c>
    </row>
    <row r="238" spans="1:15" ht="16.350000000000001" customHeight="1" x14ac:dyDescent="0.25">
      <c r="A238" s="71">
        <v>38</v>
      </c>
      <c r="B238" s="71">
        <v>34</v>
      </c>
      <c r="C238" s="60">
        <v>237</v>
      </c>
      <c r="D238" s="60" t="s">
        <v>1</v>
      </c>
      <c r="E238" s="60" t="s">
        <v>18</v>
      </c>
      <c r="F238" s="60" t="s">
        <v>100</v>
      </c>
      <c r="G238" s="60" t="s">
        <v>100</v>
      </c>
      <c r="H238" s="60" t="s">
        <v>100</v>
      </c>
      <c r="I238" s="60" t="s">
        <v>100</v>
      </c>
      <c r="J238" s="60" t="s">
        <v>364</v>
      </c>
      <c r="K238" s="60" t="s">
        <v>100</v>
      </c>
      <c r="L238" s="60" t="s">
        <v>19</v>
      </c>
      <c r="M238" s="60">
        <v>3.75</v>
      </c>
      <c r="N238" s="60">
        <v>2.8</v>
      </c>
    </row>
    <row r="239" spans="1:15" ht="16.350000000000001" customHeight="1" x14ac:dyDescent="0.25">
      <c r="A239" s="71">
        <v>38</v>
      </c>
      <c r="B239" s="71">
        <v>35</v>
      </c>
      <c r="C239" s="60">
        <v>238</v>
      </c>
      <c r="D239" s="60" t="s">
        <v>1</v>
      </c>
      <c r="E239" s="60" t="s">
        <v>18</v>
      </c>
      <c r="F239" s="60" t="s">
        <v>100</v>
      </c>
      <c r="G239" s="60" t="s">
        <v>100</v>
      </c>
      <c r="H239" s="60" t="s">
        <v>100</v>
      </c>
      <c r="I239" s="60" t="s">
        <v>694</v>
      </c>
      <c r="J239" s="60" t="s">
        <v>100</v>
      </c>
      <c r="K239" s="60" t="s">
        <v>100</v>
      </c>
      <c r="L239" s="60" t="s">
        <v>19</v>
      </c>
      <c r="M239" s="60">
        <v>3.75</v>
      </c>
      <c r="N239" s="60">
        <v>2.8</v>
      </c>
    </row>
    <row r="240" spans="1:15" ht="16.350000000000001" customHeight="1" x14ac:dyDescent="0.25">
      <c r="A240" s="71">
        <v>38</v>
      </c>
      <c r="B240" s="71">
        <v>36</v>
      </c>
      <c r="C240" s="60">
        <v>239</v>
      </c>
      <c r="D240" s="60" t="s">
        <v>55</v>
      </c>
      <c r="E240" s="60" t="s">
        <v>768</v>
      </c>
      <c r="F240" s="60">
        <v>0</v>
      </c>
      <c r="G240" s="60">
        <v>16.399999999999999</v>
      </c>
      <c r="H240" s="60">
        <v>0</v>
      </c>
      <c r="I240" s="60">
        <v>1</v>
      </c>
    </row>
    <row r="241" spans="1:15" ht="16.350000000000001" customHeight="1" x14ac:dyDescent="0.25">
      <c r="A241" s="71">
        <v>38</v>
      </c>
      <c r="B241" s="71">
        <v>37</v>
      </c>
      <c r="C241" s="60">
        <v>240</v>
      </c>
      <c r="D241" s="60" t="s">
        <v>39</v>
      </c>
      <c r="E241" s="60">
        <v>0</v>
      </c>
      <c r="F241" s="60">
        <v>0</v>
      </c>
      <c r="G241" s="60">
        <v>4</v>
      </c>
      <c r="H241" s="60">
        <v>5000</v>
      </c>
    </row>
    <row r="247" spans="1:15" ht="16.350000000000001" customHeight="1" x14ac:dyDescent="0.25">
      <c r="O247" s="72"/>
    </row>
    <row r="258" spans="15:15" ht="16.350000000000001" customHeight="1" x14ac:dyDescent="0.25">
      <c r="O258" s="72"/>
    </row>
    <row r="269" spans="15:15" ht="16.350000000000001" customHeight="1" x14ac:dyDescent="0.25">
      <c r="O269" s="72"/>
    </row>
    <row r="280" spans="15:15" ht="16.350000000000001" customHeight="1" x14ac:dyDescent="0.25">
      <c r="O280" s="72"/>
    </row>
    <row r="291" spans="15:15" ht="16.350000000000001" customHeight="1" x14ac:dyDescent="0.25">
      <c r="O291" s="72"/>
    </row>
    <row r="302" spans="15:15" ht="16.350000000000001" customHeight="1" x14ac:dyDescent="0.25">
      <c r="O302" s="72"/>
    </row>
    <row r="313" spans="15:15" ht="16.350000000000001" customHeight="1" x14ac:dyDescent="0.25">
      <c r="O313" s="72"/>
    </row>
    <row r="324" spans="15:15" ht="16.350000000000001" customHeight="1" x14ac:dyDescent="0.25">
      <c r="O324" s="72"/>
    </row>
    <row r="335" spans="15:15" ht="16.350000000000001" customHeight="1" x14ac:dyDescent="0.25">
      <c r="O335" s="72"/>
    </row>
    <row r="346" spans="15:15" ht="16.350000000000001" customHeight="1" x14ac:dyDescent="0.25">
      <c r="O346" s="72"/>
    </row>
    <row r="357" spans="15:15" ht="16.350000000000001" customHeight="1" x14ac:dyDescent="0.25">
      <c r="O357" s="72"/>
    </row>
    <row r="368" spans="15:15" ht="16.350000000000001" customHeight="1" x14ac:dyDescent="0.25">
      <c r="O368" s="72"/>
    </row>
    <row r="379" spans="15:15" ht="16.350000000000001" customHeight="1" x14ac:dyDescent="0.25">
      <c r="O379" s="72"/>
    </row>
    <row r="390" spans="15:15" ht="16.350000000000001" customHeight="1" x14ac:dyDescent="0.25">
      <c r="O390" s="72"/>
    </row>
    <row r="401" spans="15:15" ht="16.350000000000001" customHeight="1" x14ac:dyDescent="0.25">
      <c r="O401" s="72"/>
    </row>
    <row r="412" spans="15:15" ht="16.350000000000001" customHeight="1" x14ac:dyDescent="0.25">
      <c r="O412" s="72"/>
    </row>
    <row r="423" spans="15:15" ht="16.350000000000001" customHeight="1" x14ac:dyDescent="0.25">
      <c r="O423" s="72"/>
    </row>
    <row r="434" spans="15:15" ht="16.350000000000001" customHeight="1" x14ac:dyDescent="0.25">
      <c r="O434" s="72"/>
    </row>
    <row r="445" spans="15:15" ht="16.350000000000001" customHeight="1" x14ac:dyDescent="0.25">
      <c r="O445" s="72"/>
    </row>
    <row r="456" spans="15:15" ht="16.350000000000001" customHeight="1" x14ac:dyDescent="0.25">
      <c r="O456" s="72"/>
    </row>
    <row r="467" spans="15:15" ht="16.350000000000001" customHeight="1" x14ac:dyDescent="0.25">
      <c r="O467" s="72"/>
    </row>
    <row r="478" spans="15:15" ht="16.350000000000001" customHeight="1" x14ac:dyDescent="0.25">
      <c r="O478" s="72"/>
    </row>
    <row r="489" spans="15:15" ht="16.350000000000001" customHeight="1" x14ac:dyDescent="0.25">
      <c r="O489" s="72"/>
    </row>
    <row r="500" spans="15:15" ht="16.350000000000001" customHeight="1" x14ac:dyDescent="0.25">
      <c r="O500" s="72"/>
    </row>
    <row r="511" spans="15:15" ht="16.350000000000001" customHeight="1" x14ac:dyDescent="0.25">
      <c r="O511" s="72"/>
    </row>
    <row r="522" spans="15:15" ht="16.350000000000001" customHeight="1" x14ac:dyDescent="0.25">
      <c r="O522" s="72"/>
    </row>
    <row r="533" spans="15:15" ht="16.350000000000001" customHeight="1" x14ac:dyDescent="0.25">
      <c r="O533" s="72"/>
    </row>
    <row r="544" spans="15:15" ht="16.350000000000001" customHeight="1" x14ac:dyDescent="0.25">
      <c r="O544" s="72"/>
    </row>
    <row r="555" spans="15:15" ht="16.350000000000001" customHeight="1" x14ac:dyDescent="0.25">
      <c r="O555" s="72"/>
    </row>
    <row r="566" spans="15:15" ht="16.350000000000001" customHeight="1" x14ac:dyDescent="0.25">
      <c r="O566" s="72"/>
    </row>
    <row r="577" spans="15:15" ht="16.350000000000001" customHeight="1" x14ac:dyDescent="0.25">
      <c r="O577" s="72"/>
    </row>
    <row r="588" spans="15:15" ht="16.350000000000001" customHeight="1" x14ac:dyDescent="0.25">
      <c r="O588" s="72"/>
    </row>
    <row r="599" spans="15:15" ht="16.350000000000001" customHeight="1" x14ac:dyDescent="0.25">
      <c r="O599" s="72"/>
    </row>
    <row r="610" spans="15:15" ht="16.350000000000001" customHeight="1" x14ac:dyDescent="0.25">
      <c r="O610" s="72"/>
    </row>
    <row r="621" spans="15:15" ht="16.350000000000001" customHeight="1" x14ac:dyDescent="0.25">
      <c r="O621" s="72"/>
    </row>
    <row r="632" spans="15:15" ht="16.350000000000001" customHeight="1" x14ac:dyDescent="0.25">
      <c r="O632" s="72"/>
    </row>
    <row r="643" spans="15:15" ht="16.350000000000001" customHeight="1" x14ac:dyDescent="0.25">
      <c r="O643" s="72"/>
    </row>
    <row r="654" spans="15:15" ht="16.350000000000001" customHeight="1" x14ac:dyDescent="0.25">
      <c r="O654" s="72"/>
    </row>
    <row r="665" spans="15:15" ht="16.350000000000001" customHeight="1" x14ac:dyDescent="0.25">
      <c r="O665" s="72"/>
    </row>
    <row r="676" spans="15:15" ht="16.350000000000001" customHeight="1" x14ac:dyDescent="0.25">
      <c r="O676" s="72"/>
    </row>
    <row r="687" spans="15:15" ht="16.350000000000001" customHeight="1" x14ac:dyDescent="0.25">
      <c r="O687" s="72"/>
    </row>
    <row r="698" spans="15:15" ht="16.350000000000001" customHeight="1" x14ac:dyDescent="0.25">
      <c r="O698" s="72"/>
    </row>
    <row r="709" spans="15:15" ht="16.350000000000001" customHeight="1" x14ac:dyDescent="0.25">
      <c r="O709" s="72"/>
    </row>
    <row r="720" spans="15:15" ht="16.350000000000001" customHeight="1" x14ac:dyDescent="0.25">
      <c r="O720" s="72"/>
    </row>
    <row r="731" spans="15:15" ht="16.350000000000001" customHeight="1" x14ac:dyDescent="0.25">
      <c r="O731" s="72"/>
    </row>
    <row r="742" spans="15:15" ht="16.350000000000001" customHeight="1" x14ac:dyDescent="0.25">
      <c r="O742" s="72"/>
    </row>
    <row r="753" spans="15:15" ht="16.350000000000001" customHeight="1" x14ac:dyDescent="0.25">
      <c r="O753" s="72"/>
    </row>
    <row r="764" spans="15:15" ht="16.350000000000001" customHeight="1" x14ac:dyDescent="0.25">
      <c r="O764" s="72"/>
    </row>
    <row r="775" spans="15:15" ht="16.350000000000001" customHeight="1" x14ac:dyDescent="0.25">
      <c r="O775" s="72"/>
    </row>
    <row r="786" spans="15:15" ht="16.350000000000001" customHeight="1" x14ac:dyDescent="0.25">
      <c r="O786" s="72"/>
    </row>
    <row r="797" spans="15:15" ht="16.350000000000001" customHeight="1" x14ac:dyDescent="0.25">
      <c r="O797" s="72"/>
    </row>
    <row r="808" spans="15:15" ht="16.350000000000001" customHeight="1" x14ac:dyDescent="0.25">
      <c r="O808" s="72"/>
    </row>
    <row r="819" spans="15:15" ht="16.350000000000001" customHeight="1" x14ac:dyDescent="0.25">
      <c r="O819" s="72"/>
    </row>
    <row r="830" spans="15:15" ht="16.350000000000001" customHeight="1" x14ac:dyDescent="0.25">
      <c r="O830" s="72"/>
    </row>
    <row r="841" spans="15:15" ht="16.350000000000001" customHeight="1" x14ac:dyDescent="0.25">
      <c r="O841" s="72"/>
    </row>
    <row r="852" spans="15:15" ht="16.350000000000001" customHeight="1" x14ac:dyDescent="0.25">
      <c r="O852" s="72"/>
    </row>
    <row r="863" spans="15:15" ht="16.350000000000001" customHeight="1" x14ac:dyDescent="0.25">
      <c r="O863" s="7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3:AT180"/>
  <sheetViews>
    <sheetView topLeftCell="A111" workbookViewId="0">
      <selection activeCell="A139" sqref="A139:AN180"/>
    </sheetView>
  </sheetViews>
  <sheetFormatPr defaultRowHeight="15" x14ac:dyDescent="0.25"/>
  <sheetData>
    <row r="3" spans="1:46" x14ac:dyDescent="0.25">
      <c r="A3" s="58" t="s">
        <v>129</v>
      </c>
      <c r="B3" s="2" t="s">
        <v>646</v>
      </c>
      <c r="C3" s="58" t="s">
        <v>128</v>
      </c>
      <c r="D3" s="2" t="s">
        <v>645</v>
      </c>
      <c r="G3" s="58" t="s">
        <v>129</v>
      </c>
      <c r="H3" s="2" t="s">
        <v>615</v>
      </c>
      <c r="I3" s="58" t="s">
        <v>128</v>
      </c>
      <c r="J3" s="2" t="s">
        <v>617</v>
      </c>
      <c r="U3" s="89"/>
      <c r="AO3" t="s">
        <v>130</v>
      </c>
      <c r="AP3" t="s">
        <v>647</v>
      </c>
      <c r="AQ3" t="s">
        <v>129</v>
      </c>
      <c r="AR3" t="s">
        <v>646</v>
      </c>
      <c r="AS3" t="s">
        <v>128</v>
      </c>
      <c r="AT3" t="s">
        <v>645</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0.25</v>
      </c>
      <c r="U6" s="5" t="s">
        <v>44</v>
      </c>
    </row>
    <row r="7" spans="1:46" x14ac:dyDescent="0.25">
      <c r="A7" s="2">
        <v>3</v>
      </c>
      <c r="B7" s="2" t="s">
        <v>616</v>
      </c>
      <c r="C7" s="2"/>
      <c r="D7" s="2"/>
      <c r="E7" s="2"/>
      <c r="F7" s="2"/>
      <c r="G7" s="2"/>
      <c r="H7" s="2"/>
      <c r="I7" s="2"/>
      <c r="J7" s="2"/>
      <c r="K7" s="2"/>
      <c r="L7" s="2"/>
      <c r="M7" s="2"/>
      <c r="N7" s="2"/>
      <c r="O7" s="2"/>
      <c r="P7" s="2"/>
      <c r="Q7" s="2"/>
      <c r="S7" s="5" t="s">
        <v>87</v>
      </c>
      <c r="T7" s="5">
        <v>1</v>
      </c>
      <c r="U7" s="5" t="s">
        <v>89</v>
      </c>
    </row>
    <row r="8" spans="1:46" x14ac:dyDescent="0.25">
      <c r="A8" s="2">
        <v>4</v>
      </c>
      <c r="B8" s="2"/>
      <c r="C8" s="2"/>
      <c r="D8" s="2"/>
      <c r="E8" s="2"/>
      <c r="F8" s="2"/>
      <c r="G8" s="2"/>
      <c r="H8" s="2"/>
      <c r="I8" s="2"/>
      <c r="J8" s="2"/>
      <c r="K8" s="2"/>
      <c r="L8" s="2"/>
      <c r="M8" s="2"/>
      <c r="N8" s="2"/>
      <c r="O8" s="2"/>
      <c r="P8" s="2"/>
      <c r="Q8" s="2"/>
      <c r="S8" s="5" t="s">
        <v>88</v>
      </c>
      <c r="T8" s="5">
        <v>0.4</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1800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t="s">
        <v>44</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632</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8000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t="s">
        <v>644</v>
      </c>
      <c r="T34" s="75" t="s">
        <v>467</v>
      </c>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652</v>
      </c>
      <c r="C37" s="58" t="s">
        <v>128</v>
      </c>
      <c r="D37" s="2" t="s">
        <v>645</v>
      </c>
      <c r="G37" s="58" t="s">
        <v>129</v>
      </c>
      <c r="H37" s="2" t="s">
        <v>375</v>
      </c>
      <c r="I37" s="58" t="s">
        <v>128</v>
      </c>
      <c r="J37" s="2" t="s">
        <v>617</v>
      </c>
      <c r="U37" s="89"/>
      <c r="AO37" t="s">
        <v>130</v>
      </c>
      <c r="AP37" t="s">
        <v>653</v>
      </c>
      <c r="AQ37" t="s">
        <v>129</v>
      </c>
      <c r="AR37" t="s">
        <v>652</v>
      </c>
      <c r="AS37" t="s">
        <v>128</v>
      </c>
      <c r="AT37" t="s">
        <v>645</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2" t="s">
        <v>1</v>
      </c>
      <c r="C39" s="2" t="s">
        <v>18</v>
      </c>
      <c r="D39" s="2">
        <v>50</v>
      </c>
      <c r="E39" s="2">
        <v>50</v>
      </c>
      <c r="F39" s="2">
        <v>0</v>
      </c>
      <c r="G39" s="2" t="s">
        <v>343</v>
      </c>
      <c r="H39" s="2" t="s">
        <v>100</v>
      </c>
      <c r="I39" s="2" t="s">
        <v>100</v>
      </c>
      <c r="J39" s="2" t="s">
        <v>19</v>
      </c>
      <c r="K39" s="2">
        <v>0.4</v>
      </c>
      <c r="L39" s="2">
        <v>0.2</v>
      </c>
      <c r="M39" s="2"/>
      <c r="N39" s="2"/>
      <c r="O39" s="2"/>
      <c r="P39" s="2"/>
      <c r="Q39" s="2"/>
      <c r="S39" s="95" t="s">
        <v>40</v>
      </c>
      <c r="T39" s="3"/>
      <c r="U39" s="5"/>
    </row>
    <row r="40" spans="1:46" x14ac:dyDescent="0.25">
      <c r="A40" s="2">
        <v>2</v>
      </c>
      <c r="B40" s="2" t="s">
        <v>1</v>
      </c>
      <c r="C40" s="2" t="s">
        <v>18</v>
      </c>
      <c r="D40" s="2" t="s">
        <v>100</v>
      </c>
      <c r="E40" s="2" t="s">
        <v>100</v>
      </c>
      <c r="F40" s="2" t="s">
        <v>100</v>
      </c>
      <c r="G40" s="2" t="s">
        <v>100</v>
      </c>
      <c r="H40" s="2" t="s">
        <v>343</v>
      </c>
      <c r="I40" s="2" t="s">
        <v>100</v>
      </c>
      <c r="J40" s="2" t="s">
        <v>19</v>
      </c>
      <c r="K40" s="2">
        <v>0.4</v>
      </c>
      <c r="L40" s="2">
        <v>0.2</v>
      </c>
      <c r="M40" s="2"/>
      <c r="N40" s="2"/>
      <c r="O40" s="2"/>
      <c r="P40" s="2"/>
      <c r="Q40" s="2"/>
      <c r="S40" s="5" t="s">
        <v>98</v>
      </c>
      <c r="T40" s="5">
        <v>0.2</v>
      </c>
      <c r="U40" s="5" t="s">
        <v>44</v>
      </c>
    </row>
    <row r="41" spans="1:46" x14ac:dyDescent="0.25">
      <c r="A41" s="2">
        <v>3</v>
      </c>
      <c r="B41" s="2" t="s">
        <v>1</v>
      </c>
      <c r="C41" s="2" t="s">
        <v>18</v>
      </c>
      <c r="D41" s="2" t="s">
        <v>100</v>
      </c>
      <c r="E41" s="2" t="s">
        <v>100</v>
      </c>
      <c r="F41" s="2" t="s">
        <v>100</v>
      </c>
      <c r="G41" s="2" t="s">
        <v>344</v>
      </c>
      <c r="H41" s="2" t="s">
        <v>100</v>
      </c>
      <c r="I41" s="2" t="s">
        <v>100</v>
      </c>
      <c r="J41" s="2" t="s">
        <v>19</v>
      </c>
      <c r="K41" s="2">
        <v>0.4</v>
      </c>
      <c r="L41" s="2">
        <v>0.2</v>
      </c>
      <c r="M41" s="2"/>
      <c r="N41" s="2"/>
      <c r="O41" s="2"/>
      <c r="P41" s="2"/>
      <c r="Q41" s="2"/>
      <c r="S41" s="5" t="s">
        <v>87</v>
      </c>
      <c r="T41" s="5">
        <v>1</v>
      </c>
      <c r="U41" s="5" t="s">
        <v>89</v>
      </c>
    </row>
    <row r="42" spans="1:46" x14ac:dyDescent="0.25">
      <c r="A42" s="2">
        <v>4</v>
      </c>
      <c r="B42" s="2" t="s">
        <v>1</v>
      </c>
      <c r="C42" s="2" t="s">
        <v>18</v>
      </c>
      <c r="D42" s="2" t="s">
        <v>100</v>
      </c>
      <c r="E42" s="2" t="s">
        <v>100</v>
      </c>
      <c r="F42" s="2" t="s">
        <v>100</v>
      </c>
      <c r="G42" s="2" t="s">
        <v>100</v>
      </c>
      <c r="H42" s="2" t="s">
        <v>344</v>
      </c>
      <c r="I42" s="2" t="s">
        <v>100</v>
      </c>
      <c r="J42" s="2" t="s">
        <v>19</v>
      </c>
      <c r="K42" s="2">
        <v>0.4</v>
      </c>
      <c r="L42" s="2">
        <v>0.2</v>
      </c>
      <c r="M42" s="2"/>
      <c r="N42" s="2"/>
      <c r="O42" s="2"/>
      <c r="P42" s="2"/>
      <c r="Q42" s="2"/>
      <c r="S42" s="5" t="s">
        <v>88</v>
      </c>
      <c r="T42" s="5">
        <v>1</v>
      </c>
      <c r="U42" s="5" t="s">
        <v>89</v>
      </c>
    </row>
    <row r="43" spans="1:46" x14ac:dyDescent="0.25">
      <c r="A43" s="2">
        <v>5</v>
      </c>
      <c r="B43" s="2" t="s">
        <v>55</v>
      </c>
      <c r="C43" s="98" t="s">
        <v>270</v>
      </c>
      <c r="D43" s="2">
        <v>0</v>
      </c>
      <c r="E43" s="2">
        <v>0</v>
      </c>
      <c r="F43" s="2">
        <v>0.2</v>
      </c>
      <c r="G43" s="2">
        <v>250</v>
      </c>
      <c r="H43" s="2"/>
      <c r="I43" s="2"/>
      <c r="J43" s="2"/>
      <c r="K43" s="2"/>
      <c r="L43" s="2"/>
      <c r="M43" s="2"/>
      <c r="N43" s="2"/>
      <c r="O43" s="2"/>
      <c r="P43" s="2"/>
      <c r="Q43" s="2"/>
      <c r="S43" s="5" t="s">
        <v>193</v>
      </c>
      <c r="T43" s="5" t="s">
        <v>204</v>
      </c>
      <c r="U43" s="5"/>
    </row>
    <row r="44" spans="1:46" x14ac:dyDescent="0.25">
      <c r="A44" s="2">
        <v>6</v>
      </c>
      <c r="B44" s="2"/>
      <c r="C44" s="2"/>
      <c r="D44" s="2"/>
      <c r="E44" s="2"/>
      <c r="F44" s="2"/>
      <c r="G44" s="2"/>
      <c r="H44" s="2"/>
      <c r="I44" s="2"/>
      <c r="J44" s="2"/>
      <c r="K44" s="2"/>
      <c r="L44" s="2"/>
      <c r="M44" s="2"/>
      <c r="N44" s="2"/>
      <c r="O44" s="2"/>
      <c r="P44" s="2"/>
      <c r="Q44" s="2"/>
      <c r="S44" s="5" t="s">
        <v>194</v>
      </c>
      <c r="T44" s="5">
        <v>0</v>
      </c>
      <c r="U44" s="5"/>
    </row>
    <row r="45" spans="1:46" x14ac:dyDescent="0.25">
      <c r="A45" s="2">
        <v>7</v>
      </c>
      <c r="B45" s="2"/>
      <c r="C45" s="2"/>
      <c r="D45" s="2"/>
      <c r="E45" s="2"/>
      <c r="F45" s="2"/>
      <c r="G45" s="2"/>
      <c r="H45" s="2"/>
      <c r="I45" s="2"/>
      <c r="J45" s="2"/>
      <c r="K45" s="2"/>
      <c r="L45" s="2"/>
      <c r="M45" s="2"/>
      <c r="N45" s="2"/>
      <c r="O45" s="2"/>
      <c r="P45" s="2"/>
      <c r="Q45" s="2"/>
      <c r="S45" s="57"/>
      <c r="T45" s="57"/>
      <c r="U45" s="90"/>
    </row>
    <row r="46" spans="1:46" x14ac:dyDescent="0.25">
      <c r="A46" s="2">
        <v>8</v>
      </c>
      <c r="B46" s="2"/>
      <c r="C46" s="2"/>
      <c r="D46" s="2"/>
      <c r="E46" s="2"/>
      <c r="F46" s="2"/>
      <c r="G46" s="2"/>
      <c r="H46" s="2"/>
      <c r="I46" s="2"/>
      <c r="J46" s="2"/>
      <c r="K46" s="2"/>
      <c r="L46" s="2"/>
      <c r="M46" s="2"/>
      <c r="N46" s="2"/>
      <c r="O46" s="2"/>
      <c r="P46" s="2"/>
      <c r="Q46" s="2"/>
      <c r="S46" s="5" t="s">
        <v>338</v>
      </c>
      <c r="T46" s="5">
        <v>60</v>
      </c>
      <c r="U46" s="5" t="s">
        <v>43</v>
      </c>
      <c r="V46" s="1"/>
    </row>
    <row r="47" spans="1:46" x14ac:dyDescent="0.25">
      <c r="A47" s="2">
        <v>9</v>
      </c>
      <c r="B47" s="2"/>
      <c r="C47" s="2"/>
      <c r="D47" s="2"/>
      <c r="E47" s="2"/>
      <c r="F47" s="2"/>
      <c r="G47" s="2"/>
      <c r="H47" s="2"/>
      <c r="I47" s="2"/>
      <c r="J47" s="2"/>
      <c r="K47" s="2"/>
      <c r="L47" s="2"/>
      <c r="M47" s="2"/>
      <c r="N47" s="2"/>
      <c r="O47" s="2"/>
      <c r="P47" s="2"/>
      <c r="Q47" s="2"/>
      <c r="S47" s="5" t="s">
        <v>85</v>
      </c>
      <c r="T47" s="5">
        <v>1000</v>
      </c>
      <c r="U47" s="5" t="s">
        <v>45</v>
      </c>
    </row>
    <row r="48" spans="1:46" x14ac:dyDescent="0.25">
      <c r="A48" s="2">
        <v>10</v>
      </c>
      <c r="B48" s="2"/>
      <c r="C48" s="2"/>
      <c r="D48" s="2"/>
      <c r="E48" s="2"/>
      <c r="F48" s="2"/>
      <c r="G48" s="2"/>
      <c r="H48" s="2"/>
      <c r="I48" s="2"/>
      <c r="J48" s="2"/>
      <c r="K48" s="2"/>
      <c r="L48" s="2"/>
      <c r="M48" s="2"/>
      <c r="N48" s="2"/>
      <c r="O48" s="2"/>
      <c r="P48" s="2"/>
      <c r="Q48" s="2"/>
      <c r="S48" s="5" t="s">
        <v>86</v>
      </c>
      <c r="T48" s="5">
        <v>9000</v>
      </c>
      <c r="U48" s="5" t="s">
        <v>45</v>
      </c>
    </row>
    <row r="49" spans="1:22" x14ac:dyDescent="0.25">
      <c r="A49" s="2">
        <v>11</v>
      </c>
      <c r="B49" s="2"/>
      <c r="C49" s="2"/>
      <c r="D49" s="2"/>
      <c r="E49" s="2"/>
      <c r="F49" s="2"/>
      <c r="G49" s="2"/>
      <c r="H49" s="2"/>
      <c r="I49" s="2"/>
      <c r="J49" s="2"/>
      <c r="K49" s="2"/>
      <c r="L49" s="2"/>
      <c r="M49" s="2"/>
      <c r="N49" s="2"/>
      <c r="O49" s="2"/>
      <c r="P49" s="2"/>
      <c r="Q49" s="2"/>
      <c r="S49" s="5" t="s">
        <v>41</v>
      </c>
      <c r="T49" s="5">
        <v>210</v>
      </c>
      <c r="U49" s="5" t="s">
        <v>43</v>
      </c>
      <c r="V49" s="1"/>
    </row>
    <row r="50" spans="1:22" x14ac:dyDescent="0.25">
      <c r="A50" s="2">
        <v>12</v>
      </c>
      <c r="B50" s="2"/>
      <c r="C50" s="2"/>
      <c r="D50" s="2"/>
      <c r="E50" s="2"/>
      <c r="F50" s="2"/>
      <c r="G50" s="2"/>
      <c r="H50" s="2"/>
      <c r="I50" s="2"/>
      <c r="J50" s="2"/>
      <c r="K50" s="2"/>
      <c r="L50" s="2"/>
      <c r="M50" s="2"/>
      <c r="N50" s="2"/>
      <c r="O50" s="2"/>
      <c r="P50" s="2"/>
      <c r="Q50" s="2"/>
      <c r="S50" s="5" t="s">
        <v>42</v>
      </c>
      <c r="T50" s="5">
        <v>2.85</v>
      </c>
      <c r="U50" s="5" t="s">
        <v>44</v>
      </c>
    </row>
    <row r="51" spans="1:22" x14ac:dyDescent="0.25">
      <c r="A51" s="2">
        <v>13</v>
      </c>
      <c r="B51" s="2"/>
      <c r="C51" s="2"/>
      <c r="D51" s="2"/>
      <c r="E51" s="2"/>
      <c r="F51" s="2"/>
      <c r="G51" s="2"/>
      <c r="H51" s="2"/>
      <c r="I51" s="2"/>
      <c r="J51" s="2"/>
      <c r="K51" s="2"/>
      <c r="L51" s="2"/>
      <c r="M51" s="2"/>
      <c r="N51" s="2"/>
      <c r="O51" s="2"/>
      <c r="P51" s="2"/>
      <c r="Q51" s="2"/>
      <c r="S51" s="5" t="s">
        <v>46</v>
      </c>
      <c r="T51" s="5" t="s">
        <v>82</v>
      </c>
      <c r="U51" s="5" t="s">
        <v>90</v>
      </c>
    </row>
    <row r="52" spans="1:22" x14ac:dyDescent="0.25">
      <c r="A52" s="2">
        <v>14</v>
      </c>
      <c r="B52" s="2"/>
      <c r="C52" s="2"/>
      <c r="D52" s="2"/>
      <c r="E52" s="2"/>
      <c r="F52" s="2"/>
      <c r="G52" s="2"/>
      <c r="H52" s="2"/>
      <c r="I52" s="2"/>
      <c r="J52" s="2"/>
      <c r="K52" s="2"/>
      <c r="L52" s="2"/>
      <c r="M52" s="2"/>
      <c r="N52" s="2"/>
      <c r="O52" s="2"/>
      <c r="P52" s="2"/>
      <c r="Q52" s="2"/>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654</v>
      </c>
      <c r="C71" s="58" t="s">
        <v>128</v>
      </c>
      <c r="D71" s="2" t="s">
        <v>645</v>
      </c>
      <c r="G71" s="58" t="s">
        <v>129</v>
      </c>
      <c r="H71" s="2" t="s">
        <v>648</v>
      </c>
      <c r="I71" s="58" t="s">
        <v>128</v>
      </c>
      <c r="J71" s="2" t="s">
        <v>617</v>
      </c>
      <c r="U71" s="89"/>
      <c r="AO71" t="s">
        <v>130</v>
      </c>
      <c r="AP71" t="s">
        <v>655</v>
      </c>
      <c r="AQ71" t="s">
        <v>129</v>
      </c>
      <c r="AR71" t="s">
        <v>654</v>
      </c>
      <c r="AS71" t="s">
        <v>128</v>
      </c>
      <c r="AT71" t="s">
        <v>645</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614</v>
      </c>
      <c r="C73" s="2"/>
      <c r="D73" s="2"/>
      <c r="E73" s="2"/>
      <c r="F73" s="2"/>
      <c r="G73" s="2"/>
      <c r="H73" s="2"/>
      <c r="I73" s="2"/>
      <c r="J73" s="2"/>
      <c r="K73" s="2"/>
      <c r="L73" s="2"/>
      <c r="M73" s="2"/>
      <c r="N73" s="2"/>
      <c r="O73" s="2"/>
      <c r="P73" s="2"/>
      <c r="Q73" s="2"/>
      <c r="S73" s="95" t="s">
        <v>40</v>
      </c>
      <c r="T73" s="3"/>
      <c r="U73" s="5"/>
    </row>
    <row r="74" spans="1:46" x14ac:dyDescent="0.25">
      <c r="A74" s="2">
        <v>2</v>
      </c>
      <c r="B74" s="2"/>
      <c r="C74" s="2"/>
      <c r="D74" s="2"/>
      <c r="E74" s="2"/>
      <c r="F74" s="2"/>
      <c r="G74" s="2"/>
      <c r="H74" s="2"/>
      <c r="I74" s="2"/>
      <c r="J74" s="2"/>
      <c r="K74" s="2"/>
      <c r="L74" s="2"/>
      <c r="M74" s="2"/>
      <c r="N74" s="2"/>
      <c r="O74" s="2"/>
      <c r="P74" s="2"/>
      <c r="Q74" s="2"/>
      <c r="S74" s="5" t="s">
        <v>98</v>
      </c>
      <c r="T74" s="5">
        <v>0.25</v>
      </c>
      <c r="U74" s="5" t="s">
        <v>44</v>
      </c>
    </row>
    <row r="75" spans="1:46" x14ac:dyDescent="0.25">
      <c r="A75" s="2">
        <v>3</v>
      </c>
      <c r="B75" s="2" t="s">
        <v>616</v>
      </c>
      <c r="C75" s="2"/>
      <c r="D75" s="2"/>
      <c r="E75" s="2"/>
      <c r="F75" s="2"/>
      <c r="G75" s="2"/>
      <c r="H75" s="2"/>
      <c r="I75" s="2"/>
      <c r="J75" s="2"/>
      <c r="K75" s="2"/>
      <c r="L75" s="2"/>
      <c r="M75" s="2"/>
      <c r="N75" s="2"/>
      <c r="O75" s="2"/>
      <c r="P75" s="2"/>
      <c r="Q75" s="2"/>
      <c r="S75" s="5" t="s">
        <v>87</v>
      </c>
      <c r="T75" s="5">
        <v>1</v>
      </c>
      <c r="U75" s="5" t="s">
        <v>89</v>
      </c>
    </row>
    <row r="76" spans="1:46" x14ac:dyDescent="0.25">
      <c r="A76" s="2">
        <v>4</v>
      </c>
      <c r="B76" s="2"/>
      <c r="C76" s="2"/>
      <c r="D76" s="2"/>
      <c r="E76" s="2"/>
      <c r="F76" s="2"/>
      <c r="G76" s="2"/>
      <c r="H76" s="2"/>
      <c r="I76" s="2"/>
      <c r="J76" s="2"/>
      <c r="K76" s="2"/>
      <c r="L76" s="2"/>
      <c r="M76" s="2"/>
      <c r="N76" s="2"/>
      <c r="O76" s="2"/>
      <c r="P76" s="2"/>
      <c r="Q76" s="2"/>
      <c r="S76" s="5" t="s">
        <v>88</v>
      </c>
      <c r="T76" s="5">
        <v>0.5</v>
      </c>
      <c r="U76" s="5" t="s">
        <v>89</v>
      </c>
    </row>
    <row r="77" spans="1:46" x14ac:dyDescent="0.25">
      <c r="A77" s="2">
        <v>5</v>
      </c>
      <c r="B77" s="2"/>
      <c r="C77" s="2"/>
      <c r="D77" s="2"/>
      <c r="E77" s="2"/>
      <c r="F77" s="2"/>
      <c r="G77" s="2"/>
      <c r="H77" s="2"/>
      <c r="I77" s="2"/>
      <c r="J77" s="2"/>
      <c r="K77" s="2"/>
      <c r="L77" s="2"/>
      <c r="M77" s="2"/>
      <c r="N77" s="2"/>
      <c r="O77" s="2"/>
      <c r="P77" s="2"/>
      <c r="Q77" s="2"/>
      <c r="S77" s="5" t="s">
        <v>193</v>
      </c>
      <c r="T77" s="5" t="s">
        <v>204</v>
      </c>
      <c r="U77" s="5"/>
      <c r="V77" s="5" t="s">
        <v>204</v>
      </c>
      <c r="W77" s="5" t="s">
        <v>204</v>
      </c>
      <c r="X77" s="5" t="s">
        <v>204</v>
      </c>
      <c r="Y77" s="5" t="s">
        <v>204</v>
      </c>
      <c r="Z77" s="5" t="s">
        <v>204</v>
      </c>
      <c r="AA77" s="5" t="s">
        <v>204</v>
      </c>
      <c r="AB77" s="127" t="s">
        <v>466</v>
      </c>
      <c r="AC77" s="128" t="s">
        <v>483</v>
      </c>
      <c r="AD77" s="5" t="s">
        <v>204</v>
      </c>
      <c r="AE77" s="5" t="s">
        <v>204</v>
      </c>
      <c r="AF77" s="5" t="s">
        <v>204</v>
      </c>
      <c r="AG77" s="5" t="s">
        <v>204</v>
      </c>
      <c r="AH77" s="5" t="s">
        <v>204</v>
      </c>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122">
        <v>65</v>
      </c>
      <c r="U80" s="5" t="s">
        <v>43</v>
      </c>
      <c r="V80" s="122">
        <v>60</v>
      </c>
      <c r="W80" s="123">
        <v>60</v>
      </c>
      <c r="X80" s="137">
        <v>60</v>
      </c>
      <c r="Y80" s="124">
        <v>60</v>
      </c>
      <c r="Z80" s="126">
        <v>60</v>
      </c>
      <c r="AA80" s="127">
        <v>60</v>
      </c>
      <c r="AB80" s="127">
        <v>60</v>
      </c>
      <c r="AC80" s="134">
        <v>60</v>
      </c>
      <c r="AD80" s="135">
        <v>60</v>
      </c>
      <c r="AE80" s="136">
        <v>60</v>
      </c>
      <c r="AF80" s="138">
        <v>60</v>
      </c>
      <c r="AG80" s="132">
        <v>60</v>
      </c>
      <c r="AH80" s="139">
        <v>60</v>
      </c>
    </row>
    <row r="81" spans="1:34" x14ac:dyDescent="0.25">
      <c r="A81" s="2">
        <v>9</v>
      </c>
      <c r="B81" s="2"/>
      <c r="C81" s="2"/>
      <c r="D81" s="2"/>
      <c r="E81" s="2"/>
      <c r="F81" s="2"/>
      <c r="G81" s="2"/>
      <c r="H81" s="2"/>
      <c r="I81" s="2"/>
      <c r="J81" s="2"/>
      <c r="K81" s="2"/>
      <c r="L81" s="2"/>
      <c r="M81" s="2"/>
      <c r="N81" s="2"/>
      <c r="O81" s="2"/>
      <c r="P81" s="2"/>
      <c r="Q81" s="2"/>
      <c r="S81" s="5" t="s">
        <v>85</v>
      </c>
      <c r="T81" s="5">
        <v>1500</v>
      </c>
      <c r="U81" s="5" t="s">
        <v>45</v>
      </c>
    </row>
    <row r="82" spans="1:34" x14ac:dyDescent="0.25">
      <c r="A82" s="2">
        <v>10</v>
      </c>
      <c r="B82" s="2"/>
      <c r="C82" s="2"/>
      <c r="D82" s="2"/>
      <c r="E82" s="2"/>
      <c r="F82" s="2"/>
      <c r="G82" s="2"/>
      <c r="H82" s="2"/>
      <c r="I82" s="2"/>
      <c r="J82" s="2"/>
      <c r="K82" s="2"/>
      <c r="L82" s="2"/>
      <c r="M82" s="2"/>
      <c r="N82" s="2"/>
      <c r="O82" s="2"/>
      <c r="P82" s="2"/>
      <c r="Q82" s="2"/>
      <c r="S82" s="5" t="s">
        <v>86</v>
      </c>
      <c r="T82" s="5">
        <v>48000</v>
      </c>
      <c r="U82" s="5" t="s">
        <v>45</v>
      </c>
    </row>
    <row r="83" spans="1:34" x14ac:dyDescent="0.25">
      <c r="A83" s="2">
        <v>11</v>
      </c>
      <c r="B83" s="2"/>
      <c r="C83" s="2"/>
      <c r="D83" s="2"/>
      <c r="E83" s="2"/>
      <c r="F83" s="2"/>
      <c r="G83" s="2"/>
      <c r="H83" s="2"/>
      <c r="I83" s="2"/>
      <c r="J83" s="2"/>
      <c r="K83" s="2"/>
      <c r="L83" s="2"/>
      <c r="M83" s="2"/>
      <c r="N83" s="2"/>
      <c r="O83" s="2"/>
      <c r="P83" s="2"/>
      <c r="Q83" s="2"/>
      <c r="S83" s="5" t="s">
        <v>41</v>
      </c>
      <c r="T83" s="122">
        <v>220</v>
      </c>
      <c r="U83" s="5" t="s">
        <v>43</v>
      </c>
      <c r="V83" s="122">
        <v>210</v>
      </c>
      <c r="W83" s="123">
        <v>210</v>
      </c>
      <c r="X83" s="137">
        <v>210</v>
      </c>
      <c r="Y83" s="124">
        <v>215</v>
      </c>
      <c r="Z83" s="126">
        <v>220</v>
      </c>
      <c r="AA83" s="127">
        <v>210</v>
      </c>
      <c r="AB83" s="127">
        <v>210</v>
      </c>
      <c r="AC83" s="134">
        <v>210</v>
      </c>
      <c r="AD83" s="135">
        <v>210</v>
      </c>
      <c r="AE83" s="136">
        <v>210</v>
      </c>
      <c r="AF83" s="138">
        <v>210</v>
      </c>
      <c r="AG83" s="132">
        <v>210</v>
      </c>
      <c r="AH83" s="139">
        <v>210</v>
      </c>
    </row>
    <row r="84" spans="1:34" x14ac:dyDescent="0.25">
      <c r="A84" s="2">
        <v>12</v>
      </c>
      <c r="B84" s="2"/>
      <c r="C84" s="2"/>
      <c r="D84" s="2"/>
      <c r="E84" s="2"/>
      <c r="F84" s="2"/>
      <c r="G84" s="2"/>
      <c r="H84" s="2"/>
      <c r="I84" s="2"/>
      <c r="J84" s="2"/>
      <c r="K84" s="2"/>
      <c r="L84" s="2"/>
      <c r="M84" s="2"/>
      <c r="N84" s="2"/>
      <c r="O84" s="2"/>
      <c r="P84" s="2"/>
      <c r="Q84" s="2"/>
      <c r="S84" s="5" t="s">
        <v>42</v>
      </c>
      <c r="T84" s="122">
        <v>1.75</v>
      </c>
      <c r="U84" s="5" t="s">
        <v>44</v>
      </c>
      <c r="V84" s="122">
        <v>2.85</v>
      </c>
      <c r="W84" s="123">
        <v>1.75</v>
      </c>
      <c r="X84" s="137">
        <v>1.75</v>
      </c>
      <c r="Y84" s="125">
        <v>1.75</v>
      </c>
      <c r="Z84" s="126">
        <v>1.75</v>
      </c>
      <c r="AA84" s="127">
        <v>1.75</v>
      </c>
      <c r="AB84" s="127">
        <v>1.75</v>
      </c>
      <c r="AC84" s="134">
        <v>1.75</v>
      </c>
      <c r="AD84" s="135">
        <v>1.75</v>
      </c>
      <c r="AE84" s="136">
        <v>1.75</v>
      </c>
      <c r="AF84" s="138">
        <v>1.75</v>
      </c>
      <c r="AG84" s="132">
        <v>2.85</v>
      </c>
      <c r="AH84" s="139">
        <v>1.75</v>
      </c>
    </row>
    <row r="85" spans="1:34" x14ac:dyDescent="0.25">
      <c r="A85" s="2">
        <v>13</v>
      </c>
      <c r="B85" s="2"/>
      <c r="C85" s="2"/>
      <c r="D85" s="2"/>
      <c r="E85" s="2"/>
      <c r="F85" s="2"/>
      <c r="G85" s="2"/>
      <c r="H85" s="2"/>
      <c r="I85" s="2"/>
      <c r="J85" s="2"/>
      <c r="K85" s="2"/>
      <c r="L85" s="2"/>
      <c r="M85" s="2"/>
      <c r="N85" s="2"/>
      <c r="O85" s="2"/>
      <c r="P85" s="2"/>
      <c r="Q85" s="2"/>
      <c r="S85" s="5" t="s">
        <v>46</v>
      </c>
      <c r="T85" s="122">
        <v>33</v>
      </c>
      <c r="U85" s="5" t="s">
        <v>90</v>
      </c>
      <c r="V85" s="122" t="s">
        <v>82</v>
      </c>
      <c r="W85" s="123" t="s">
        <v>44</v>
      </c>
      <c r="X85" s="137" t="s">
        <v>44</v>
      </c>
      <c r="Y85" s="125" t="s">
        <v>44</v>
      </c>
      <c r="Z85" s="126" t="s">
        <v>44</v>
      </c>
      <c r="AA85" s="127" t="s">
        <v>44</v>
      </c>
      <c r="AB85" s="127" t="s">
        <v>44</v>
      </c>
      <c r="AC85" s="134" t="s">
        <v>44</v>
      </c>
      <c r="AD85" s="135" t="s">
        <v>44</v>
      </c>
      <c r="AE85" s="136" t="s">
        <v>44</v>
      </c>
      <c r="AF85" s="138" t="s">
        <v>44</v>
      </c>
      <c r="AG85" s="132" t="s">
        <v>82</v>
      </c>
      <c r="AH85" s="139" t="s">
        <v>44</v>
      </c>
    </row>
    <row r="86" spans="1:34" x14ac:dyDescent="0.25">
      <c r="A86" s="2">
        <v>14</v>
      </c>
      <c r="B86" s="2"/>
      <c r="C86" s="2"/>
      <c r="D86" s="2"/>
      <c r="E86" s="2"/>
      <c r="F86" s="2"/>
      <c r="G86" s="2"/>
      <c r="H86" s="2"/>
      <c r="I86" s="2"/>
      <c r="J86" s="2"/>
      <c r="K86" s="2"/>
      <c r="L86" s="2"/>
      <c r="M86" s="2"/>
      <c r="N86" s="2"/>
      <c r="O86" s="2"/>
      <c r="P86" s="2"/>
      <c r="Q86" s="2"/>
      <c r="S86" s="5" t="s">
        <v>108</v>
      </c>
      <c r="T86" s="122" t="s">
        <v>635</v>
      </c>
      <c r="U86" s="5"/>
      <c r="V86" s="122" t="s">
        <v>153</v>
      </c>
      <c r="W86" s="123" t="s">
        <v>394</v>
      </c>
      <c r="X86" s="137" t="s">
        <v>393</v>
      </c>
      <c r="Y86" s="24" t="s">
        <v>455</v>
      </c>
      <c r="Z86" s="126" t="s">
        <v>425</v>
      </c>
      <c r="AA86" s="127" t="s">
        <v>465</v>
      </c>
      <c r="AB86" s="127" t="s">
        <v>466</v>
      </c>
      <c r="AC86" s="134" t="s">
        <v>489</v>
      </c>
      <c r="AD86" s="135" t="s">
        <v>504</v>
      </c>
      <c r="AE86" s="136" t="s">
        <v>554</v>
      </c>
      <c r="AF86" s="138" t="s">
        <v>558</v>
      </c>
      <c r="AG86" s="132" t="s">
        <v>591</v>
      </c>
      <c r="AH86" s="139" t="s">
        <v>592</v>
      </c>
    </row>
    <row r="87" spans="1:34" x14ac:dyDescent="0.25">
      <c r="A87" s="2">
        <v>15</v>
      </c>
      <c r="B87" s="2"/>
      <c r="C87" s="2"/>
      <c r="D87" s="2"/>
      <c r="E87" s="2"/>
      <c r="F87" s="2"/>
      <c r="G87" s="2"/>
      <c r="H87" s="2"/>
      <c r="I87" s="2"/>
      <c r="J87" s="2"/>
      <c r="K87" s="2"/>
      <c r="L87" s="2"/>
      <c r="M87" s="2"/>
      <c r="N87" s="2"/>
      <c r="O87" s="2"/>
      <c r="P87" s="2"/>
      <c r="Q87" s="2"/>
      <c r="S87" s="5" t="s">
        <v>152</v>
      </c>
      <c r="T87" s="122" t="s">
        <v>635</v>
      </c>
      <c r="U87" s="5"/>
      <c r="V87" s="122" t="s">
        <v>125</v>
      </c>
      <c r="W87" s="123" t="s">
        <v>394</v>
      </c>
      <c r="X87" s="137" t="s">
        <v>393</v>
      </c>
      <c r="Y87" s="24" t="s">
        <v>455</v>
      </c>
      <c r="Z87" s="126" t="s">
        <v>425</v>
      </c>
      <c r="AA87" s="127" t="s">
        <v>465</v>
      </c>
      <c r="AB87" s="127" t="s">
        <v>466</v>
      </c>
      <c r="AC87" s="134" t="s">
        <v>489</v>
      </c>
      <c r="AD87" s="135" t="s">
        <v>504</v>
      </c>
      <c r="AE87" s="136" t="s">
        <v>554</v>
      </c>
      <c r="AF87" s="138" t="s">
        <v>558</v>
      </c>
      <c r="AG87" s="132" t="s">
        <v>591</v>
      </c>
      <c r="AH87" s="139" t="s">
        <v>592</v>
      </c>
    </row>
    <row r="88" spans="1:34"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34"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34"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34" x14ac:dyDescent="0.25">
      <c r="A91" s="29"/>
      <c r="B91" s="29"/>
      <c r="C91" s="29"/>
      <c r="D91" s="29"/>
      <c r="E91" s="29"/>
      <c r="F91" s="29"/>
      <c r="G91" s="29"/>
      <c r="H91" s="29"/>
      <c r="I91" s="29"/>
      <c r="J91" s="29"/>
      <c r="K91" s="29"/>
      <c r="L91" s="29"/>
      <c r="M91" s="29"/>
      <c r="N91" s="29"/>
      <c r="O91" s="29"/>
      <c r="P91" s="29"/>
      <c r="Q91" s="29"/>
      <c r="S91" s="78" t="s">
        <v>339</v>
      </c>
      <c r="T91" s="5">
        <v>185</v>
      </c>
      <c r="U91" s="5"/>
      <c r="V91" s="1"/>
    </row>
    <row r="92" spans="1:34" x14ac:dyDescent="0.25">
      <c r="A92" s="29"/>
      <c r="B92" s="29"/>
      <c r="C92" s="29"/>
      <c r="D92" s="29"/>
      <c r="E92" s="29"/>
      <c r="F92" s="29"/>
      <c r="G92" s="29"/>
      <c r="H92" s="29"/>
      <c r="I92" s="29"/>
      <c r="J92" s="29"/>
      <c r="K92" s="29"/>
      <c r="L92" s="29"/>
      <c r="M92" s="29"/>
      <c r="N92" s="29"/>
      <c r="O92" s="29"/>
      <c r="P92" s="29"/>
      <c r="Q92" s="29"/>
      <c r="S92" s="5" t="s">
        <v>154</v>
      </c>
      <c r="T92" s="5" t="s">
        <v>632</v>
      </c>
      <c r="U92" s="5" t="s">
        <v>158</v>
      </c>
    </row>
    <row r="93" spans="1:34" x14ac:dyDescent="0.25">
      <c r="A93" s="29"/>
      <c r="B93" s="29"/>
      <c r="C93" s="29"/>
      <c r="D93" s="29"/>
      <c r="E93" s="29"/>
      <c r="F93" s="29"/>
      <c r="G93" s="29"/>
      <c r="H93" s="29"/>
      <c r="I93" s="29"/>
      <c r="J93" s="29"/>
      <c r="K93" s="29"/>
      <c r="L93" s="29"/>
      <c r="M93" s="29"/>
      <c r="N93" s="29"/>
      <c r="O93" s="29"/>
      <c r="P93" s="29"/>
      <c r="Q93" s="29"/>
      <c r="S93" s="5" t="s">
        <v>159</v>
      </c>
      <c r="T93" s="5">
        <v>2</v>
      </c>
      <c r="U93" s="5" t="s">
        <v>44</v>
      </c>
      <c r="V93" s="1"/>
    </row>
    <row r="94" spans="1:34" x14ac:dyDescent="0.25">
      <c r="A94" s="29"/>
      <c r="B94" s="29"/>
      <c r="C94" s="29"/>
      <c r="D94" s="29"/>
      <c r="E94" s="29"/>
      <c r="F94" s="29"/>
      <c r="G94" s="29"/>
      <c r="H94" s="29"/>
      <c r="I94" s="29"/>
      <c r="J94" s="29"/>
      <c r="K94" s="29"/>
      <c r="L94" s="29"/>
      <c r="M94" s="29"/>
      <c r="N94" s="29"/>
      <c r="O94" s="29"/>
      <c r="P94" s="29"/>
      <c r="Q94" s="29"/>
      <c r="S94" s="5" t="s">
        <v>160</v>
      </c>
      <c r="T94" s="5">
        <v>1.25</v>
      </c>
      <c r="U94" s="5" t="s">
        <v>90</v>
      </c>
    </row>
    <row r="95" spans="1:34"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34" x14ac:dyDescent="0.25">
      <c r="A96" s="29"/>
      <c r="B96" s="29"/>
      <c r="C96" s="29"/>
      <c r="D96" s="29"/>
      <c r="E96" s="29"/>
      <c r="F96" s="29"/>
      <c r="G96" s="29"/>
      <c r="H96" s="29"/>
      <c r="I96" s="29"/>
      <c r="J96" s="29"/>
      <c r="K96" s="29"/>
      <c r="L96" s="29"/>
      <c r="M96" s="29"/>
      <c r="N96" s="29"/>
      <c r="O96" s="29"/>
      <c r="P96" s="29"/>
      <c r="Q96" s="29"/>
      <c r="S96" s="5" t="s">
        <v>162</v>
      </c>
      <c r="T96" s="5">
        <v>0</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0.65</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10000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t="s">
        <v>644</v>
      </c>
      <c r="T102" s="75" t="s">
        <v>467</v>
      </c>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656</v>
      </c>
      <c r="C105" s="58" t="s">
        <v>128</v>
      </c>
      <c r="D105" s="2" t="s">
        <v>645</v>
      </c>
      <c r="G105" s="58" t="s">
        <v>129</v>
      </c>
      <c r="H105" s="2" t="s">
        <v>648</v>
      </c>
      <c r="I105" s="58" t="s">
        <v>128</v>
      </c>
      <c r="J105" s="2" t="s">
        <v>617</v>
      </c>
      <c r="U105" s="89"/>
      <c r="AO105" t="s">
        <v>130</v>
      </c>
      <c r="AP105" t="s">
        <v>657</v>
      </c>
      <c r="AQ105" t="s">
        <v>129</v>
      </c>
      <c r="AR105" t="s">
        <v>656</v>
      </c>
      <c r="AS105" t="s">
        <v>128</v>
      </c>
      <c r="AT105" t="s">
        <v>645</v>
      </c>
    </row>
    <row r="106" spans="1:46" x14ac:dyDescent="0.25">
      <c r="A106" s="40" t="s">
        <v>0</v>
      </c>
      <c r="B106" s="2"/>
      <c r="C106" s="2"/>
      <c r="D106" s="2"/>
      <c r="E106" s="2"/>
      <c r="F106" s="2"/>
      <c r="G106" s="2"/>
      <c r="H106" s="2"/>
      <c r="I106" s="2"/>
      <c r="J106" s="2"/>
      <c r="K106" s="2"/>
      <c r="L106" s="2"/>
      <c r="M106" s="2"/>
      <c r="N106" s="2"/>
      <c r="O106" s="2"/>
      <c r="P106" s="2"/>
      <c r="Q106" s="58" t="s">
        <v>289</v>
      </c>
      <c r="U106" s="89"/>
    </row>
    <row r="107" spans="1:46" x14ac:dyDescent="0.25">
      <c r="A107" s="2">
        <v>1</v>
      </c>
      <c r="B107" s="2" t="s">
        <v>614</v>
      </c>
      <c r="C107" s="2"/>
      <c r="D107" s="2"/>
      <c r="E107" s="2"/>
      <c r="F107" s="2"/>
      <c r="G107" s="2"/>
      <c r="H107" s="2"/>
      <c r="I107" s="2"/>
      <c r="J107" s="2"/>
      <c r="K107" s="2"/>
      <c r="L107" s="2"/>
      <c r="M107" s="2"/>
      <c r="N107" s="2"/>
      <c r="O107" s="2"/>
      <c r="P107" s="2"/>
      <c r="Q107" s="2"/>
      <c r="S107" s="95" t="s">
        <v>40</v>
      </c>
      <c r="T107" s="3"/>
      <c r="U107" s="5"/>
    </row>
    <row r="108" spans="1:46" x14ac:dyDescent="0.25">
      <c r="A108" s="2">
        <v>2</v>
      </c>
      <c r="B108" s="2"/>
      <c r="C108" s="2"/>
      <c r="D108" s="2"/>
      <c r="E108" s="2"/>
      <c r="F108" s="2"/>
      <c r="G108" s="2"/>
      <c r="H108" s="2"/>
      <c r="I108" s="2"/>
      <c r="J108" s="2"/>
      <c r="K108" s="2"/>
      <c r="L108" s="2"/>
      <c r="M108" s="2"/>
      <c r="N108" s="2"/>
      <c r="O108" s="2"/>
      <c r="P108" s="2"/>
      <c r="Q108" s="2"/>
      <c r="S108" s="5" t="s">
        <v>98</v>
      </c>
      <c r="T108" s="5">
        <v>0.25</v>
      </c>
      <c r="U108" s="5" t="s">
        <v>44</v>
      </c>
    </row>
    <row r="109" spans="1:46" x14ac:dyDescent="0.25">
      <c r="A109" s="2">
        <v>3</v>
      </c>
      <c r="B109" s="2" t="s">
        <v>616</v>
      </c>
      <c r="C109" s="2"/>
      <c r="D109" s="2"/>
      <c r="E109" s="2"/>
      <c r="F109" s="2"/>
      <c r="G109" s="2"/>
      <c r="H109" s="2"/>
      <c r="I109" s="2"/>
      <c r="J109" s="2"/>
      <c r="K109" s="2"/>
      <c r="L109" s="2"/>
      <c r="M109" s="2"/>
      <c r="N109" s="2"/>
      <c r="O109" s="2"/>
      <c r="P109" s="2"/>
      <c r="Q109" s="2"/>
      <c r="S109" s="5" t="s">
        <v>87</v>
      </c>
      <c r="T109" s="5">
        <v>1</v>
      </c>
      <c r="U109" s="5" t="s">
        <v>89</v>
      </c>
    </row>
    <row r="110" spans="1:46" x14ac:dyDescent="0.25">
      <c r="A110" s="2">
        <v>4</v>
      </c>
      <c r="B110" s="2"/>
      <c r="C110" s="2"/>
      <c r="D110" s="2"/>
      <c r="E110" s="2"/>
      <c r="F110" s="2"/>
      <c r="G110" s="2"/>
      <c r="H110" s="2"/>
      <c r="I110" s="2"/>
      <c r="J110" s="2"/>
      <c r="K110" s="2"/>
      <c r="L110" s="2"/>
      <c r="M110" s="2"/>
      <c r="N110" s="2"/>
      <c r="O110" s="2"/>
      <c r="P110" s="2"/>
      <c r="Q110" s="2"/>
      <c r="S110" s="5" t="s">
        <v>88</v>
      </c>
      <c r="T110" s="5">
        <v>0.5</v>
      </c>
      <c r="U110" s="5" t="s">
        <v>89</v>
      </c>
    </row>
    <row r="111" spans="1:46" x14ac:dyDescent="0.25">
      <c r="A111" s="2">
        <v>5</v>
      </c>
      <c r="B111" s="2"/>
      <c r="C111" s="2"/>
      <c r="D111" s="2"/>
      <c r="E111" s="2"/>
      <c r="F111" s="2"/>
      <c r="G111" s="2"/>
      <c r="H111" s="2"/>
      <c r="I111" s="2"/>
      <c r="J111" s="2"/>
      <c r="K111" s="2"/>
      <c r="L111" s="2"/>
      <c r="M111" s="2"/>
      <c r="N111" s="2"/>
      <c r="O111" s="2"/>
      <c r="P111" s="2"/>
      <c r="Q111" s="2"/>
      <c r="S111" s="5" t="s">
        <v>193</v>
      </c>
      <c r="T111" s="5" t="s">
        <v>204</v>
      </c>
      <c r="U111" s="5"/>
      <c r="V111" s="5" t="s">
        <v>204</v>
      </c>
      <c r="W111" s="5" t="s">
        <v>204</v>
      </c>
      <c r="X111" s="5" t="s">
        <v>204</v>
      </c>
      <c r="Y111" s="5" t="s">
        <v>204</v>
      </c>
      <c r="Z111" s="5" t="s">
        <v>204</v>
      </c>
      <c r="AA111" s="5" t="s">
        <v>204</v>
      </c>
      <c r="AB111" s="127" t="s">
        <v>466</v>
      </c>
      <c r="AC111" s="128" t="s">
        <v>483</v>
      </c>
      <c r="AD111" s="5" t="s">
        <v>204</v>
      </c>
      <c r="AE111" s="5" t="s">
        <v>204</v>
      </c>
      <c r="AF111" s="5" t="s">
        <v>204</v>
      </c>
      <c r="AG111" s="5" t="s">
        <v>204</v>
      </c>
      <c r="AH111" s="5" t="s">
        <v>204</v>
      </c>
    </row>
    <row r="112" spans="1:46" x14ac:dyDescent="0.25">
      <c r="A112" s="2">
        <v>6</v>
      </c>
      <c r="B112" s="2"/>
      <c r="C112" s="2"/>
      <c r="D112" s="2"/>
      <c r="E112" s="2"/>
      <c r="F112" s="2"/>
      <c r="G112" s="2"/>
      <c r="H112" s="2"/>
      <c r="I112" s="2"/>
      <c r="J112" s="2"/>
      <c r="K112" s="2"/>
      <c r="L112" s="2"/>
      <c r="M112" s="2"/>
      <c r="N112" s="2"/>
      <c r="O112" s="2"/>
      <c r="P112" s="2"/>
      <c r="Q112" s="2"/>
      <c r="S112" s="5" t="s">
        <v>194</v>
      </c>
      <c r="T112" s="5">
        <v>0</v>
      </c>
      <c r="U112" s="5"/>
    </row>
    <row r="113" spans="1:34" x14ac:dyDescent="0.25">
      <c r="A113" s="2">
        <v>7</v>
      </c>
      <c r="B113" s="2"/>
      <c r="C113" s="2"/>
      <c r="D113" s="2"/>
      <c r="E113" s="2"/>
      <c r="F113" s="2"/>
      <c r="G113" s="2"/>
      <c r="H113" s="2"/>
      <c r="I113" s="2"/>
      <c r="J113" s="2"/>
      <c r="K113" s="2"/>
      <c r="L113" s="2"/>
      <c r="M113" s="2"/>
      <c r="N113" s="2"/>
      <c r="O113" s="2"/>
      <c r="P113" s="2"/>
      <c r="Q113" s="2"/>
      <c r="S113" s="57"/>
      <c r="T113" s="57"/>
      <c r="U113" s="90"/>
    </row>
    <row r="114" spans="1:34" x14ac:dyDescent="0.25">
      <c r="A114" s="2">
        <v>8</v>
      </c>
      <c r="B114" s="2"/>
      <c r="C114" s="2"/>
      <c r="D114" s="2"/>
      <c r="E114" s="2"/>
      <c r="F114" s="2"/>
      <c r="G114" s="2"/>
      <c r="H114" s="2"/>
      <c r="I114" s="2"/>
      <c r="J114" s="2"/>
      <c r="K114" s="2"/>
      <c r="L114" s="2"/>
      <c r="M114" s="2"/>
      <c r="N114" s="2"/>
      <c r="O114" s="2"/>
      <c r="P114" s="2"/>
      <c r="Q114" s="2"/>
      <c r="S114" s="5" t="s">
        <v>338</v>
      </c>
      <c r="T114" s="122">
        <v>65</v>
      </c>
      <c r="U114" s="5" t="s">
        <v>43</v>
      </c>
      <c r="V114" s="122">
        <v>60</v>
      </c>
      <c r="W114" s="123">
        <v>60</v>
      </c>
      <c r="X114" s="137">
        <v>60</v>
      </c>
      <c r="Y114" s="124">
        <v>60</v>
      </c>
      <c r="Z114" s="126">
        <v>60</v>
      </c>
      <c r="AA114" s="127">
        <v>60</v>
      </c>
      <c r="AB114" s="127">
        <v>60</v>
      </c>
      <c r="AC114" s="134">
        <v>60</v>
      </c>
      <c r="AD114" s="135">
        <v>60</v>
      </c>
      <c r="AE114" s="136">
        <v>60</v>
      </c>
      <c r="AF114" s="138">
        <v>60</v>
      </c>
      <c r="AG114" s="132">
        <v>60</v>
      </c>
      <c r="AH114" s="139">
        <v>60</v>
      </c>
    </row>
    <row r="115" spans="1:34" x14ac:dyDescent="0.25">
      <c r="A115" s="2">
        <v>9</v>
      </c>
      <c r="B115" s="2"/>
      <c r="C115" s="2"/>
      <c r="D115" s="2"/>
      <c r="E115" s="2"/>
      <c r="F115" s="2"/>
      <c r="G115" s="2"/>
      <c r="H115" s="2"/>
      <c r="I115" s="2"/>
      <c r="J115" s="2"/>
      <c r="K115" s="2"/>
      <c r="L115" s="2"/>
      <c r="M115" s="2"/>
      <c r="N115" s="2"/>
      <c r="O115" s="2"/>
      <c r="P115" s="2"/>
      <c r="Q115" s="2"/>
      <c r="S115" s="5" t="s">
        <v>85</v>
      </c>
      <c r="T115" s="5">
        <v>1500</v>
      </c>
      <c r="U115" s="5" t="s">
        <v>45</v>
      </c>
    </row>
    <row r="116" spans="1:34" x14ac:dyDescent="0.25">
      <c r="A116" s="2">
        <v>10</v>
      </c>
      <c r="B116" s="2"/>
      <c r="C116" s="2"/>
      <c r="D116" s="2"/>
      <c r="E116" s="2"/>
      <c r="F116" s="2"/>
      <c r="G116" s="2"/>
      <c r="H116" s="2"/>
      <c r="I116" s="2"/>
      <c r="J116" s="2"/>
      <c r="K116" s="2"/>
      <c r="L116" s="2"/>
      <c r="M116" s="2"/>
      <c r="N116" s="2"/>
      <c r="O116" s="2"/>
      <c r="P116" s="2"/>
      <c r="Q116" s="2"/>
      <c r="S116" s="5" t="s">
        <v>86</v>
      </c>
      <c r="T116" s="5">
        <v>48000</v>
      </c>
      <c r="U116" s="5" t="s">
        <v>45</v>
      </c>
    </row>
    <row r="117" spans="1:34" x14ac:dyDescent="0.25">
      <c r="A117" s="2">
        <v>11</v>
      </c>
      <c r="B117" s="2"/>
      <c r="C117" s="2"/>
      <c r="D117" s="2"/>
      <c r="E117" s="2"/>
      <c r="F117" s="2"/>
      <c r="G117" s="2"/>
      <c r="H117" s="2"/>
      <c r="I117" s="2"/>
      <c r="J117" s="2"/>
      <c r="K117" s="2"/>
      <c r="L117" s="2"/>
      <c r="M117" s="2"/>
      <c r="N117" s="2"/>
      <c r="O117" s="2"/>
      <c r="P117" s="2"/>
      <c r="Q117" s="2"/>
      <c r="S117" s="5" t="s">
        <v>41</v>
      </c>
      <c r="T117" s="122">
        <v>220</v>
      </c>
      <c r="U117" s="5" t="s">
        <v>43</v>
      </c>
      <c r="V117" s="122">
        <v>210</v>
      </c>
      <c r="W117" s="123">
        <v>210</v>
      </c>
      <c r="X117" s="137">
        <v>210</v>
      </c>
      <c r="Y117" s="124">
        <v>215</v>
      </c>
      <c r="Z117" s="126">
        <v>220</v>
      </c>
      <c r="AA117" s="127">
        <v>210</v>
      </c>
      <c r="AB117" s="127">
        <v>210</v>
      </c>
      <c r="AC117" s="134">
        <v>210</v>
      </c>
      <c r="AD117" s="135">
        <v>210</v>
      </c>
      <c r="AE117" s="136">
        <v>210</v>
      </c>
      <c r="AF117" s="138">
        <v>210</v>
      </c>
      <c r="AG117" s="132">
        <v>210</v>
      </c>
      <c r="AH117" s="139">
        <v>210</v>
      </c>
    </row>
    <row r="118" spans="1:34" x14ac:dyDescent="0.25">
      <c r="A118" s="2">
        <v>12</v>
      </c>
      <c r="B118" s="2"/>
      <c r="C118" s="2"/>
      <c r="D118" s="2"/>
      <c r="E118" s="2"/>
      <c r="F118" s="2"/>
      <c r="G118" s="2"/>
      <c r="H118" s="2"/>
      <c r="I118" s="2"/>
      <c r="J118" s="2"/>
      <c r="K118" s="2"/>
      <c r="L118" s="2"/>
      <c r="M118" s="2"/>
      <c r="N118" s="2"/>
      <c r="O118" s="2"/>
      <c r="P118" s="2"/>
      <c r="Q118" s="2"/>
      <c r="S118" s="5" t="s">
        <v>42</v>
      </c>
      <c r="T118" s="122">
        <v>1.75</v>
      </c>
      <c r="U118" s="5" t="s">
        <v>44</v>
      </c>
      <c r="V118" s="122">
        <v>2.85</v>
      </c>
      <c r="W118" s="123">
        <v>1.75</v>
      </c>
      <c r="X118" s="137">
        <v>1.75</v>
      </c>
      <c r="Y118" s="125">
        <v>1.75</v>
      </c>
      <c r="Z118" s="126">
        <v>1.75</v>
      </c>
      <c r="AA118" s="127">
        <v>1.75</v>
      </c>
      <c r="AB118" s="127">
        <v>1.75</v>
      </c>
      <c r="AC118" s="134">
        <v>1.75</v>
      </c>
      <c r="AD118" s="135">
        <v>1.75</v>
      </c>
      <c r="AE118" s="136">
        <v>1.75</v>
      </c>
      <c r="AF118" s="138">
        <v>1.75</v>
      </c>
      <c r="AG118" s="132">
        <v>2.85</v>
      </c>
      <c r="AH118" s="139">
        <v>1.75</v>
      </c>
    </row>
    <row r="119" spans="1:34" x14ac:dyDescent="0.25">
      <c r="A119" s="2">
        <v>13</v>
      </c>
      <c r="B119" s="2"/>
      <c r="C119" s="2"/>
      <c r="D119" s="2"/>
      <c r="E119" s="2"/>
      <c r="F119" s="2"/>
      <c r="G119" s="2"/>
      <c r="H119" s="2"/>
      <c r="I119" s="2"/>
      <c r="J119" s="2"/>
      <c r="K119" s="2"/>
      <c r="L119" s="2"/>
      <c r="M119" s="2"/>
      <c r="N119" s="2"/>
      <c r="O119" s="2"/>
      <c r="P119" s="2"/>
      <c r="Q119" s="2"/>
      <c r="S119" s="5" t="s">
        <v>46</v>
      </c>
      <c r="T119" s="122">
        <v>33</v>
      </c>
      <c r="U119" s="5" t="s">
        <v>90</v>
      </c>
      <c r="V119" s="122" t="s">
        <v>82</v>
      </c>
      <c r="W119" s="123" t="s">
        <v>44</v>
      </c>
      <c r="X119" s="137" t="s">
        <v>44</v>
      </c>
      <c r="Y119" s="125" t="s">
        <v>44</v>
      </c>
      <c r="Z119" s="126" t="s">
        <v>44</v>
      </c>
      <c r="AA119" s="127" t="s">
        <v>44</v>
      </c>
      <c r="AB119" s="127" t="s">
        <v>44</v>
      </c>
      <c r="AC119" s="134" t="s">
        <v>44</v>
      </c>
      <c r="AD119" s="135" t="s">
        <v>44</v>
      </c>
      <c r="AE119" s="136" t="s">
        <v>44</v>
      </c>
      <c r="AF119" s="138" t="s">
        <v>44</v>
      </c>
      <c r="AG119" s="132" t="s">
        <v>82</v>
      </c>
      <c r="AH119" s="139" t="s">
        <v>44</v>
      </c>
    </row>
    <row r="120" spans="1:34" x14ac:dyDescent="0.25">
      <c r="A120" s="2">
        <v>14</v>
      </c>
      <c r="B120" s="2"/>
      <c r="C120" s="2"/>
      <c r="D120" s="2"/>
      <c r="E120" s="2"/>
      <c r="F120" s="2"/>
      <c r="G120" s="2"/>
      <c r="H120" s="2"/>
      <c r="I120" s="2"/>
      <c r="J120" s="2"/>
      <c r="K120" s="2"/>
      <c r="L120" s="2"/>
      <c r="M120" s="2"/>
      <c r="N120" s="2"/>
      <c r="O120" s="2"/>
      <c r="P120" s="2"/>
      <c r="Q120" s="2"/>
      <c r="S120" s="5" t="s">
        <v>108</v>
      </c>
      <c r="T120" s="122" t="s">
        <v>635</v>
      </c>
      <c r="U120" s="5"/>
      <c r="V120" s="122" t="s">
        <v>153</v>
      </c>
      <c r="W120" s="123" t="s">
        <v>394</v>
      </c>
      <c r="X120" s="137" t="s">
        <v>393</v>
      </c>
      <c r="Y120" s="24" t="s">
        <v>455</v>
      </c>
      <c r="Z120" s="126" t="s">
        <v>425</v>
      </c>
      <c r="AA120" s="127" t="s">
        <v>465</v>
      </c>
      <c r="AB120" s="127" t="s">
        <v>466</v>
      </c>
      <c r="AC120" s="134" t="s">
        <v>489</v>
      </c>
      <c r="AD120" s="135" t="s">
        <v>504</v>
      </c>
      <c r="AE120" s="136" t="s">
        <v>554</v>
      </c>
      <c r="AF120" s="138" t="s">
        <v>558</v>
      </c>
      <c r="AG120" s="132" t="s">
        <v>591</v>
      </c>
      <c r="AH120" s="139" t="s">
        <v>592</v>
      </c>
    </row>
    <row r="121" spans="1:34" x14ac:dyDescent="0.25">
      <c r="A121" s="2">
        <v>15</v>
      </c>
      <c r="B121" s="2"/>
      <c r="C121" s="2"/>
      <c r="D121" s="2"/>
      <c r="E121" s="2"/>
      <c r="F121" s="2"/>
      <c r="G121" s="2"/>
      <c r="H121" s="2"/>
      <c r="I121" s="2"/>
      <c r="J121" s="2"/>
      <c r="K121" s="2"/>
      <c r="L121" s="2"/>
      <c r="M121" s="2"/>
      <c r="N121" s="2"/>
      <c r="O121" s="2"/>
      <c r="P121" s="2"/>
      <c r="Q121" s="2"/>
      <c r="S121" s="5" t="s">
        <v>152</v>
      </c>
      <c r="T121" s="122" t="s">
        <v>635</v>
      </c>
      <c r="U121" s="5"/>
      <c r="V121" s="122" t="s">
        <v>125</v>
      </c>
      <c r="W121" s="123" t="s">
        <v>394</v>
      </c>
      <c r="X121" s="137" t="s">
        <v>393</v>
      </c>
      <c r="Y121" s="24" t="s">
        <v>455</v>
      </c>
      <c r="Z121" s="126" t="s">
        <v>425</v>
      </c>
      <c r="AA121" s="127" t="s">
        <v>465</v>
      </c>
      <c r="AB121" s="127" t="s">
        <v>466</v>
      </c>
      <c r="AC121" s="134" t="s">
        <v>489</v>
      </c>
      <c r="AD121" s="135" t="s">
        <v>504</v>
      </c>
      <c r="AE121" s="136" t="s">
        <v>554</v>
      </c>
      <c r="AF121" s="138" t="s">
        <v>558</v>
      </c>
      <c r="AG121" s="132" t="s">
        <v>591</v>
      </c>
      <c r="AH121" s="139" t="s">
        <v>592</v>
      </c>
    </row>
    <row r="122" spans="1:34" x14ac:dyDescent="0.25">
      <c r="A122" s="29"/>
      <c r="B122" s="29"/>
      <c r="C122" s="29"/>
      <c r="D122" s="29"/>
      <c r="E122" s="29"/>
      <c r="F122" s="29"/>
      <c r="G122" s="29"/>
      <c r="H122" s="29"/>
      <c r="I122" s="29"/>
      <c r="J122" s="29"/>
      <c r="K122" s="29"/>
      <c r="L122" s="29"/>
      <c r="M122" s="29"/>
      <c r="N122" s="29"/>
      <c r="O122" s="29"/>
      <c r="P122" s="29"/>
      <c r="Q122" s="29"/>
      <c r="S122" s="5" t="s">
        <v>167</v>
      </c>
      <c r="T122" s="5">
        <v>20</v>
      </c>
      <c r="U122" s="5" t="s">
        <v>44</v>
      </c>
    </row>
    <row r="123" spans="1:34" x14ac:dyDescent="0.25">
      <c r="A123" s="29"/>
      <c r="B123" s="29"/>
      <c r="C123" s="29"/>
      <c r="D123" s="29"/>
      <c r="E123" s="29"/>
      <c r="F123" s="29"/>
      <c r="G123" s="29"/>
      <c r="H123" s="29"/>
      <c r="I123" s="29"/>
      <c r="J123" s="29"/>
      <c r="K123" s="29"/>
      <c r="L123" s="29"/>
      <c r="M123" s="29"/>
      <c r="N123" s="29"/>
      <c r="O123" s="29"/>
      <c r="P123" s="29"/>
      <c r="Q123" s="29"/>
      <c r="S123" s="5" t="s">
        <v>168</v>
      </c>
      <c r="T123" s="5">
        <v>10</v>
      </c>
      <c r="U123" s="5" t="s">
        <v>44</v>
      </c>
    </row>
    <row r="124" spans="1:34" x14ac:dyDescent="0.25">
      <c r="A124" s="29"/>
      <c r="B124" s="29"/>
      <c r="C124" s="29"/>
      <c r="D124" s="29"/>
      <c r="E124" s="29"/>
      <c r="F124" s="29"/>
      <c r="G124" s="29"/>
      <c r="H124" s="29"/>
      <c r="I124" s="29"/>
      <c r="J124" s="29"/>
      <c r="K124" s="29"/>
      <c r="L124" s="29"/>
      <c r="M124" s="29"/>
      <c r="N124" s="29"/>
      <c r="O124" s="29"/>
      <c r="P124" s="29"/>
      <c r="Q124" s="29"/>
      <c r="S124" s="5" t="s">
        <v>169</v>
      </c>
      <c r="T124" s="5">
        <v>0.3</v>
      </c>
      <c r="U124" s="5" t="s">
        <v>44</v>
      </c>
    </row>
    <row r="125" spans="1:34" x14ac:dyDescent="0.25">
      <c r="A125" s="29"/>
      <c r="B125" s="29"/>
      <c r="C125" s="29"/>
      <c r="D125" s="29"/>
      <c r="E125" s="29"/>
      <c r="F125" s="29"/>
      <c r="G125" s="29"/>
      <c r="H125" s="29"/>
      <c r="I125" s="29"/>
      <c r="J125" s="29"/>
      <c r="K125" s="29"/>
      <c r="L125" s="29"/>
      <c r="M125" s="29"/>
      <c r="N125" s="29"/>
      <c r="O125" s="29"/>
      <c r="P125" s="29"/>
      <c r="Q125" s="29"/>
      <c r="S125" s="78" t="s">
        <v>339</v>
      </c>
      <c r="T125" s="5">
        <v>185</v>
      </c>
      <c r="U125" s="5"/>
      <c r="V125" s="1"/>
    </row>
    <row r="126" spans="1:34" x14ac:dyDescent="0.25">
      <c r="A126" s="29"/>
      <c r="B126" s="29"/>
      <c r="C126" s="29"/>
      <c r="D126" s="29"/>
      <c r="E126" s="29"/>
      <c r="F126" s="29"/>
      <c r="G126" s="29"/>
      <c r="H126" s="29"/>
      <c r="I126" s="29"/>
      <c r="J126" s="29"/>
      <c r="K126" s="29"/>
      <c r="L126" s="29"/>
      <c r="M126" s="29"/>
      <c r="N126" s="29"/>
      <c r="O126" s="29"/>
      <c r="P126" s="29"/>
      <c r="Q126" s="29"/>
      <c r="S126" s="5" t="s">
        <v>154</v>
      </c>
      <c r="T126" s="5" t="s">
        <v>632</v>
      </c>
      <c r="U126" s="5" t="s">
        <v>158</v>
      </c>
    </row>
    <row r="127" spans="1:34" x14ac:dyDescent="0.25">
      <c r="A127" s="29"/>
      <c r="B127" s="29"/>
      <c r="C127" s="29"/>
      <c r="D127" s="29"/>
      <c r="E127" s="29"/>
      <c r="F127" s="29"/>
      <c r="G127" s="29"/>
      <c r="H127" s="29"/>
      <c r="I127" s="29"/>
      <c r="J127" s="29"/>
      <c r="K127" s="29"/>
      <c r="L127" s="29"/>
      <c r="M127" s="29"/>
      <c r="N127" s="29"/>
      <c r="O127" s="29"/>
      <c r="P127" s="29"/>
      <c r="Q127" s="29"/>
      <c r="S127" s="5" t="s">
        <v>159</v>
      </c>
      <c r="T127" s="5">
        <v>2</v>
      </c>
      <c r="U127" s="5" t="s">
        <v>44</v>
      </c>
      <c r="V127" s="1"/>
    </row>
    <row r="128" spans="1:34" x14ac:dyDescent="0.25">
      <c r="A128" s="29"/>
      <c r="B128" s="29"/>
      <c r="C128" s="29"/>
      <c r="D128" s="29"/>
      <c r="E128" s="29"/>
      <c r="F128" s="29"/>
      <c r="G128" s="29"/>
      <c r="H128" s="29"/>
      <c r="I128" s="29"/>
      <c r="J128" s="29"/>
      <c r="K128" s="29"/>
      <c r="L128" s="29"/>
      <c r="M128" s="29"/>
      <c r="N128" s="29"/>
      <c r="O128" s="29"/>
      <c r="P128" s="29"/>
      <c r="Q128" s="29"/>
      <c r="S128" s="5" t="s">
        <v>160</v>
      </c>
      <c r="T128" s="5">
        <v>1.25</v>
      </c>
      <c r="U128" s="5" t="s">
        <v>90</v>
      </c>
    </row>
    <row r="129" spans="1:46"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46" x14ac:dyDescent="0.25">
      <c r="A130" s="29"/>
      <c r="B130" s="29"/>
      <c r="C130" s="29"/>
      <c r="D130" s="29"/>
      <c r="E130" s="29"/>
      <c r="F130" s="29"/>
      <c r="G130" s="29"/>
      <c r="H130" s="29"/>
      <c r="I130" s="29"/>
      <c r="J130" s="29"/>
      <c r="K130" s="29"/>
      <c r="L130" s="29"/>
      <c r="M130" s="29"/>
      <c r="N130" s="29"/>
      <c r="O130" s="29"/>
      <c r="P130" s="29"/>
      <c r="Q130" s="29"/>
      <c r="S130" s="5" t="s">
        <v>162</v>
      </c>
      <c r="T130" s="5">
        <v>0</v>
      </c>
      <c r="U130" s="5" t="s">
        <v>90</v>
      </c>
    </row>
    <row r="131" spans="1:46"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46" x14ac:dyDescent="0.25">
      <c r="A132" s="29"/>
      <c r="B132" s="29"/>
      <c r="C132" s="29"/>
      <c r="D132" s="29"/>
      <c r="E132" s="29"/>
      <c r="F132" s="29"/>
      <c r="G132" s="29"/>
      <c r="H132" s="29"/>
      <c r="I132" s="29"/>
      <c r="J132" s="29"/>
      <c r="K132" s="29"/>
      <c r="L132" s="29"/>
      <c r="M132" s="29"/>
      <c r="N132" s="29"/>
      <c r="O132" s="29"/>
      <c r="P132" s="29"/>
      <c r="Q132" s="29"/>
      <c r="S132" s="3" t="s">
        <v>164</v>
      </c>
      <c r="T132" s="3">
        <v>0.65</v>
      </c>
      <c r="U132" s="5" t="s">
        <v>44</v>
      </c>
    </row>
    <row r="133" spans="1:46" x14ac:dyDescent="0.25">
      <c r="A133" s="29"/>
      <c r="B133" s="29"/>
      <c r="C133" s="29"/>
      <c r="D133" s="29"/>
      <c r="E133" s="29"/>
      <c r="F133" s="29"/>
      <c r="G133" s="29"/>
      <c r="H133" s="29"/>
      <c r="I133" s="29"/>
      <c r="J133" s="29"/>
      <c r="K133" s="29"/>
      <c r="L133" s="29"/>
      <c r="M133" s="29"/>
      <c r="N133" s="29"/>
      <c r="O133" s="29"/>
      <c r="P133" s="29"/>
      <c r="Q133" s="29"/>
      <c r="S133" s="3" t="s">
        <v>165</v>
      </c>
      <c r="T133" s="3">
        <v>10000</v>
      </c>
      <c r="U133" s="5" t="s">
        <v>45</v>
      </c>
    </row>
    <row r="134" spans="1:46" x14ac:dyDescent="0.25">
      <c r="A134" s="29"/>
      <c r="B134" s="29"/>
      <c r="C134" s="29"/>
      <c r="D134" s="29"/>
      <c r="E134" s="29"/>
      <c r="F134" s="29"/>
      <c r="G134" s="29"/>
      <c r="H134" s="29"/>
      <c r="I134" s="29"/>
      <c r="J134" s="29"/>
      <c r="K134" s="29"/>
      <c r="L134" s="29"/>
      <c r="M134" s="29"/>
      <c r="N134" s="29"/>
      <c r="O134" s="29"/>
      <c r="P134" s="29"/>
      <c r="Q134" s="29"/>
      <c r="S134" s="29"/>
      <c r="T134" s="29"/>
      <c r="U134" s="91"/>
      <c r="V134" s="29"/>
      <c r="W134" s="29"/>
      <c r="X134" s="29"/>
      <c r="Y134" s="29"/>
      <c r="Z134" s="29"/>
      <c r="AA134" s="29"/>
      <c r="AB134" s="29"/>
      <c r="AC134" s="29"/>
      <c r="AD134" s="29"/>
      <c r="AE134" s="29"/>
      <c r="AF134" s="29"/>
    </row>
    <row r="135" spans="1:46" x14ac:dyDescent="0.25">
      <c r="A135" s="29"/>
      <c r="B135" s="29"/>
      <c r="C135" s="29"/>
      <c r="D135" s="29"/>
      <c r="E135" s="29"/>
      <c r="F135" s="29"/>
      <c r="G135" s="29"/>
      <c r="H135" s="29"/>
      <c r="I135" s="29"/>
      <c r="J135" s="29"/>
      <c r="K135" s="29"/>
      <c r="L135" s="29"/>
      <c r="M135" s="29"/>
      <c r="N135" s="29"/>
      <c r="O135" s="29"/>
      <c r="P135" s="29"/>
      <c r="Q135" s="29"/>
      <c r="S135" s="96" t="s">
        <v>292</v>
      </c>
      <c r="T135" s="96" t="s">
        <v>293</v>
      </c>
      <c r="U135" s="97" t="s">
        <v>331</v>
      </c>
      <c r="V135" s="29"/>
      <c r="W135" s="29"/>
      <c r="X135" s="29"/>
      <c r="Y135" s="29"/>
      <c r="Z135" s="29"/>
      <c r="AA135" s="29"/>
      <c r="AB135" s="29"/>
      <c r="AC135" s="29"/>
      <c r="AD135" s="29"/>
      <c r="AE135" s="29"/>
      <c r="AF135" s="29"/>
    </row>
    <row r="136" spans="1:46" x14ac:dyDescent="0.25">
      <c r="A136" s="29"/>
      <c r="B136" s="29"/>
      <c r="C136" s="29"/>
      <c r="D136" s="29"/>
      <c r="E136" s="29"/>
      <c r="F136" s="29"/>
      <c r="G136" s="29"/>
      <c r="H136" s="29"/>
      <c r="I136" s="29"/>
      <c r="J136" s="29"/>
      <c r="K136" s="29"/>
      <c r="L136" s="29"/>
      <c r="M136" s="29"/>
      <c r="N136" s="29"/>
      <c r="O136" s="29"/>
      <c r="P136" s="29"/>
      <c r="Q136" s="29"/>
      <c r="R136" s="29"/>
      <c r="S136" s="75"/>
      <c r="T136" s="75"/>
      <c r="U136" s="92" t="s">
        <v>109</v>
      </c>
      <c r="V136" s="29"/>
      <c r="W136" s="29"/>
      <c r="X136" s="29"/>
      <c r="Y136" s="29"/>
      <c r="Z136" s="29"/>
      <c r="AA136" s="29"/>
      <c r="AB136" s="29"/>
      <c r="AC136" s="29"/>
      <c r="AD136" s="29"/>
      <c r="AE136" s="29"/>
      <c r="AF136" s="29"/>
      <c r="AG136" s="29"/>
      <c r="AH136" s="29"/>
      <c r="AI136" s="29"/>
      <c r="AJ136" s="29"/>
      <c r="AK136" s="29"/>
      <c r="AL136" s="29"/>
      <c r="AM136" s="29"/>
      <c r="AN136" s="29"/>
    </row>
    <row r="137" spans="1:46" x14ac:dyDescent="0.25">
      <c r="A137" s="29"/>
      <c r="B137" s="29"/>
      <c r="C137" s="29"/>
      <c r="D137" s="29"/>
      <c r="E137" s="29"/>
      <c r="F137" s="29"/>
      <c r="G137" s="29"/>
      <c r="H137" s="29"/>
      <c r="I137" s="29"/>
      <c r="J137" s="29"/>
      <c r="K137" s="29"/>
      <c r="L137" s="29"/>
      <c r="M137" s="29"/>
      <c r="N137" s="29"/>
      <c r="O137" s="29"/>
      <c r="P137" s="29"/>
      <c r="Q137" s="29"/>
      <c r="R137" s="29"/>
      <c r="S137" s="75"/>
      <c r="T137" s="75"/>
      <c r="U137" s="92" t="s">
        <v>109</v>
      </c>
      <c r="V137" s="29"/>
      <c r="W137" s="29"/>
      <c r="X137" s="29"/>
      <c r="Y137" s="29"/>
      <c r="Z137" s="29"/>
      <c r="AA137" s="29"/>
      <c r="AB137" s="29"/>
      <c r="AC137" s="29"/>
      <c r="AD137" s="29"/>
      <c r="AE137" s="29"/>
      <c r="AF137" s="29"/>
      <c r="AG137" s="29"/>
      <c r="AH137" s="29"/>
      <c r="AI137" s="29"/>
      <c r="AJ137" s="29"/>
      <c r="AK137" s="29"/>
      <c r="AL137" s="29"/>
      <c r="AM137" s="29"/>
      <c r="AN137" s="29"/>
    </row>
    <row r="139" spans="1:46" x14ac:dyDescent="0.25">
      <c r="A139" s="58" t="s">
        <v>129</v>
      </c>
      <c r="B139" s="2" t="s">
        <v>682</v>
      </c>
      <c r="C139" s="58" t="s">
        <v>128</v>
      </c>
      <c r="D139" s="2" t="s">
        <v>645</v>
      </c>
      <c r="G139" s="58" t="s">
        <v>129</v>
      </c>
      <c r="H139" s="2" t="s">
        <v>680</v>
      </c>
      <c r="I139" s="58" t="s">
        <v>128</v>
      </c>
      <c r="J139" s="2" t="s">
        <v>617</v>
      </c>
      <c r="U139" s="89"/>
      <c r="AO139" t="s">
        <v>130</v>
      </c>
      <c r="AP139" t="s">
        <v>683</v>
      </c>
      <c r="AQ139" t="s">
        <v>129</v>
      </c>
      <c r="AR139" t="s">
        <v>682</v>
      </c>
      <c r="AS139" t="s">
        <v>128</v>
      </c>
      <c r="AT139" t="s">
        <v>645</v>
      </c>
    </row>
    <row r="140" spans="1:46" x14ac:dyDescent="0.25">
      <c r="A140" s="40" t="s">
        <v>0</v>
      </c>
      <c r="B140" s="2"/>
      <c r="C140" s="2"/>
      <c r="D140" s="2"/>
      <c r="E140" s="2"/>
      <c r="F140" s="2"/>
      <c r="G140" s="2"/>
      <c r="H140" s="2"/>
      <c r="I140" s="2"/>
      <c r="J140" s="2"/>
      <c r="K140" s="2"/>
      <c r="L140" s="2"/>
      <c r="M140" s="2"/>
      <c r="N140" s="2"/>
      <c r="O140" s="2"/>
      <c r="P140" s="2"/>
      <c r="Q140" s="58" t="s">
        <v>289</v>
      </c>
      <c r="U140" s="89"/>
    </row>
    <row r="141" spans="1:46" x14ac:dyDescent="0.25">
      <c r="A141" s="2">
        <v>1</v>
      </c>
      <c r="B141" s="142" t="s">
        <v>658</v>
      </c>
      <c r="C141" s="2" t="s">
        <v>18</v>
      </c>
      <c r="D141" s="2" t="s">
        <v>3</v>
      </c>
      <c r="E141" s="2" t="s">
        <v>4</v>
      </c>
      <c r="F141" s="2" t="s">
        <v>33</v>
      </c>
      <c r="G141" s="2" t="s">
        <v>5</v>
      </c>
      <c r="H141" s="2" t="s">
        <v>6</v>
      </c>
      <c r="I141" s="2" t="s">
        <v>34</v>
      </c>
      <c r="J141" s="2" t="s">
        <v>77</v>
      </c>
      <c r="K141" s="2" t="s">
        <v>15</v>
      </c>
      <c r="L141" s="2" t="s">
        <v>11</v>
      </c>
      <c r="M141" s="2" t="s">
        <v>181</v>
      </c>
      <c r="N141" s="2"/>
      <c r="O141" s="2"/>
      <c r="P141" s="2"/>
      <c r="Q141" s="2"/>
      <c r="S141" s="95" t="s">
        <v>40</v>
      </c>
      <c r="T141" s="3"/>
      <c r="U141" s="5"/>
    </row>
    <row r="142" spans="1:46" x14ac:dyDescent="0.25">
      <c r="A142" s="2">
        <v>2</v>
      </c>
      <c r="B142" s="142" t="s">
        <v>664</v>
      </c>
      <c r="C142" s="2" t="s">
        <v>203</v>
      </c>
      <c r="D142" s="2">
        <v>0</v>
      </c>
      <c r="E142" s="2"/>
      <c r="F142" s="2"/>
      <c r="G142" s="2"/>
      <c r="H142" s="2"/>
      <c r="I142" s="2"/>
      <c r="J142" s="2"/>
      <c r="K142" s="2"/>
      <c r="L142" s="2"/>
      <c r="M142" s="2"/>
      <c r="N142" s="2"/>
      <c r="O142" s="2"/>
      <c r="P142" s="2"/>
      <c r="Q142" s="2" t="s">
        <v>660</v>
      </c>
      <c r="S142" s="5" t="s">
        <v>98</v>
      </c>
      <c r="T142" s="5">
        <v>0.55000000000000004</v>
      </c>
      <c r="U142" s="5" t="s">
        <v>44</v>
      </c>
    </row>
    <row r="143" spans="1:46" x14ac:dyDescent="0.25">
      <c r="A143" s="2">
        <v>3</v>
      </c>
      <c r="B143" s="142" t="s">
        <v>658</v>
      </c>
      <c r="C143" s="2" t="s">
        <v>18</v>
      </c>
      <c r="D143" s="2" t="s">
        <v>100</v>
      </c>
      <c r="E143" s="2" t="s">
        <v>100</v>
      </c>
      <c r="F143" s="2" t="s">
        <v>100</v>
      </c>
      <c r="G143" s="2">
        <v>50</v>
      </c>
      <c r="H143" s="2">
        <v>50</v>
      </c>
      <c r="I143" s="2">
        <v>0.55000000000000004</v>
      </c>
      <c r="J143" s="2" t="s">
        <v>23</v>
      </c>
      <c r="K143" s="2"/>
      <c r="L143" s="2"/>
      <c r="M143" s="2"/>
      <c r="N143" s="2"/>
      <c r="O143" s="2"/>
      <c r="P143" s="2"/>
      <c r="Q143" s="2"/>
      <c r="S143" s="5" t="s">
        <v>87</v>
      </c>
      <c r="T143" s="5">
        <v>0.83</v>
      </c>
      <c r="U143" s="5" t="s">
        <v>89</v>
      </c>
    </row>
    <row r="144" spans="1:46" x14ac:dyDescent="0.25">
      <c r="A144" s="2">
        <v>4</v>
      </c>
      <c r="B144" s="2" t="s">
        <v>1</v>
      </c>
      <c r="C144" s="2" t="s">
        <v>18</v>
      </c>
      <c r="D144" s="2" cm="1">
        <f t="array" ref="D144">StartX</f>
        <v>275</v>
      </c>
      <c r="E144" s="2">
        <f>StartY</f>
        <v>100</v>
      </c>
      <c r="F144" s="2">
        <v>0</v>
      </c>
      <c r="G144" s="2" t="e">
        <f>CONCATENATE("R", 3*ExtrusionSpacing_L1)</f>
        <v>#NAME?</v>
      </c>
      <c r="H144" s="2" t="s">
        <v>100</v>
      </c>
      <c r="I144" s="2" t="s">
        <v>100</v>
      </c>
      <c r="J144" s="2" t="s">
        <v>19</v>
      </c>
      <c r="K144" s="2" t="e">
        <f>ExtrusionWidth</f>
        <v>#NAME?</v>
      </c>
      <c r="L144" s="2" t="e">
        <f>ExtrusionHeight</f>
        <v>#NAME?</v>
      </c>
      <c r="M144" s="2"/>
      <c r="N144" s="2"/>
      <c r="O144" s="2"/>
      <c r="P144" s="2"/>
      <c r="Q144" s="2"/>
      <c r="S144" s="5" t="s">
        <v>88</v>
      </c>
      <c r="T144" s="5">
        <v>0.85</v>
      </c>
      <c r="U144" s="5" t="s">
        <v>89</v>
      </c>
    </row>
    <row r="145" spans="1:34" x14ac:dyDescent="0.25">
      <c r="A145" s="2">
        <v>5</v>
      </c>
      <c r="B145" s="2" t="s">
        <v>1</v>
      </c>
      <c r="C145" s="2" t="s">
        <v>18</v>
      </c>
      <c r="D145" s="2" t="s">
        <v>100</v>
      </c>
      <c r="E145" s="2" t="s">
        <v>100</v>
      </c>
      <c r="F145" s="2" t="s">
        <v>100</v>
      </c>
      <c r="G145" s="2" t="s">
        <v>100</v>
      </c>
      <c r="H145" s="2" t="str" cm="1">
        <f t="array" ref="H145">CONCATENATE("R", Length)</f>
        <v>R130</v>
      </c>
      <c r="I145" s="2" t="s">
        <v>100</v>
      </c>
      <c r="J145" s="2" t="s">
        <v>19</v>
      </c>
      <c r="K145" s="2" t="e">
        <f>ExtrusionWidth</f>
        <v>#NAME?</v>
      </c>
      <c r="L145" s="2" t="e">
        <f>ExtrusionHeight</f>
        <v>#NAME?</v>
      </c>
      <c r="M145" s="2"/>
      <c r="N145" s="2"/>
      <c r="O145" s="2"/>
      <c r="P145" s="2"/>
      <c r="Q145" s="2"/>
      <c r="S145" s="5" t="s">
        <v>193</v>
      </c>
      <c r="T145" s="5" t="s">
        <v>204</v>
      </c>
      <c r="U145" s="5"/>
      <c r="V145" s="5" t="s">
        <v>204</v>
      </c>
      <c r="W145" s="5" t="s">
        <v>204</v>
      </c>
      <c r="X145" s="5" t="s">
        <v>204</v>
      </c>
      <c r="Y145" s="5" t="s">
        <v>204</v>
      </c>
      <c r="Z145" s="5" t="s">
        <v>204</v>
      </c>
      <c r="AA145" s="5" t="s">
        <v>204</v>
      </c>
      <c r="AB145" s="127" t="s">
        <v>466</v>
      </c>
      <c r="AC145" s="128" t="s">
        <v>483</v>
      </c>
      <c r="AD145" s="5" t="s">
        <v>204</v>
      </c>
      <c r="AE145" s="5" t="s">
        <v>204</v>
      </c>
      <c r="AF145" s="5" t="s">
        <v>204</v>
      </c>
      <c r="AG145" s="5" t="s">
        <v>204</v>
      </c>
      <c r="AH145" s="5" t="s">
        <v>204</v>
      </c>
    </row>
    <row r="146" spans="1:34" x14ac:dyDescent="0.25">
      <c r="A146" s="2">
        <v>6</v>
      </c>
      <c r="B146" s="2" t="s">
        <v>1</v>
      </c>
      <c r="C146" s="2" t="s">
        <v>18</v>
      </c>
      <c r="D146" s="2" t="s">
        <v>100</v>
      </c>
      <c r="E146" s="2" t="s">
        <v>100</v>
      </c>
      <c r="F146" s="2" t="s">
        <v>100</v>
      </c>
      <c r="G146" s="2" t="e">
        <f>CONCATENATE("R", ExtrusionSpacing_L1)</f>
        <v>#NAME?</v>
      </c>
      <c r="H146" s="2" t="s">
        <v>100</v>
      </c>
      <c r="I146" s="2" t="s">
        <v>100</v>
      </c>
      <c r="J146" s="2" t="s">
        <v>19</v>
      </c>
      <c r="K146" s="2" t="e">
        <f>ExtrusionWidth</f>
        <v>#NAME?</v>
      </c>
      <c r="L146" s="2" t="e">
        <f>ExtrusionHeight</f>
        <v>#NAME?</v>
      </c>
      <c r="M146" s="2"/>
      <c r="N146" s="2"/>
      <c r="O146" s="2"/>
      <c r="P146" s="2"/>
      <c r="Q146" s="2"/>
      <c r="S146" s="5" t="s">
        <v>194</v>
      </c>
      <c r="T146" s="5">
        <v>0</v>
      </c>
      <c r="U146" s="5"/>
    </row>
    <row r="147" spans="1:34" x14ac:dyDescent="0.25">
      <c r="A147" s="2">
        <v>7</v>
      </c>
      <c r="B147" s="2" t="s">
        <v>1</v>
      </c>
      <c r="C147" s="2" t="s">
        <v>18</v>
      </c>
      <c r="D147" s="2" t="s">
        <v>100</v>
      </c>
      <c r="E147" s="2" t="s">
        <v>100</v>
      </c>
      <c r="F147" s="2" t="s">
        <v>100</v>
      </c>
      <c r="G147" s="2" t="s">
        <v>100</v>
      </c>
      <c r="H147" s="2" t="str">
        <f>CONCATENATE("R-", Length)</f>
        <v>R-130</v>
      </c>
      <c r="I147" s="2" t="s">
        <v>100</v>
      </c>
      <c r="J147" s="2" t="s">
        <v>19</v>
      </c>
      <c r="K147" s="2" t="e">
        <f>ExtrusionWidth</f>
        <v>#NAME?</v>
      </c>
      <c r="L147" s="2" t="e">
        <f>ExtrusionHeight</f>
        <v>#NAME?</v>
      </c>
      <c r="M147" s="2"/>
      <c r="N147" s="2"/>
      <c r="O147" s="2"/>
      <c r="P147" s="2"/>
      <c r="Q147" s="2"/>
      <c r="S147" s="57"/>
      <c r="T147" s="57"/>
      <c r="U147" s="90"/>
    </row>
    <row r="148" spans="1:34" x14ac:dyDescent="0.25">
      <c r="A148" s="2">
        <v>8</v>
      </c>
      <c r="B148" s="2" t="s">
        <v>55</v>
      </c>
      <c r="C148" s="98" t="s">
        <v>666</v>
      </c>
      <c r="D148" s="2" t="e">
        <f>4*ExtrusionSpacing_L1</f>
        <v>#NAME?</v>
      </c>
      <c r="E148" s="2">
        <v>0</v>
      </c>
      <c r="F148" s="2">
        <v>0</v>
      </c>
      <c r="G148" s="2">
        <v>20</v>
      </c>
      <c r="H148" s="2"/>
      <c r="I148" s="2"/>
      <c r="J148" s="2"/>
      <c r="K148" s="2"/>
      <c r="L148" s="2"/>
      <c r="M148" s="2"/>
      <c r="N148" s="2"/>
      <c r="O148" s="2"/>
      <c r="P148" s="2"/>
      <c r="Q148" s="2"/>
      <c r="S148" s="5" t="s">
        <v>338</v>
      </c>
      <c r="T148" s="122">
        <v>65</v>
      </c>
      <c r="U148" s="5" t="s">
        <v>43</v>
      </c>
      <c r="V148" s="122">
        <v>60</v>
      </c>
      <c r="W148" s="123">
        <v>60</v>
      </c>
      <c r="X148" s="137">
        <v>60</v>
      </c>
      <c r="Y148" s="124">
        <v>60</v>
      </c>
      <c r="Z148" s="126">
        <v>60</v>
      </c>
      <c r="AA148" s="127">
        <v>60</v>
      </c>
      <c r="AB148" s="127">
        <v>60</v>
      </c>
      <c r="AC148" s="134">
        <v>60</v>
      </c>
      <c r="AD148" s="135">
        <v>60</v>
      </c>
      <c r="AE148" s="136">
        <v>60</v>
      </c>
      <c r="AF148" s="138">
        <v>60</v>
      </c>
      <c r="AG148" s="132">
        <v>60</v>
      </c>
      <c r="AH148" s="139">
        <v>60</v>
      </c>
    </row>
    <row r="149" spans="1:34" x14ac:dyDescent="0.25">
      <c r="A149" s="2">
        <v>9</v>
      </c>
      <c r="B149" s="143" t="s">
        <v>49</v>
      </c>
      <c r="C149" s="2" t="s">
        <v>674</v>
      </c>
      <c r="D149" s="2"/>
      <c r="E149" s="2"/>
      <c r="F149" s="2"/>
      <c r="G149" s="2"/>
      <c r="H149" s="2"/>
      <c r="I149" s="2"/>
      <c r="J149" s="2"/>
      <c r="K149" s="2"/>
      <c r="L149" s="2"/>
      <c r="M149" s="2"/>
      <c r="N149" s="2"/>
      <c r="O149" s="2"/>
      <c r="P149" s="2"/>
      <c r="Q149" s="2"/>
      <c r="S149" s="5" t="s">
        <v>85</v>
      </c>
      <c r="T149" s="5">
        <v>1500</v>
      </c>
      <c r="U149" s="5" t="s">
        <v>45</v>
      </c>
    </row>
    <row r="150" spans="1:34" x14ac:dyDescent="0.25">
      <c r="A150" s="2">
        <v>10</v>
      </c>
      <c r="B150" s="143" t="s">
        <v>49</v>
      </c>
      <c r="C150" s="2" t="s">
        <v>203</v>
      </c>
      <c r="D150" s="2">
        <v>1</v>
      </c>
      <c r="E150" s="2"/>
      <c r="F150" s="2"/>
      <c r="G150" s="2"/>
      <c r="H150" s="2"/>
      <c r="I150" s="2"/>
      <c r="J150" s="2"/>
      <c r="K150" s="2"/>
      <c r="L150" s="2"/>
      <c r="M150" s="2"/>
      <c r="N150" s="2"/>
      <c r="O150" s="2"/>
      <c r="P150" s="2"/>
      <c r="Q150" s="2"/>
      <c r="S150" s="5" t="s">
        <v>86</v>
      </c>
      <c r="T150" s="5">
        <v>48000</v>
      </c>
      <c r="U150" s="5" t="s">
        <v>45</v>
      </c>
    </row>
    <row r="151" spans="1:34" x14ac:dyDescent="0.25">
      <c r="A151" s="2">
        <v>11</v>
      </c>
      <c r="B151" s="143" t="s">
        <v>49</v>
      </c>
      <c r="C151" s="2" t="s">
        <v>634</v>
      </c>
      <c r="D151" s="2"/>
      <c r="E151" s="2"/>
      <c r="F151" s="143"/>
      <c r="G151" s="2"/>
      <c r="H151" s="2"/>
      <c r="I151" s="2"/>
      <c r="J151" s="2"/>
      <c r="K151" s="2"/>
      <c r="L151" s="2"/>
      <c r="M151" s="2"/>
      <c r="N151" s="2"/>
      <c r="O151" s="2"/>
      <c r="P151" s="2"/>
      <c r="Q151" s="2"/>
      <c r="S151" s="5" t="s">
        <v>41</v>
      </c>
      <c r="T151" s="122">
        <v>220</v>
      </c>
      <c r="U151" s="5" t="s">
        <v>43</v>
      </c>
      <c r="V151" s="122">
        <v>210</v>
      </c>
      <c r="W151" s="123">
        <v>210</v>
      </c>
      <c r="X151" s="137">
        <v>210</v>
      </c>
      <c r="Y151" s="124">
        <v>215</v>
      </c>
      <c r="Z151" s="126">
        <v>220</v>
      </c>
      <c r="AA151" s="127">
        <v>210</v>
      </c>
      <c r="AB151" s="127">
        <v>210</v>
      </c>
      <c r="AC151" s="134">
        <v>210</v>
      </c>
      <c r="AD151" s="135">
        <v>210</v>
      </c>
      <c r="AE151" s="136">
        <v>210</v>
      </c>
      <c r="AF151" s="138">
        <v>210</v>
      </c>
      <c r="AG151" s="132">
        <v>210</v>
      </c>
      <c r="AH151" s="139">
        <v>210</v>
      </c>
    </row>
    <row r="152" spans="1:34" x14ac:dyDescent="0.25">
      <c r="A152" s="2">
        <v>12</v>
      </c>
      <c r="B152" s="142" t="s">
        <v>658</v>
      </c>
      <c r="C152" s="2" t="s">
        <v>18</v>
      </c>
      <c r="D152" s="2" t="s">
        <v>100</v>
      </c>
      <c r="E152" s="2" t="s">
        <v>100</v>
      </c>
      <c r="F152" s="2" t="s">
        <v>100</v>
      </c>
      <c r="G152" s="2" t="e">
        <f>50+ExtrusionSpacing_L1</f>
        <v>#NAME?</v>
      </c>
      <c r="H152" s="2" t="e">
        <f>50+Length+ExtrusionSpacing_L1</f>
        <v>#NAME?</v>
      </c>
      <c r="I152" s="2">
        <v>0.55000000000000004</v>
      </c>
      <c r="J152" s="2" t="s">
        <v>23</v>
      </c>
      <c r="K152" s="2"/>
      <c r="L152" s="2"/>
      <c r="M152" s="2"/>
      <c r="N152" s="2"/>
      <c r="O152" s="2"/>
      <c r="P152" s="2"/>
      <c r="Q152" s="2"/>
      <c r="S152" s="5" t="s">
        <v>42</v>
      </c>
      <c r="T152" s="122">
        <v>1.75</v>
      </c>
      <c r="U152" s="5" t="s">
        <v>44</v>
      </c>
      <c r="V152" s="122">
        <v>2.85</v>
      </c>
      <c r="W152" s="123">
        <v>1.75</v>
      </c>
      <c r="X152" s="137">
        <v>1.75</v>
      </c>
      <c r="Y152" s="125">
        <v>1.75</v>
      </c>
      <c r="Z152" s="126">
        <v>1.75</v>
      </c>
      <c r="AA152" s="127">
        <v>1.75</v>
      </c>
      <c r="AB152" s="127">
        <v>1.75</v>
      </c>
      <c r="AC152" s="134">
        <v>1.75</v>
      </c>
      <c r="AD152" s="135">
        <v>1.75</v>
      </c>
      <c r="AE152" s="136">
        <v>1.75</v>
      </c>
      <c r="AF152" s="138">
        <v>1.75</v>
      </c>
      <c r="AG152" s="132">
        <v>2.85</v>
      </c>
      <c r="AH152" s="139">
        <v>1.75</v>
      </c>
    </row>
    <row r="153" spans="1:34" x14ac:dyDescent="0.25">
      <c r="A153" s="2">
        <v>13</v>
      </c>
      <c r="B153" s="143" t="s">
        <v>1</v>
      </c>
      <c r="C153" s="2" t="s">
        <v>18</v>
      </c>
      <c r="D153" s="2" t="e">
        <f>StartX+ExtrusionSpacing_L1</f>
        <v>#NAME?</v>
      </c>
      <c r="E153" s="2" t="e">
        <f>StartY+Length+ExtrusionSpacing_L1</f>
        <v>#NAME?</v>
      </c>
      <c r="F153" s="2">
        <v>1E-4</v>
      </c>
      <c r="G153" s="2" t="s">
        <v>100</v>
      </c>
      <c r="H153" s="2" t="str">
        <f>CONCATENATE("R-", Length)</f>
        <v>R-130</v>
      </c>
      <c r="I153" s="2" t="s">
        <v>100</v>
      </c>
      <c r="J153" s="2" t="s">
        <v>19</v>
      </c>
      <c r="K153" s="2" t="e">
        <f>ExtrusionWidth</f>
        <v>#NAME?</v>
      </c>
      <c r="L153" s="2" t="e">
        <f>ExtrusionHeight</f>
        <v>#NAME?</v>
      </c>
      <c r="M153" s="2"/>
      <c r="N153" s="2"/>
      <c r="O153" s="2"/>
      <c r="P153" s="2"/>
      <c r="Q153" s="2"/>
      <c r="S153" s="5" t="s">
        <v>46</v>
      </c>
      <c r="T153" s="122">
        <v>33</v>
      </c>
      <c r="U153" s="5" t="s">
        <v>90</v>
      </c>
      <c r="V153" s="122" t="s">
        <v>82</v>
      </c>
      <c r="W153" s="123" t="s">
        <v>44</v>
      </c>
      <c r="X153" s="137" t="s">
        <v>44</v>
      </c>
      <c r="Y153" s="125" t="s">
        <v>44</v>
      </c>
      <c r="Z153" s="126" t="s">
        <v>44</v>
      </c>
      <c r="AA153" s="127" t="s">
        <v>44</v>
      </c>
      <c r="AB153" s="127" t="s">
        <v>44</v>
      </c>
      <c r="AC153" s="134" t="s">
        <v>44</v>
      </c>
      <c r="AD153" s="135" t="s">
        <v>44</v>
      </c>
      <c r="AE153" s="136" t="s">
        <v>44</v>
      </c>
      <c r="AF153" s="138" t="s">
        <v>44</v>
      </c>
      <c r="AG153" s="132" t="s">
        <v>82</v>
      </c>
      <c r="AH153" s="139" t="s">
        <v>44</v>
      </c>
    </row>
    <row r="154" spans="1:34" x14ac:dyDescent="0.25">
      <c r="A154" s="2">
        <v>14</v>
      </c>
      <c r="B154" s="143" t="s">
        <v>1</v>
      </c>
      <c r="C154" s="2" t="s">
        <v>18</v>
      </c>
      <c r="D154" s="2" t="s">
        <v>100</v>
      </c>
      <c r="E154" s="2" t="s">
        <v>100</v>
      </c>
      <c r="F154" s="2" t="s">
        <v>100</v>
      </c>
      <c r="G154" s="2" t="e">
        <f>CONCATENATE("R", ExtrusionSpacing_L1)</f>
        <v>#NAME?</v>
      </c>
      <c r="H154" s="2" t="s">
        <v>100</v>
      </c>
      <c r="I154" s="2" t="s">
        <v>100</v>
      </c>
      <c r="J154" s="2" t="s">
        <v>19</v>
      </c>
      <c r="K154" s="2" t="e">
        <f>ExtrusionWidth</f>
        <v>#NAME?</v>
      </c>
      <c r="L154" s="2" t="e">
        <f>ExtrusionHeight</f>
        <v>#NAME?</v>
      </c>
      <c r="M154" s="2"/>
      <c r="N154" s="2"/>
      <c r="O154" s="2"/>
      <c r="P154" s="2"/>
      <c r="Q154" s="2"/>
      <c r="S154" s="5" t="s">
        <v>108</v>
      </c>
      <c r="T154" s="122" t="s">
        <v>635</v>
      </c>
      <c r="U154" s="5"/>
      <c r="V154" s="122" t="s">
        <v>153</v>
      </c>
      <c r="W154" s="123" t="s">
        <v>394</v>
      </c>
      <c r="X154" s="137" t="s">
        <v>393</v>
      </c>
      <c r="Y154" s="24" t="s">
        <v>455</v>
      </c>
      <c r="Z154" s="126" t="s">
        <v>425</v>
      </c>
      <c r="AA154" s="127" t="s">
        <v>465</v>
      </c>
      <c r="AB154" s="127" t="s">
        <v>466</v>
      </c>
      <c r="AC154" s="134" t="s">
        <v>489</v>
      </c>
      <c r="AD154" s="135" t="s">
        <v>504</v>
      </c>
      <c r="AE154" s="136" t="s">
        <v>554</v>
      </c>
      <c r="AF154" s="138" t="s">
        <v>558</v>
      </c>
      <c r="AG154" s="132" t="s">
        <v>591</v>
      </c>
      <c r="AH154" s="139" t="s">
        <v>592</v>
      </c>
    </row>
    <row r="155" spans="1:34" x14ac:dyDescent="0.25">
      <c r="A155" s="2">
        <v>15</v>
      </c>
      <c r="B155" s="143" t="s">
        <v>1</v>
      </c>
      <c r="C155" s="2" t="s">
        <v>18</v>
      </c>
      <c r="D155" s="2" t="s">
        <v>100</v>
      </c>
      <c r="E155" s="2" t="s">
        <v>100</v>
      </c>
      <c r="F155" s="2" t="s">
        <v>100</v>
      </c>
      <c r="G155" s="2" t="s">
        <v>100</v>
      </c>
      <c r="H155" s="2" t="str" cm="1">
        <f t="array" ref="H155">CONCATENATE("R", Length)</f>
        <v>R130</v>
      </c>
      <c r="I155" s="2" t="s">
        <v>100</v>
      </c>
      <c r="J155" s="2" t="s">
        <v>19</v>
      </c>
      <c r="K155" s="2" t="e">
        <f>ExtrusionWidth</f>
        <v>#NAME?</v>
      </c>
      <c r="L155" s="2" t="e">
        <f>ExtrusionHeight</f>
        <v>#NAME?</v>
      </c>
      <c r="M155" s="2"/>
      <c r="N155" s="2"/>
      <c r="O155" s="2"/>
      <c r="P155" s="2"/>
      <c r="Q155" s="2"/>
      <c r="S155" s="5" t="s">
        <v>152</v>
      </c>
      <c r="T155" s="122" t="s">
        <v>635</v>
      </c>
      <c r="U155" s="5"/>
      <c r="V155" s="122" t="s">
        <v>125</v>
      </c>
      <c r="W155" s="123" t="s">
        <v>394</v>
      </c>
      <c r="X155" s="137" t="s">
        <v>393</v>
      </c>
      <c r="Y155" s="24" t="s">
        <v>455</v>
      </c>
      <c r="Z155" s="126" t="s">
        <v>425</v>
      </c>
      <c r="AA155" s="127" t="s">
        <v>465</v>
      </c>
      <c r="AB155" s="127" t="s">
        <v>466</v>
      </c>
      <c r="AC155" s="134" t="s">
        <v>489</v>
      </c>
      <c r="AD155" s="135" t="s">
        <v>504</v>
      </c>
      <c r="AE155" s="136" t="s">
        <v>554</v>
      </c>
      <c r="AF155" s="138" t="s">
        <v>558</v>
      </c>
      <c r="AG155" s="132" t="s">
        <v>591</v>
      </c>
      <c r="AH155" s="139" t="s">
        <v>592</v>
      </c>
    </row>
    <row r="156" spans="1:34" x14ac:dyDescent="0.25">
      <c r="A156" s="2">
        <v>16</v>
      </c>
      <c r="B156" s="143" t="s">
        <v>1</v>
      </c>
      <c r="C156" s="2" t="s">
        <v>18</v>
      </c>
      <c r="D156" s="2" t="s">
        <v>100</v>
      </c>
      <c r="E156" s="2" t="s">
        <v>100</v>
      </c>
      <c r="F156" s="2" t="s">
        <v>100</v>
      </c>
      <c r="G156" s="2" t="e">
        <f>CONCATENATE("R", 3*ExtrusionSpacing_L1)</f>
        <v>#NAME?</v>
      </c>
      <c r="H156" s="2" t="s">
        <v>100</v>
      </c>
      <c r="I156" s="2" t="s">
        <v>100</v>
      </c>
      <c r="J156" s="2" t="s">
        <v>19</v>
      </c>
      <c r="K156" s="2" t="e">
        <f>ExtrusionWidth</f>
        <v>#NAME?</v>
      </c>
      <c r="L156" s="2" t="e">
        <f>ExtrusionHeight</f>
        <v>#NAME?</v>
      </c>
      <c r="M156" s="2"/>
      <c r="N156" s="2"/>
      <c r="O156" s="2"/>
      <c r="P156" s="2"/>
      <c r="Q156" s="2"/>
      <c r="S156" s="5" t="s">
        <v>167</v>
      </c>
      <c r="T156" s="5">
        <v>20</v>
      </c>
      <c r="U156" s="5" t="s">
        <v>44</v>
      </c>
    </row>
    <row r="157" spans="1:34" x14ac:dyDescent="0.25">
      <c r="A157" s="2">
        <v>17</v>
      </c>
      <c r="B157" s="143" t="s">
        <v>55</v>
      </c>
      <c r="C157" s="98" t="s">
        <v>665</v>
      </c>
      <c r="D157" s="2" t="e">
        <f>4*ExtrusionSpacing_L1</f>
        <v>#NAME?</v>
      </c>
      <c r="E157" s="2">
        <v>0</v>
      </c>
      <c r="F157" s="2">
        <v>0</v>
      </c>
      <c r="G157" s="2">
        <v>20</v>
      </c>
      <c r="H157" s="2"/>
      <c r="I157" s="2"/>
      <c r="J157" s="2"/>
      <c r="K157" s="2"/>
      <c r="L157" s="2"/>
      <c r="M157" s="2"/>
      <c r="N157" s="2"/>
      <c r="O157" s="2"/>
      <c r="P157" s="2"/>
      <c r="Q157" s="2"/>
      <c r="S157" s="5" t="s">
        <v>168</v>
      </c>
      <c r="T157" s="5">
        <v>10</v>
      </c>
      <c r="U157" s="5" t="s">
        <v>44</v>
      </c>
    </row>
    <row r="158" spans="1:34" x14ac:dyDescent="0.25">
      <c r="A158" s="2">
        <v>18</v>
      </c>
      <c r="B158" s="143" t="s">
        <v>39</v>
      </c>
      <c r="C158" s="2">
        <v>1.25</v>
      </c>
      <c r="D158" s="2">
        <v>2100</v>
      </c>
      <c r="E158" s="2" t="e">
        <f>LayerHeight</f>
        <v>#NAME?</v>
      </c>
      <c r="F158" s="2">
        <v>10000</v>
      </c>
      <c r="G158" s="2"/>
      <c r="H158" s="2"/>
      <c r="I158" s="2"/>
      <c r="J158" s="2"/>
      <c r="K158" s="2"/>
      <c r="L158" s="2"/>
      <c r="M158" s="2"/>
      <c r="N158" s="2"/>
      <c r="O158" s="2"/>
      <c r="P158" s="2"/>
      <c r="Q158" s="2"/>
      <c r="S158" s="5" t="s">
        <v>169</v>
      </c>
      <c r="T158" s="5">
        <v>0.3</v>
      </c>
      <c r="U158" s="5" t="s">
        <v>44</v>
      </c>
    </row>
    <row r="159" spans="1:34" x14ac:dyDescent="0.25">
      <c r="A159" s="2">
        <v>19</v>
      </c>
      <c r="B159" s="142" t="s">
        <v>658</v>
      </c>
      <c r="C159" s="2" t="s">
        <v>18</v>
      </c>
      <c r="D159" s="2" t="s">
        <v>100</v>
      </c>
      <c r="E159" s="2" t="s">
        <v>100</v>
      </c>
      <c r="F159" s="2" t="s">
        <v>100</v>
      </c>
      <c r="G159" s="2" t="e">
        <f>50+ExtrusionSpacing_L1</f>
        <v>#NAME?</v>
      </c>
      <c r="H159" s="2" t="e">
        <f>50+Length+ExtrusionSpacing_L1</f>
        <v>#NAME?</v>
      </c>
      <c r="I159" s="2"/>
      <c r="J159" s="2" t="s">
        <v>23</v>
      </c>
      <c r="K159" s="2"/>
      <c r="L159" s="2"/>
      <c r="M159" s="2"/>
      <c r="N159" s="2"/>
      <c r="O159" s="2"/>
      <c r="P159" s="2"/>
      <c r="Q159" s="2"/>
      <c r="S159" s="78" t="s">
        <v>339</v>
      </c>
      <c r="T159" s="5">
        <v>0</v>
      </c>
      <c r="U159" s="5"/>
      <c r="V159" s="1"/>
    </row>
    <row r="160" spans="1:34" x14ac:dyDescent="0.25">
      <c r="A160" s="2">
        <v>20</v>
      </c>
      <c r="B160" s="2" t="s">
        <v>1</v>
      </c>
      <c r="C160" s="2" t="s">
        <v>18</v>
      </c>
      <c r="D160" s="2" cm="1">
        <f t="array" ref="D160">StartX</f>
        <v>275</v>
      </c>
      <c r="E160" s="2">
        <f>StartY</f>
        <v>100</v>
      </c>
      <c r="F160" s="2" t="s">
        <v>100</v>
      </c>
      <c r="G160" s="2" t="e">
        <f>CONCATENATE("R", 3*ExtrusionSpacing_L1)</f>
        <v>#NAME?</v>
      </c>
      <c r="H160" s="2" t="s">
        <v>100</v>
      </c>
      <c r="I160" s="2" t="s">
        <v>100</v>
      </c>
      <c r="J160" s="2" t="s">
        <v>19</v>
      </c>
      <c r="K160" s="2" t="e">
        <f>ExtrusionWidth</f>
        <v>#NAME?</v>
      </c>
      <c r="L160" s="2" t="e">
        <f>ExtrusionHeight</f>
        <v>#NAME?</v>
      </c>
      <c r="M160" s="2"/>
      <c r="N160" s="2"/>
      <c r="O160" s="2"/>
      <c r="P160" s="2"/>
      <c r="Q160" s="2"/>
      <c r="S160" s="5" t="s">
        <v>154</v>
      </c>
      <c r="T160" s="5" t="s">
        <v>166</v>
      </c>
      <c r="U160" s="5" t="s">
        <v>158</v>
      </c>
    </row>
    <row r="161" spans="1:40" x14ac:dyDescent="0.25">
      <c r="A161" s="2">
        <v>21</v>
      </c>
      <c r="B161" s="2" t="s">
        <v>1</v>
      </c>
      <c r="C161" s="2" t="s">
        <v>18</v>
      </c>
      <c r="D161" s="2" t="s">
        <v>100</v>
      </c>
      <c r="E161" s="2" t="s">
        <v>100</v>
      </c>
      <c r="F161" s="2" t="s">
        <v>100</v>
      </c>
      <c r="G161" s="2" t="s">
        <v>100</v>
      </c>
      <c r="H161" s="2" t="str" cm="1">
        <f t="array" ref="H161">CONCATENATE("R", Length)</f>
        <v>R130</v>
      </c>
      <c r="I161" s="2" t="s">
        <v>100</v>
      </c>
      <c r="J161" s="2" t="s">
        <v>19</v>
      </c>
      <c r="K161" s="2" t="e">
        <f>ExtrusionWidth</f>
        <v>#NAME?</v>
      </c>
      <c r="L161" s="2" t="e">
        <f>ExtrusionHeight</f>
        <v>#NAME?</v>
      </c>
      <c r="M161" s="2"/>
      <c r="N161" s="2"/>
      <c r="O161" s="2"/>
      <c r="P161" s="2"/>
      <c r="Q161" s="2"/>
      <c r="S161" s="5" t="s">
        <v>159</v>
      </c>
      <c r="T161" s="5">
        <v>2</v>
      </c>
      <c r="U161" s="5" t="s">
        <v>44</v>
      </c>
      <c r="V161" s="1"/>
    </row>
    <row r="162" spans="1:40" x14ac:dyDescent="0.25">
      <c r="A162" s="2">
        <v>22</v>
      </c>
      <c r="B162" s="2" t="s">
        <v>1</v>
      </c>
      <c r="C162" s="2" t="s">
        <v>18</v>
      </c>
      <c r="D162" s="2" t="s">
        <v>100</v>
      </c>
      <c r="E162" s="2" t="s">
        <v>100</v>
      </c>
      <c r="F162" s="2" t="s">
        <v>100</v>
      </c>
      <c r="G162" s="2" t="e">
        <f>CONCATENATE("R", ExtrusionSpacing_L1)</f>
        <v>#NAME?</v>
      </c>
      <c r="H162" s="2" t="s">
        <v>100</v>
      </c>
      <c r="I162" s="2" t="s">
        <v>100</v>
      </c>
      <c r="J162" s="2" t="s">
        <v>19</v>
      </c>
      <c r="K162" s="2" t="e">
        <f>ExtrusionWidth</f>
        <v>#NAME?</v>
      </c>
      <c r="L162" s="2" t="e">
        <f>ExtrusionHeight</f>
        <v>#NAME?</v>
      </c>
      <c r="M162" s="2"/>
      <c r="N162" s="2"/>
      <c r="O162" s="2"/>
      <c r="P162" s="2"/>
      <c r="Q162" s="2"/>
      <c r="S162" s="5" t="s">
        <v>160</v>
      </c>
      <c r="T162" s="5">
        <v>1.25</v>
      </c>
      <c r="U162" s="5" t="s">
        <v>90</v>
      </c>
    </row>
    <row r="163" spans="1:40" x14ac:dyDescent="0.25">
      <c r="A163" s="2">
        <v>23</v>
      </c>
      <c r="B163" s="2" t="s">
        <v>1</v>
      </c>
      <c r="C163" s="2" t="s">
        <v>18</v>
      </c>
      <c r="D163" s="2" t="s">
        <v>100</v>
      </c>
      <c r="E163" s="2" t="s">
        <v>100</v>
      </c>
      <c r="F163" s="2" t="s">
        <v>100</v>
      </c>
      <c r="G163" s="2" t="s">
        <v>100</v>
      </c>
      <c r="H163" s="2" t="str">
        <f>CONCATENATE("R-", Length)</f>
        <v>R-130</v>
      </c>
      <c r="I163" s="2" t="s">
        <v>100</v>
      </c>
      <c r="J163" s="2" t="s">
        <v>19</v>
      </c>
      <c r="K163" s="2" t="e">
        <f>ExtrusionWidth</f>
        <v>#NAME?</v>
      </c>
      <c r="L163" s="2" t="e">
        <f>ExtrusionHeight</f>
        <v>#NAME?</v>
      </c>
      <c r="M163" s="2"/>
      <c r="N163" s="2"/>
      <c r="O163" s="2"/>
      <c r="P163" s="2"/>
      <c r="Q163" s="2"/>
      <c r="S163" s="5" t="s">
        <v>161</v>
      </c>
      <c r="T163" s="5">
        <v>2500</v>
      </c>
      <c r="U163" s="5" t="s">
        <v>45</v>
      </c>
    </row>
    <row r="164" spans="1:40" x14ac:dyDescent="0.25">
      <c r="A164" s="2">
        <v>24</v>
      </c>
      <c r="B164" s="143" t="s">
        <v>55</v>
      </c>
      <c r="C164" s="98" t="s">
        <v>673</v>
      </c>
      <c r="D164" s="2" t="e">
        <f>4*ExtrusionSpacing_L1</f>
        <v>#NAME?</v>
      </c>
      <c r="E164" s="2">
        <v>0</v>
      </c>
      <c r="F164" s="2">
        <v>0</v>
      </c>
      <c r="G164" s="2">
        <v>20</v>
      </c>
      <c r="H164" s="2"/>
      <c r="I164" s="2"/>
      <c r="J164" s="2"/>
      <c r="K164" s="2"/>
      <c r="L164" s="2"/>
      <c r="M164" s="2"/>
      <c r="N164" s="2"/>
      <c r="O164" s="2"/>
      <c r="P164" s="2"/>
      <c r="Q164" s="2"/>
      <c r="S164" s="5" t="s">
        <v>162</v>
      </c>
      <c r="T164" s="5">
        <v>0</v>
      </c>
      <c r="U164" s="5" t="s">
        <v>90</v>
      </c>
    </row>
    <row r="165" spans="1:40" x14ac:dyDescent="0.25">
      <c r="A165" s="2">
        <v>25</v>
      </c>
      <c r="B165" s="143" t="s">
        <v>49</v>
      </c>
      <c r="C165" s="2" t="s">
        <v>674</v>
      </c>
      <c r="D165" s="2"/>
      <c r="E165" s="2"/>
      <c r="F165" s="2"/>
      <c r="G165" s="2"/>
      <c r="H165" s="2"/>
      <c r="I165" s="2"/>
      <c r="J165" s="2"/>
      <c r="K165" s="2"/>
      <c r="L165" s="2"/>
      <c r="M165" s="2"/>
      <c r="N165" s="2"/>
      <c r="O165" s="2"/>
      <c r="P165" s="2"/>
      <c r="Q165" s="2"/>
      <c r="S165" s="3" t="s">
        <v>163</v>
      </c>
      <c r="T165" s="3">
        <f>T163</f>
        <v>2500</v>
      </c>
      <c r="U165" s="5" t="s">
        <v>45</v>
      </c>
    </row>
    <row r="166" spans="1:40" x14ac:dyDescent="0.25">
      <c r="A166" s="2">
        <v>26</v>
      </c>
      <c r="B166" s="143" t="s">
        <v>49</v>
      </c>
      <c r="C166" s="2" t="s">
        <v>203</v>
      </c>
      <c r="D166" s="2">
        <v>0</v>
      </c>
      <c r="E166" s="2"/>
      <c r="F166" s="2"/>
      <c r="G166" s="2"/>
      <c r="H166" s="143"/>
      <c r="I166" s="2"/>
      <c r="J166" s="2"/>
      <c r="K166" s="2"/>
      <c r="L166" s="2"/>
      <c r="M166" s="2"/>
      <c r="N166" s="2"/>
      <c r="O166" s="2"/>
      <c r="P166" s="2"/>
      <c r="Q166" s="2"/>
      <c r="S166" s="3" t="s">
        <v>164</v>
      </c>
      <c r="T166" s="3">
        <v>0.65</v>
      </c>
      <c r="U166" s="5" t="s">
        <v>44</v>
      </c>
    </row>
    <row r="167" spans="1:40" x14ac:dyDescent="0.25">
      <c r="A167" s="2">
        <v>27</v>
      </c>
      <c r="B167" s="143" t="s">
        <v>49</v>
      </c>
      <c r="C167" s="2" t="s">
        <v>634</v>
      </c>
      <c r="D167" s="2"/>
      <c r="E167" s="2"/>
      <c r="F167" s="2"/>
      <c r="G167" s="2"/>
      <c r="H167" s="2"/>
      <c r="I167" s="2"/>
      <c r="J167" s="2"/>
      <c r="K167" s="2"/>
      <c r="L167" s="2"/>
      <c r="M167" s="2"/>
      <c r="N167" s="2"/>
      <c r="O167" s="2"/>
      <c r="P167" s="2"/>
      <c r="Q167" s="2"/>
      <c r="S167" s="3" t="s">
        <v>165</v>
      </c>
      <c r="T167" s="3">
        <v>10000</v>
      </c>
      <c r="U167" s="5" t="s">
        <v>45</v>
      </c>
    </row>
    <row r="168" spans="1:40" x14ac:dyDescent="0.25">
      <c r="A168" s="2">
        <v>28</v>
      </c>
      <c r="B168" s="142" t="s">
        <v>658</v>
      </c>
      <c r="C168" s="2" t="s">
        <v>18</v>
      </c>
      <c r="D168" s="2" t="s">
        <v>100</v>
      </c>
      <c r="E168" s="2" t="s">
        <v>100</v>
      </c>
      <c r="F168" s="2" t="s">
        <v>100</v>
      </c>
      <c r="G168" s="2">
        <v>50</v>
      </c>
      <c r="H168" s="2">
        <v>50</v>
      </c>
      <c r="I168" s="2" t="e">
        <f>LayerHeight</f>
        <v>#NAME?</v>
      </c>
      <c r="J168" s="2" t="s">
        <v>23</v>
      </c>
      <c r="K168" s="2"/>
      <c r="L168" s="2"/>
      <c r="M168" s="2"/>
      <c r="N168" s="2"/>
      <c r="O168" s="2"/>
      <c r="P168" s="2"/>
      <c r="Q168" s="2"/>
      <c r="S168" s="29"/>
      <c r="T168" s="29"/>
      <c r="U168" s="91"/>
      <c r="V168" s="29"/>
      <c r="W168" s="29"/>
      <c r="X168" s="29"/>
      <c r="Y168" s="29"/>
      <c r="Z168" s="29"/>
      <c r="AA168" s="29"/>
      <c r="AB168" s="29"/>
      <c r="AC168" s="29"/>
      <c r="AD168" s="29"/>
      <c r="AE168" s="29"/>
      <c r="AF168" s="29"/>
    </row>
    <row r="169" spans="1:40" x14ac:dyDescent="0.25">
      <c r="A169" s="2">
        <v>29</v>
      </c>
      <c r="B169" s="143" t="s">
        <v>1</v>
      </c>
      <c r="C169" s="2" t="s">
        <v>18</v>
      </c>
      <c r="D169" s="2" t="e">
        <f>StartX+ExtrusionSpacing_L1</f>
        <v>#NAME?</v>
      </c>
      <c r="E169" s="2" t="e">
        <f>StartY+Length+ExtrusionSpacing_L1</f>
        <v>#NAME?</v>
      </c>
      <c r="F169" s="2">
        <v>0.9</v>
      </c>
      <c r="G169" s="2" t="s">
        <v>100</v>
      </c>
      <c r="H169" s="2" t="str">
        <f>CONCATENATE("R-", Length)</f>
        <v>R-130</v>
      </c>
      <c r="I169" s="2" t="s">
        <v>100</v>
      </c>
      <c r="J169" s="2" t="s">
        <v>19</v>
      </c>
      <c r="K169" s="2" t="e">
        <f>ExtrusionWidth</f>
        <v>#NAME?</v>
      </c>
      <c r="L169" s="2" t="e">
        <f>ExtrusionHeight</f>
        <v>#NAME?</v>
      </c>
      <c r="M169" s="2"/>
      <c r="N169" s="2"/>
      <c r="O169" s="143"/>
      <c r="P169" s="2"/>
      <c r="Q169" s="2"/>
      <c r="S169" s="96" t="s">
        <v>292</v>
      </c>
      <c r="T169" s="96" t="s">
        <v>293</v>
      </c>
      <c r="U169" s="97" t="s">
        <v>331</v>
      </c>
      <c r="V169" s="29"/>
      <c r="W169" s="29"/>
      <c r="X169" s="29"/>
      <c r="Y169" s="29"/>
      <c r="Z169" s="29"/>
      <c r="AA169" s="29"/>
      <c r="AB169" s="29"/>
      <c r="AC169" s="29"/>
      <c r="AD169" s="29"/>
      <c r="AE169" s="29"/>
      <c r="AF169" s="29"/>
    </row>
    <row r="170" spans="1:40" x14ac:dyDescent="0.25">
      <c r="A170" s="2">
        <v>30</v>
      </c>
      <c r="B170" s="143" t="s">
        <v>1</v>
      </c>
      <c r="C170" s="2" t="s">
        <v>18</v>
      </c>
      <c r="D170" s="2" t="s">
        <v>100</v>
      </c>
      <c r="E170" s="2" t="s">
        <v>100</v>
      </c>
      <c r="F170" s="2" t="s">
        <v>100</v>
      </c>
      <c r="G170" s="2" t="e">
        <f>CONCATENATE("R", ExtrusionSpacing_L1)</f>
        <v>#NAME?</v>
      </c>
      <c r="H170" s="2" t="s">
        <v>100</v>
      </c>
      <c r="I170" s="2" t="s">
        <v>100</v>
      </c>
      <c r="J170" s="2" t="s">
        <v>19</v>
      </c>
      <c r="K170" s="2" t="e">
        <f>ExtrusionWidth</f>
        <v>#NAME?</v>
      </c>
      <c r="L170" s="2" t="e">
        <f>ExtrusionHeight</f>
        <v>#NAME?</v>
      </c>
      <c r="M170" s="2"/>
      <c r="N170" s="2"/>
      <c r="O170" s="2"/>
      <c r="P170" s="2"/>
      <c r="Q170" s="2"/>
      <c r="R170" s="29"/>
      <c r="S170" s="75" t="s">
        <v>662</v>
      </c>
      <c r="T170" s="75">
        <v>1.35</v>
      </c>
      <c r="U170" s="92" t="s">
        <v>109</v>
      </c>
      <c r="V170" s="29"/>
      <c r="W170" s="29"/>
      <c r="X170" s="29"/>
      <c r="Y170" s="29"/>
      <c r="Z170" s="29"/>
      <c r="AA170" s="29"/>
      <c r="AB170" s="29"/>
      <c r="AC170" s="29"/>
      <c r="AD170" s="29"/>
      <c r="AE170" s="29"/>
      <c r="AF170" s="29"/>
      <c r="AG170" s="29"/>
      <c r="AH170" s="29"/>
      <c r="AI170" s="29"/>
      <c r="AJ170" s="29"/>
      <c r="AK170" s="29"/>
      <c r="AL170" s="29"/>
      <c r="AM170" s="29"/>
      <c r="AN170" s="29"/>
    </row>
    <row r="171" spans="1:40" x14ac:dyDescent="0.25">
      <c r="A171" s="2">
        <v>31</v>
      </c>
      <c r="B171" s="143" t="s">
        <v>1</v>
      </c>
      <c r="C171" s="2" t="s">
        <v>18</v>
      </c>
      <c r="D171" s="2" t="s">
        <v>100</v>
      </c>
      <c r="E171" s="2" t="s">
        <v>100</v>
      </c>
      <c r="F171" s="2" t="s">
        <v>100</v>
      </c>
      <c r="G171" s="2" t="s">
        <v>100</v>
      </c>
      <c r="H171" s="2" t="str" cm="1">
        <f t="array" ref="H171">CONCATENATE("R", Length)</f>
        <v>R130</v>
      </c>
      <c r="I171" s="2" t="s">
        <v>100</v>
      </c>
      <c r="J171" s="2" t="s">
        <v>19</v>
      </c>
      <c r="K171" s="2" t="e">
        <f>ExtrusionWidth</f>
        <v>#NAME?</v>
      </c>
      <c r="L171" s="2" t="e">
        <f>ExtrusionHeight</f>
        <v>#NAME?</v>
      </c>
      <c r="M171" s="2"/>
      <c r="N171" s="2"/>
      <c r="O171" s="2"/>
      <c r="P171" s="2"/>
      <c r="Q171" s="2"/>
      <c r="R171" s="29"/>
      <c r="S171" s="75" t="s">
        <v>661</v>
      </c>
      <c r="T171" s="75">
        <v>1.1000000000000001</v>
      </c>
      <c r="U171" s="92" t="s">
        <v>109</v>
      </c>
      <c r="V171" s="29"/>
      <c r="W171" s="29"/>
      <c r="X171" s="29"/>
      <c r="Y171" s="29"/>
      <c r="Z171" s="29"/>
      <c r="AA171" s="29"/>
      <c r="AB171" s="29"/>
      <c r="AC171" s="29"/>
      <c r="AD171" s="29"/>
      <c r="AE171" s="29"/>
      <c r="AF171" s="29"/>
      <c r="AG171" s="29"/>
      <c r="AH171" s="29"/>
      <c r="AI171" s="29"/>
      <c r="AJ171" s="29"/>
      <c r="AK171" s="29"/>
      <c r="AL171" s="29"/>
      <c r="AM171" s="29"/>
      <c r="AN171" s="29"/>
    </row>
    <row r="172" spans="1:40" x14ac:dyDescent="0.25">
      <c r="A172" s="2">
        <v>32</v>
      </c>
      <c r="B172" s="143" t="s">
        <v>1</v>
      </c>
      <c r="C172" s="2" t="s">
        <v>18</v>
      </c>
      <c r="D172" s="2" t="s">
        <v>100</v>
      </c>
      <c r="E172" s="2" t="s">
        <v>100</v>
      </c>
      <c r="F172" s="2" t="s">
        <v>100</v>
      </c>
      <c r="G172" s="2" t="e">
        <f>CONCATENATE("R", 3*ExtrusionSpacing_L1)</f>
        <v>#NAME?</v>
      </c>
      <c r="H172" s="2" t="s">
        <v>100</v>
      </c>
      <c r="I172" s="2" t="s">
        <v>100</v>
      </c>
      <c r="J172" s="2" t="s">
        <v>19</v>
      </c>
      <c r="K172" s="2" t="e">
        <f>ExtrusionWidth</f>
        <v>#NAME?</v>
      </c>
      <c r="L172" s="2" t="e">
        <f>ExtrusionHeight</f>
        <v>#NAME?</v>
      </c>
      <c r="M172" s="2"/>
      <c r="N172" s="2"/>
      <c r="O172" s="2"/>
      <c r="P172" s="2"/>
      <c r="Q172" s="2"/>
      <c r="S172" s="75" t="s">
        <v>671</v>
      </c>
      <c r="T172" s="75">
        <v>1.2</v>
      </c>
      <c r="U172" s="92" t="s">
        <v>109</v>
      </c>
    </row>
    <row r="173" spans="1:40" x14ac:dyDescent="0.25">
      <c r="A173" s="2">
        <v>33</v>
      </c>
      <c r="B173" s="2" t="s">
        <v>55</v>
      </c>
      <c r="C173" s="98" t="s">
        <v>675</v>
      </c>
      <c r="D173" s="2" t="e">
        <f>4*ExtrusionSpacing_L1</f>
        <v>#NAME?</v>
      </c>
      <c r="E173" s="2">
        <v>0</v>
      </c>
      <c r="F173" s="2">
        <v>0</v>
      </c>
      <c r="G173" s="2">
        <v>20</v>
      </c>
      <c r="H173" s="2"/>
      <c r="I173" s="2"/>
      <c r="J173" s="2"/>
      <c r="K173" s="2"/>
      <c r="L173" s="2"/>
      <c r="M173" s="2"/>
      <c r="N173" s="2"/>
      <c r="O173" s="2"/>
      <c r="P173" s="2"/>
      <c r="Q173" s="2"/>
      <c r="S173" s="75" t="s">
        <v>672</v>
      </c>
      <c r="T173" s="75">
        <v>0.9</v>
      </c>
      <c r="U173" s="92" t="s">
        <v>109</v>
      </c>
    </row>
    <row r="174" spans="1:40" x14ac:dyDescent="0.25">
      <c r="A174" s="2">
        <v>34</v>
      </c>
      <c r="B174" s="143" t="s">
        <v>39</v>
      </c>
      <c r="C174" s="2">
        <v>1.25</v>
      </c>
      <c r="D174" s="2">
        <v>2100</v>
      </c>
      <c r="E174" s="2" t="e">
        <f>LayerHeight</f>
        <v>#NAME?</v>
      </c>
      <c r="F174" s="2">
        <v>10000</v>
      </c>
      <c r="G174" s="2"/>
      <c r="H174" s="2"/>
      <c r="I174" s="2"/>
      <c r="J174" s="2"/>
      <c r="K174" s="2"/>
      <c r="L174" s="2"/>
      <c r="M174" s="2"/>
      <c r="N174" s="2"/>
      <c r="O174" s="2"/>
      <c r="P174" s="2"/>
      <c r="Q174" s="2"/>
      <c r="S174" s="75" t="s">
        <v>644</v>
      </c>
      <c r="T174" s="75" t="s">
        <v>467</v>
      </c>
      <c r="U174" s="92" t="s">
        <v>109</v>
      </c>
    </row>
    <row r="175" spans="1:40" x14ac:dyDescent="0.25">
      <c r="A175" s="2">
        <v>35</v>
      </c>
      <c r="B175" s="143" t="s">
        <v>55</v>
      </c>
      <c r="C175" s="2" t="s">
        <v>676</v>
      </c>
      <c r="D175" s="2">
        <v>0</v>
      </c>
      <c r="E175" s="2">
        <v>0</v>
      </c>
      <c r="F175" s="2" t="e">
        <f>2*LayerHeight</f>
        <v>#NAME?</v>
      </c>
      <c r="G175" s="2">
        <v>15</v>
      </c>
      <c r="H175" s="2"/>
      <c r="I175" s="2"/>
      <c r="J175" s="2"/>
      <c r="K175" s="2"/>
      <c r="L175" s="2"/>
      <c r="M175" s="2"/>
      <c r="N175" s="2"/>
      <c r="O175" s="2"/>
      <c r="P175" s="2"/>
      <c r="Q175" s="2"/>
      <c r="R175" s="80"/>
      <c r="S175" s="75" t="s">
        <v>309</v>
      </c>
      <c r="T175" s="75">
        <v>0.9</v>
      </c>
      <c r="U175" s="92" t="s">
        <v>109</v>
      </c>
      <c r="V175" s="80"/>
      <c r="W175" s="80"/>
      <c r="X175" s="80"/>
      <c r="Y175" s="80"/>
      <c r="Z175" s="80"/>
      <c r="AA175" s="80"/>
      <c r="AB175" s="80"/>
      <c r="AC175" s="80"/>
      <c r="AD175" s="80"/>
      <c r="AE175" s="80"/>
      <c r="AF175" s="80"/>
      <c r="AG175" s="80"/>
      <c r="AH175" s="80"/>
      <c r="AI175" s="80"/>
      <c r="AJ175" s="80"/>
      <c r="AK175" s="80"/>
      <c r="AL175" s="80"/>
      <c r="AM175" s="80"/>
      <c r="AN175" s="80"/>
    </row>
    <row r="176" spans="1:40" x14ac:dyDescent="0.25">
      <c r="A176" s="2">
        <v>36</v>
      </c>
      <c r="B176" s="143"/>
      <c r="C176" s="2"/>
      <c r="D176" s="2"/>
      <c r="E176" s="2"/>
      <c r="F176" s="2"/>
      <c r="G176" s="2"/>
      <c r="H176" s="2"/>
      <c r="I176" s="2"/>
      <c r="J176" s="2"/>
      <c r="K176" s="2"/>
      <c r="L176" s="2"/>
      <c r="M176" s="2"/>
      <c r="N176" s="2"/>
      <c r="O176" s="2"/>
      <c r="P176" s="2"/>
      <c r="Q176" s="2"/>
      <c r="R176" s="80"/>
      <c r="S176" s="75" t="s">
        <v>677</v>
      </c>
      <c r="T176" s="75">
        <v>50</v>
      </c>
      <c r="U176" s="92" t="s">
        <v>109</v>
      </c>
      <c r="V176" s="80"/>
      <c r="W176" s="80"/>
      <c r="X176" s="80"/>
      <c r="Y176" s="80"/>
      <c r="Z176" s="80"/>
      <c r="AA176" s="80"/>
      <c r="AB176" s="80"/>
      <c r="AC176" s="80"/>
      <c r="AD176" s="80"/>
      <c r="AE176" s="80"/>
      <c r="AF176" s="80"/>
      <c r="AG176" s="80"/>
      <c r="AH176" s="80"/>
      <c r="AI176" s="80"/>
      <c r="AJ176" s="80"/>
      <c r="AK176" s="80"/>
      <c r="AL176" s="80"/>
      <c r="AM176" s="80"/>
      <c r="AN176" s="80"/>
    </row>
    <row r="177" spans="1:40" x14ac:dyDescent="0.25">
      <c r="A177" s="2">
        <v>37</v>
      </c>
      <c r="B177" s="143"/>
      <c r="C177" s="2"/>
      <c r="D177" s="2"/>
      <c r="E177" s="2"/>
      <c r="F177" s="2"/>
      <c r="G177" s="2"/>
      <c r="H177" s="2"/>
      <c r="I177" s="2"/>
      <c r="J177" s="2"/>
      <c r="K177" s="2"/>
      <c r="L177" s="2"/>
      <c r="M177" s="2"/>
      <c r="N177" s="2"/>
      <c r="O177" s="2"/>
      <c r="P177" s="2"/>
      <c r="Q177" s="2"/>
      <c r="R177" s="80"/>
      <c r="S177" s="75" t="s">
        <v>271</v>
      </c>
      <c r="T177" s="75">
        <v>50</v>
      </c>
      <c r="U177" s="92" t="s">
        <v>109</v>
      </c>
      <c r="V177" s="80"/>
      <c r="W177" s="80"/>
      <c r="X177" s="80"/>
      <c r="Y177" s="80"/>
      <c r="Z177" s="80"/>
      <c r="AA177" s="80"/>
      <c r="AB177" s="80"/>
      <c r="AC177" s="80"/>
      <c r="AD177" s="80"/>
      <c r="AE177" s="80"/>
      <c r="AF177" s="80"/>
      <c r="AG177" s="80"/>
      <c r="AH177" s="80"/>
      <c r="AI177" s="80"/>
      <c r="AJ177" s="80"/>
      <c r="AK177" s="80"/>
      <c r="AL177" s="80"/>
      <c r="AM177" s="80"/>
      <c r="AN177" s="80"/>
    </row>
    <row r="178" spans="1:40" x14ac:dyDescent="0.25">
      <c r="A178" s="2">
        <v>38</v>
      </c>
      <c r="B178" s="143"/>
      <c r="C178" s="2"/>
      <c r="D178" s="2"/>
      <c r="E178" s="2"/>
      <c r="F178" s="2"/>
      <c r="G178" s="2"/>
      <c r="H178" s="2"/>
      <c r="I178" s="2"/>
      <c r="J178" s="2"/>
      <c r="K178" s="2"/>
      <c r="L178" s="2"/>
      <c r="M178" s="2"/>
      <c r="N178" s="2"/>
      <c r="O178" s="2"/>
      <c r="P178" s="2"/>
      <c r="Q178" s="2"/>
      <c r="R178" s="80"/>
      <c r="S178" s="75" t="s">
        <v>272</v>
      </c>
      <c r="T178" s="75">
        <v>75</v>
      </c>
      <c r="U178" s="92" t="s">
        <v>109</v>
      </c>
      <c r="V178" s="80"/>
      <c r="W178" s="80"/>
      <c r="X178" s="80"/>
      <c r="Y178" s="80"/>
      <c r="Z178" s="80"/>
      <c r="AA178" s="80"/>
      <c r="AB178" s="80"/>
      <c r="AC178" s="80"/>
      <c r="AD178" s="80"/>
      <c r="AE178" s="80"/>
      <c r="AF178" s="80"/>
      <c r="AG178" s="80"/>
      <c r="AH178" s="80"/>
      <c r="AI178" s="80"/>
      <c r="AJ178" s="80"/>
      <c r="AK178" s="80"/>
      <c r="AL178" s="80"/>
      <c r="AM178" s="80"/>
      <c r="AN178" s="80"/>
    </row>
    <row r="179" spans="1:40" x14ac:dyDescent="0.25">
      <c r="A179" s="2">
        <v>39</v>
      </c>
      <c r="B179" s="143"/>
      <c r="C179" s="2"/>
      <c r="D179" s="2"/>
      <c r="E179" s="2"/>
      <c r="F179" s="2"/>
      <c r="G179" s="2"/>
      <c r="H179" s="2"/>
      <c r="I179" s="2"/>
      <c r="J179" s="2"/>
      <c r="K179" s="2"/>
      <c r="L179" s="2"/>
      <c r="M179" s="2"/>
      <c r="N179" s="2"/>
      <c r="O179" s="2"/>
      <c r="P179" s="2"/>
      <c r="Q179" s="2"/>
      <c r="R179" s="80"/>
      <c r="S179" s="80"/>
      <c r="T179" s="80"/>
      <c r="U179" s="80"/>
      <c r="V179" s="80"/>
      <c r="W179" s="80"/>
      <c r="X179" s="80"/>
      <c r="Y179" s="80"/>
      <c r="Z179" s="80"/>
      <c r="AA179" s="80"/>
      <c r="AB179" s="80"/>
      <c r="AC179" s="80"/>
      <c r="AD179" s="80"/>
      <c r="AE179" s="80"/>
      <c r="AF179" s="80"/>
      <c r="AG179" s="80"/>
      <c r="AH179" s="80"/>
      <c r="AI179" s="80"/>
      <c r="AJ179" s="80"/>
      <c r="AK179" s="80"/>
      <c r="AL179" s="80"/>
      <c r="AM179" s="80"/>
      <c r="AN179" s="80"/>
    </row>
    <row r="180" spans="1:40" x14ac:dyDescent="0.25">
      <c r="A180" s="2">
        <v>40</v>
      </c>
      <c r="B180" s="143"/>
      <c r="C180" s="2"/>
      <c r="D180" s="2"/>
      <c r="E180" s="2"/>
      <c r="F180" s="2"/>
      <c r="G180" s="2"/>
      <c r="H180" s="2"/>
      <c r="I180" s="2"/>
      <c r="J180" s="2"/>
      <c r="K180" s="2"/>
      <c r="L180" s="2"/>
      <c r="M180" s="2"/>
      <c r="N180" s="2"/>
      <c r="O180" s="2"/>
      <c r="P180" s="2"/>
      <c r="Q180" s="2"/>
      <c r="R180" s="80"/>
      <c r="S180" s="80"/>
      <c r="T180" s="80"/>
      <c r="U180" s="80"/>
      <c r="V180" s="80"/>
      <c r="W180" s="80"/>
      <c r="X180" s="80"/>
      <c r="Y180" s="80"/>
      <c r="Z180" s="80"/>
      <c r="AA180" s="80"/>
      <c r="AB180" s="80"/>
      <c r="AC180" s="80"/>
      <c r="AD180" s="80"/>
      <c r="AE180" s="80"/>
      <c r="AF180" s="80"/>
      <c r="AG180" s="80"/>
      <c r="AH180" s="80"/>
      <c r="AI180" s="80"/>
      <c r="AJ180" s="80"/>
      <c r="AK180" s="80"/>
      <c r="AL180" s="80"/>
      <c r="AM180" s="80"/>
      <c r="AN180" s="80"/>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B2" sqref="B2:P2"/>
    </sheetView>
  </sheetViews>
  <sheetFormatPr defaultRowHeight="15" x14ac:dyDescent="0.25"/>
  <cols>
    <col min="2" max="2" width="9.140625" customWidth="1"/>
    <col min="3" max="3" width="24.5703125" bestFit="1" customWidth="1"/>
    <col min="4" max="4" width="20.85546875" customWidth="1"/>
    <col min="7" max="7" width="29.85546875" customWidth="1"/>
  </cols>
  <sheetData>
    <row r="1" spans="1:21" s="29" customFormat="1" ht="31.5" x14ac:dyDescent="0.5">
      <c r="B1" s="76" t="s">
        <v>341</v>
      </c>
      <c r="I1"/>
    </row>
    <row r="2" spans="1:21" x14ac:dyDescent="0.25">
      <c r="B2" s="44" t="s">
        <v>145</v>
      </c>
      <c r="C2" s="30" t="s">
        <v>18</v>
      </c>
      <c r="D2" s="30" t="s">
        <v>3</v>
      </c>
      <c r="E2" s="30" t="s">
        <v>4</v>
      </c>
      <c r="F2" s="30" t="s">
        <v>33</v>
      </c>
      <c r="G2" s="30" t="s">
        <v>5</v>
      </c>
      <c r="H2" s="30" t="s">
        <v>6</v>
      </c>
      <c r="I2" s="1" t="s">
        <v>34</v>
      </c>
      <c r="J2" s="30" t="s">
        <v>77</v>
      </c>
      <c r="K2" s="30" t="s">
        <v>15</v>
      </c>
      <c r="L2" s="30" t="s">
        <v>11</v>
      </c>
      <c r="M2" s="30" t="s">
        <v>181</v>
      </c>
      <c r="N2" s="30"/>
      <c r="O2" s="30"/>
      <c r="P2" s="30"/>
      <c r="Q2" s="30"/>
      <c r="R2" s="29"/>
      <c r="S2" s="29"/>
    </row>
    <row r="3" spans="1:21" ht="14.45" customHeight="1" x14ac:dyDescent="0.25">
      <c r="B3" s="44" t="s">
        <v>146</v>
      </c>
      <c r="C3" s="30" t="s">
        <v>2</v>
      </c>
      <c r="D3" s="30" t="s">
        <v>73</v>
      </c>
      <c r="E3" s="30" t="s">
        <v>74</v>
      </c>
      <c r="F3" s="30" t="s">
        <v>76</v>
      </c>
      <c r="G3" s="30" t="s">
        <v>69</v>
      </c>
      <c r="H3" s="30" t="s">
        <v>33</v>
      </c>
      <c r="I3" s="1" t="s">
        <v>501</v>
      </c>
      <c r="J3" s="30" t="s">
        <v>72</v>
      </c>
      <c r="K3" s="30" t="s">
        <v>34</v>
      </c>
      <c r="L3" s="30" t="s">
        <v>77</v>
      </c>
      <c r="M3" s="30" t="s">
        <v>15</v>
      </c>
      <c r="N3" s="30" t="s">
        <v>11</v>
      </c>
      <c r="O3" s="30" t="s">
        <v>181</v>
      </c>
      <c r="P3" s="30"/>
      <c r="Q3" s="30"/>
      <c r="R3" s="29"/>
      <c r="S3" s="29"/>
    </row>
    <row r="4" spans="1:21" ht="14.45" customHeight="1" x14ac:dyDescent="0.25">
      <c r="B4" s="32" t="s">
        <v>172</v>
      </c>
      <c r="C4" s="32" t="s">
        <v>93</v>
      </c>
      <c r="D4" s="32" t="s">
        <v>94</v>
      </c>
      <c r="E4" s="32" t="s">
        <v>95</v>
      </c>
      <c r="F4" s="32" t="s">
        <v>96</v>
      </c>
      <c r="G4" s="32" t="s">
        <v>97</v>
      </c>
      <c r="H4" s="32" t="s">
        <v>112</v>
      </c>
      <c r="I4" s="1" t="s">
        <v>15</v>
      </c>
      <c r="J4" s="32" t="s">
        <v>11</v>
      </c>
      <c r="K4" s="30" t="s">
        <v>245</v>
      </c>
      <c r="L4" s="32" t="s">
        <v>191</v>
      </c>
      <c r="M4" s="32" t="s">
        <v>192</v>
      </c>
      <c r="O4" s="61" t="s">
        <v>150</v>
      </c>
      <c r="P4" s="66" t="s">
        <v>250</v>
      </c>
      <c r="Q4" s="66"/>
      <c r="R4" s="66"/>
      <c r="S4" s="66"/>
      <c r="T4" s="66"/>
    </row>
    <row r="5" spans="1:21" ht="14.45" customHeight="1" x14ac:dyDescent="0.25">
      <c r="B5" s="32" t="s">
        <v>173</v>
      </c>
      <c r="C5" s="30" t="s">
        <v>73</v>
      </c>
      <c r="D5" s="30" t="s">
        <v>74</v>
      </c>
      <c r="E5" s="32" t="s">
        <v>175</v>
      </c>
      <c r="F5" s="32" t="s">
        <v>174</v>
      </c>
      <c r="G5" s="32" t="s">
        <v>95</v>
      </c>
      <c r="H5" s="32" t="s">
        <v>96</v>
      </c>
      <c r="I5" s="1" t="s">
        <v>97</v>
      </c>
      <c r="J5" s="32" t="s">
        <v>112</v>
      </c>
      <c r="K5" s="32" t="s">
        <v>15</v>
      </c>
      <c r="L5" s="32" t="s">
        <v>11</v>
      </c>
      <c r="M5" s="30" t="s">
        <v>245</v>
      </c>
      <c r="N5" s="32" t="s">
        <v>191</v>
      </c>
      <c r="O5" s="1" t="s">
        <v>389</v>
      </c>
      <c r="P5" s="66" t="s">
        <v>251</v>
      </c>
      <c r="Q5" s="66"/>
      <c r="R5" s="66"/>
      <c r="S5" s="66"/>
      <c r="T5" s="66"/>
      <c r="U5" s="66"/>
    </row>
    <row r="6" spans="1:21" x14ac:dyDescent="0.25">
      <c r="B6" s="30" t="s">
        <v>10</v>
      </c>
      <c r="C6" s="30" t="s">
        <v>73</v>
      </c>
      <c r="D6" s="30" t="s">
        <v>74</v>
      </c>
      <c r="E6" s="30" t="s">
        <v>75</v>
      </c>
      <c r="F6" s="30" t="s">
        <v>14</v>
      </c>
      <c r="G6" s="30" t="s">
        <v>69</v>
      </c>
      <c r="H6" s="30" t="s">
        <v>71</v>
      </c>
      <c r="I6" s="1" t="s">
        <v>16</v>
      </c>
      <c r="J6" s="30" t="s">
        <v>66</v>
      </c>
      <c r="K6" s="30" t="s">
        <v>15</v>
      </c>
      <c r="L6" s="30" t="s">
        <v>11</v>
      </c>
      <c r="M6" s="30" t="s">
        <v>273</v>
      </c>
      <c r="N6" s="30"/>
      <c r="O6" s="30"/>
      <c r="P6" s="30"/>
      <c r="Q6" s="30"/>
      <c r="R6" s="29"/>
      <c r="S6" s="29"/>
    </row>
    <row r="7" spans="1:21" x14ac:dyDescent="0.25">
      <c r="B7" s="30" t="s">
        <v>9</v>
      </c>
      <c r="C7" s="30" t="s">
        <v>3</v>
      </c>
      <c r="D7" s="30" t="s">
        <v>4</v>
      </c>
      <c r="E7" s="30" t="s">
        <v>5</v>
      </c>
      <c r="F7" s="30" t="s">
        <v>6</v>
      </c>
      <c r="G7" s="30" t="s">
        <v>37</v>
      </c>
      <c r="H7" s="30" t="s">
        <v>16</v>
      </c>
      <c r="I7" s="1" t="s">
        <v>15</v>
      </c>
      <c r="J7" s="30" t="s">
        <v>11</v>
      </c>
      <c r="K7" s="30" t="s">
        <v>273</v>
      </c>
      <c r="L7" s="30"/>
      <c r="M7" s="30"/>
      <c r="N7" s="30"/>
      <c r="O7" s="30"/>
      <c r="P7" s="30"/>
      <c r="Q7" s="30"/>
      <c r="R7" s="29"/>
      <c r="S7" s="29"/>
    </row>
    <row r="8" spans="1:21" x14ac:dyDescent="0.25">
      <c r="B8" s="30" t="s">
        <v>65</v>
      </c>
      <c r="C8" s="30" t="s">
        <v>73</v>
      </c>
      <c r="D8" s="30" t="s">
        <v>74</v>
      </c>
      <c r="E8" s="30" t="s">
        <v>75</v>
      </c>
      <c r="F8" s="30" t="s">
        <v>68</v>
      </c>
      <c r="G8" s="30" t="s">
        <v>70</v>
      </c>
      <c r="H8" s="30" t="s">
        <v>16</v>
      </c>
      <c r="I8" s="1" t="s">
        <v>67</v>
      </c>
      <c r="J8" s="30" t="s">
        <v>15</v>
      </c>
      <c r="K8" s="30" t="s">
        <v>11</v>
      </c>
      <c r="L8" s="30" t="s">
        <v>273</v>
      </c>
      <c r="M8" s="30"/>
      <c r="N8" s="30"/>
      <c r="O8" s="30"/>
    </row>
    <row r="9" spans="1:21" x14ac:dyDescent="0.25">
      <c r="B9" s="30" t="s">
        <v>109</v>
      </c>
    </row>
    <row r="10" spans="1:21" x14ac:dyDescent="0.25">
      <c r="B10" s="30" t="s">
        <v>55</v>
      </c>
      <c r="C10" s="30" t="s">
        <v>57</v>
      </c>
      <c r="D10" s="30" t="s">
        <v>78</v>
      </c>
      <c r="E10" s="30" t="s">
        <v>79</v>
      </c>
      <c r="F10" s="30" t="s">
        <v>80</v>
      </c>
      <c r="G10" s="30" t="s">
        <v>21</v>
      </c>
      <c r="H10" s="29"/>
      <c r="I10" s="1"/>
      <c r="J10" s="29"/>
      <c r="K10" s="29"/>
      <c r="L10" s="29"/>
      <c r="M10" s="29"/>
      <c r="N10" s="29"/>
      <c r="O10" s="29"/>
      <c r="P10" s="29"/>
      <c r="Q10" s="29"/>
      <c r="R10" s="29"/>
      <c r="S10" s="29"/>
    </row>
    <row r="11" spans="1:21" x14ac:dyDescent="0.25">
      <c r="B11" s="30" t="s">
        <v>54</v>
      </c>
      <c r="C11" s="30" t="s">
        <v>57</v>
      </c>
      <c r="D11" s="30" t="s">
        <v>73</v>
      </c>
      <c r="E11" s="30" t="s">
        <v>74</v>
      </c>
      <c r="F11" s="30" t="s">
        <v>58</v>
      </c>
      <c r="G11" s="30" t="s">
        <v>56</v>
      </c>
      <c r="H11" s="30" t="s">
        <v>21</v>
      </c>
      <c r="J11" s="29"/>
      <c r="K11" s="29"/>
      <c r="L11" s="29"/>
      <c r="M11" s="29"/>
      <c r="N11" s="29"/>
      <c r="O11" s="29"/>
      <c r="P11" s="29"/>
      <c r="Q11" s="29"/>
      <c r="R11" s="29"/>
      <c r="S11" s="29"/>
    </row>
    <row r="12" spans="1:21" s="29" customFormat="1" x14ac:dyDescent="0.25">
      <c r="A12" s="34"/>
      <c r="B12" s="30" t="s">
        <v>147</v>
      </c>
      <c r="C12" s="30" t="s">
        <v>12</v>
      </c>
      <c r="D12" s="30" t="s">
        <v>122</v>
      </c>
      <c r="E12" s="30" t="s">
        <v>3</v>
      </c>
      <c r="F12" s="30" t="s">
        <v>4</v>
      </c>
      <c r="G12" s="30" t="s">
        <v>5</v>
      </c>
      <c r="H12" s="30" t="s">
        <v>6</v>
      </c>
      <c r="I12"/>
    </row>
    <row r="13" spans="1:21" s="29" customFormat="1" x14ac:dyDescent="0.25">
      <c r="B13" s="30" t="s">
        <v>148</v>
      </c>
      <c r="C13" s="30" t="s">
        <v>12</v>
      </c>
      <c r="D13" s="30" t="s">
        <v>2</v>
      </c>
      <c r="E13" s="30" t="s">
        <v>7</v>
      </c>
      <c r="F13" s="30" t="s">
        <v>8</v>
      </c>
      <c r="G13" s="30" t="s">
        <v>123</v>
      </c>
      <c r="H13" s="30"/>
      <c r="I13" s="1" t="s">
        <v>502</v>
      </c>
    </row>
    <row r="14" spans="1:21" s="29" customFormat="1" x14ac:dyDescent="0.25">
      <c r="B14" s="30" t="s">
        <v>176</v>
      </c>
      <c r="C14" s="30" t="s">
        <v>12</v>
      </c>
      <c r="D14" s="30" t="s">
        <v>37</v>
      </c>
      <c r="E14" s="30" t="s">
        <v>177</v>
      </c>
      <c r="F14" s="30"/>
      <c r="G14" s="55" t="s">
        <v>178</v>
      </c>
      <c r="H14" s="30"/>
      <c r="I14" s="1"/>
    </row>
    <row r="15" spans="1:21" s="29" customFormat="1" x14ac:dyDescent="0.25">
      <c r="B15" s="30" t="s">
        <v>151</v>
      </c>
      <c r="C15" s="30" t="s">
        <v>12</v>
      </c>
      <c r="D15" s="30" t="s">
        <v>32</v>
      </c>
      <c r="E15" s="30" t="s">
        <v>21</v>
      </c>
      <c r="F15" s="30" t="s">
        <v>13</v>
      </c>
      <c r="I15"/>
      <c r="J15" s="55" t="s">
        <v>81</v>
      </c>
    </row>
    <row r="16" spans="1:21" s="29" customFormat="1" x14ac:dyDescent="0.25">
      <c r="B16" s="30" t="s">
        <v>265</v>
      </c>
      <c r="C16" s="30" t="s">
        <v>12</v>
      </c>
      <c r="D16" s="30" t="s">
        <v>21</v>
      </c>
      <c r="E16" s="30" t="s">
        <v>78</v>
      </c>
      <c r="F16" s="30" t="s">
        <v>79</v>
      </c>
      <c r="G16" s="30" t="s">
        <v>80</v>
      </c>
      <c r="H16" s="30" t="s">
        <v>73</v>
      </c>
      <c r="I16" s="1" t="s">
        <v>74</v>
      </c>
      <c r="J16" s="30" t="s">
        <v>58</v>
      </c>
      <c r="K16" s="30" t="s">
        <v>264</v>
      </c>
      <c r="M16" s="69" t="s">
        <v>263</v>
      </c>
      <c r="N16" s="68" t="s">
        <v>262</v>
      </c>
      <c r="O16" s="51" t="s">
        <v>622</v>
      </c>
      <c r="P16" s="51" t="s">
        <v>623</v>
      </c>
    </row>
    <row r="17" spans="1:30" s="29" customFormat="1" x14ac:dyDescent="0.25">
      <c r="B17" s="30" t="s">
        <v>109</v>
      </c>
      <c r="C17" s="30"/>
      <c r="D17" s="30"/>
      <c r="E17" s="30"/>
      <c r="F17" s="30"/>
      <c r="G17" s="30"/>
      <c r="H17" s="30"/>
      <c r="I17" s="1"/>
    </row>
    <row r="18" spans="1:30" s="29" customFormat="1" x14ac:dyDescent="0.25">
      <c r="B18" s="30" t="s">
        <v>39</v>
      </c>
      <c r="C18" s="30" t="s">
        <v>61</v>
      </c>
      <c r="D18" s="30" t="s">
        <v>155</v>
      </c>
      <c r="E18" s="30" t="s">
        <v>157</v>
      </c>
      <c r="F18" s="30" t="s">
        <v>156</v>
      </c>
      <c r="G18" s="30"/>
      <c r="H18" s="30"/>
      <c r="I18" s="1"/>
      <c r="J18" s="30"/>
      <c r="K18" s="30"/>
      <c r="L18" s="30"/>
      <c r="M18" s="30"/>
      <c r="N18" s="30"/>
      <c r="O18" s="30"/>
      <c r="P18" s="30"/>
      <c r="Q18" s="30"/>
    </row>
    <row r="19" spans="1:30" s="29" customFormat="1" x14ac:dyDescent="0.25">
      <c r="B19" s="30" t="s">
        <v>49</v>
      </c>
      <c r="C19" s="30" t="s">
        <v>50</v>
      </c>
      <c r="D19" s="30" t="s">
        <v>51</v>
      </c>
      <c r="E19" s="30" t="s">
        <v>50</v>
      </c>
      <c r="F19" s="30" t="s">
        <v>51</v>
      </c>
      <c r="G19" s="30" t="s">
        <v>50</v>
      </c>
      <c r="H19" s="30" t="s">
        <v>51</v>
      </c>
      <c r="I19" s="1" t="s">
        <v>50</v>
      </c>
      <c r="J19" s="30" t="s">
        <v>51</v>
      </c>
      <c r="K19" s="30" t="s">
        <v>50</v>
      </c>
      <c r="L19" s="30" t="s">
        <v>51</v>
      </c>
      <c r="O19" s="34" t="s">
        <v>340</v>
      </c>
    </row>
    <row r="20" spans="1:30" s="34" customFormat="1" ht="54.75" customHeight="1" x14ac:dyDescent="0.25">
      <c r="B20" s="34" t="s">
        <v>109</v>
      </c>
      <c r="I20" s="129"/>
    </row>
    <row r="21" spans="1:30" s="29" customFormat="1" ht="132.6" customHeight="1" x14ac:dyDescent="0.25">
      <c r="B21" s="51" t="s">
        <v>52</v>
      </c>
      <c r="C21" s="52" t="s">
        <v>142</v>
      </c>
      <c r="D21" s="52" t="s">
        <v>143</v>
      </c>
      <c r="E21" s="52" t="s">
        <v>144</v>
      </c>
      <c r="F21" s="53" t="s">
        <v>53</v>
      </c>
      <c r="G21" s="149" t="s">
        <v>141</v>
      </c>
      <c r="H21" s="149"/>
      <c r="I21" s="149"/>
      <c r="J21" s="149"/>
      <c r="K21" s="149"/>
      <c r="L21" s="149"/>
      <c r="M21" s="149"/>
      <c r="N21" s="149"/>
      <c r="O21" s="149"/>
      <c r="P21" s="51"/>
      <c r="Q21" s="51"/>
      <c r="R21" s="51"/>
      <c r="S21" s="51"/>
    </row>
    <row r="22" spans="1:30" s="29" customFormat="1" x14ac:dyDescent="0.25">
      <c r="B22" s="51"/>
      <c r="C22" s="51"/>
      <c r="D22" s="51"/>
      <c r="E22" s="51"/>
      <c r="F22" s="51"/>
      <c r="G22" s="51"/>
      <c r="H22" s="51"/>
      <c r="I22" s="130"/>
      <c r="J22" s="51"/>
      <c r="K22" s="51"/>
      <c r="L22" s="51"/>
      <c r="M22" s="51"/>
      <c r="N22" s="51"/>
      <c r="O22" s="51"/>
      <c r="P22" s="51"/>
      <c r="Q22" s="51"/>
      <c r="R22" s="51"/>
      <c r="S22" s="51"/>
    </row>
    <row r="23" spans="1:30" s="29" customFormat="1" x14ac:dyDescent="0.25">
      <c r="B23" s="51"/>
      <c r="C23" s="51"/>
      <c r="D23" s="51"/>
      <c r="E23" s="51"/>
      <c r="F23" s="51"/>
      <c r="G23" s="51" t="s">
        <v>15</v>
      </c>
      <c r="H23" s="51" t="s">
        <v>27</v>
      </c>
      <c r="I23"/>
      <c r="J23" s="54" t="s">
        <v>184</v>
      </c>
      <c r="K23" s="51"/>
      <c r="L23" s="51"/>
      <c r="M23" s="51"/>
      <c r="Q23" s="51"/>
      <c r="R23" s="51"/>
      <c r="S23" s="51"/>
    </row>
    <row r="24" spans="1:30" s="29" customFormat="1" x14ac:dyDescent="0.25">
      <c r="B24" s="51"/>
      <c r="C24" s="51"/>
      <c r="D24" s="51"/>
      <c r="E24" s="51"/>
      <c r="F24" s="51"/>
      <c r="G24" s="51" t="s">
        <v>24</v>
      </c>
      <c r="H24" s="51" t="s">
        <v>27</v>
      </c>
      <c r="I24"/>
      <c r="J24" s="54" t="s">
        <v>185</v>
      </c>
      <c r="K24" s="51"/>
      <c r="L24" s="51"/>
      <c r="M24" s="51"/>
      <c r="N24" s="51"/>
      <c r="O24" s="51"/>
      <c r="P24" s="51"/>
      <c r="Q24" s="51"/>
      <c r="R24" s="51"/>
      <c r="S24" s="51"/>
      <c r="AA24" s="51"/>
      <c r="AB24" s="51"/>
      <c r="AC24" s="51"/>
    </row>
    <row r="25" spans="1:30" s="29" customFormat="1" x14ac:dyDescent="0.25">
      <c r="B25" s="51"/>
      <c r="C25" s="51"/>
      <c r="D25" s="51"/>
      <c r="E25" s="51"/>
      <c r="F25" s="51"/>
      <c r="G25" s="51" t="s">
        <v>11</v>
      </c>
      <c r="H25" s="51" t="s">
        <v>27</v>
      </c>
      <c r="I25"/>
      <c r="J25" s="51" t="s">
        <v>186</v>
      </c>
      <c r="K25" s="51"/>
      <c r="L25" s="51"/>
      <c r="M25" s="51"/>
      <c r="R25" s="51"/>
      <c r="S25" s="51"/>
      <c r="AC25" s="51"/>
      <c r="AD25" s="51"/>
    </row>
    <row r="26" spans="1:30" s="29" customFormat="1" x14ac:dyDescent="0.25">
      <c r="B26" s="51"/>
      <c r="C26" s="51"/>
      <c r="D26" s="51"/>
      <c r="E26" s="51"/>
      <c r="F26" s="51"/>
      <c r="G26" s="51" t="s">
        <v>134</v>
      </c>
      <c r="H26" s="51" t="s">
        <v>27</v>
      </c>
      <c r="I26"/>
      <c r="J26" s="51" t="s">
        <v>187</v>
      </c>
      <c r="K26" s="51"/>
      <c r="L26" s="51"/>
      <c r="M26" s="51"/>
      <c r="N26" s="51"/>
      <c r="O26" s="51"/>
    </row>
    <row r="27" spans="1:30" s="29" customFormat="1" x14ac:dyDescent="0.25">
      <c r="B27" s="51"/>
      <c r="C27" s="51"/>
      <c r="D27" s="51"/>
      <c r="E27" s="51"/>
      <c r="F27" s="51"/>
      <c r="G27" s="51" t="s">
        <v>133</v>
      </c>
      <c r="H27" s="51" t="s">
        <v>27</v>
      </c>
      <c r="I27"/>
      <c r="J27" s="51" t="s">
        <v>188</v>
      </c>
      <c r="K27" s="51"/>
      <c r="L27" s="51"/>
      <c r="M27" s="51"/>
      <c r="N27" s="51"/>
    </row>
    <row r="28" spans="1:30" s="29" customFormat="1" x14ac:dyDescent="0.25">
      <c r="B28" s="51"/>
      <c r="C28" s="51"/>
      <c r="D28" s="51"/>
      <c r="E28" s="51"/>
      <c r="F28" s="51"/>
      <c r="G28" s="51" t="s">
        <v>132</v>
      </c>
      <c r="H28" s="51" t="s">
        <v>27</v>
      </c>
      <c r="I28"/>
      <c r="J28" s="54" t="s">
        <v>189</v>
      </c>
      <c r="K28" s="51"/>
      <c r="L28" s="51"/>
      <c r="M28" s="51"/>
      <c r="N28" s="51"/>
    </row>
    <row r="29" spans="1:30" s="29" customFormat="1" x14ac:dyDescent="0.25">
      <c r="A29" s="30"/>
      <c r="B29" s="51"/>
      <c r="C29" s="51"/>
      <c r="D29" s="51"/>
      <c r="E29" s="51"/>
      <c r="F29" s="51"/>
      <c r="G29" s="51" t="s">
        <v>25</v>
      </c>
      <c r="H29" s="51" t="s">
        <v>73</v>
      </c>
      <c r="I29" s="130" t="s">
        <v>74</v>
      </c>
      <c r="J29" s="51" t="s">
        <v>259</v>
      </c>
      <c r="K29" s="51" t="s">
        <v>253</v>
      </c>
      <c r="L29" s="51" t="s">
        <v>116</v>
      </c>
      <c r="M29" s="51" t="s">
        <v>117</v>
      </c>
      <c r="N29" s="51"/>
      <c r="O29" s="55" t="s">
        <v>248</v>
      </c>
    </row>
    <row r="30" spans="1:30" s="29" customFormat="1" ht="14.45" customHeight="1" x14ac:dyDescent="0.25">
      <c r="A30" s="30"/>
      <c r="B30" s="51"/>
      <c r="C30" s="51"/>
      <c r="D30" s="51"/>
      <c r="E30" s="51"/>
      <c r="F30" s="51"/>
      <c r="G30" s="51" t="s">
        <v>26</v>
      </c>
      <c r="H30" s="51" t="s">
        <v>73</v>
      </c>
      <c r="I30" s="130" t="s">
        <v>74</v>
      </c>
      <c r="J30" s="51" t="s">
        <v>259</v>
      </c>
      <c r="K30" s="51" t="s">
        <v>253</v>
      </c>
      <c r="L30" s="51" t="s">
        <v>116</v>
      </c>
      <c r="M30" s="51" t="s">
        <v>117</v>
      </c>
      <c r="N30" s="51"/>
      <c r="O30" s="55" t="s">
        <v>190</v>
      </c>
      <c r="P30" s="51"/>
    </row>
    <row r="31" spans="1:30" s="29" customFormat="1" ht="14.45" customHeight="1" x14ac:dyDescent="0.25">
      <c r="B31" s="51"/>
      <c r="C31" s="51"/>
      <c r="D31" s="51"/>
      <c r="E31" s="51"/>
      <c r="F31" s="51"/>
      <c r="G31" s="51" t="s">
        <v>170</v>
      </c>
      <c r="H31" s="51" t="s">
        <v>73</v>
      </c>
      <c r="I31" s="130" t="s">
        <v>74</v>
      </c>
      <c r="J31" s="51" t="s">
        <v>260</v>
      </c>
      <c r="K31" s="51" t="s">
        <v>171</v>
      </c>
      <c r="L31" s="56" t="s">
        <v>258</v>
      </c>
      <c r="M31" s="51" t="s">
        <v>116</v>
      </c>
      <c r="N31" s="51" t="s">
        <v>117</v>
      </c>
      <c r="O31" s="51"/>
      <c r="P31" s="55" t="s">
        <v>249</v>
      </c>
      <c r="R31" s="66" t="s">
        <v>252</v>
      </c>
    </row>
    <row r="32" spans="1:30" s="29" customFormat="1" ht="14.45" customHeight="1" x14ac:dyDescent="0.25">
      <c r="A32" s="34"/>
      <c r="B32" s="51"/>
      <c r="C32" s="51"/>
      <c r="D32" s="51"/>
      <c r="E32" s="51"/>
      <c r="F32" s="51"/>
      <c r="G32" s="51" t="s">
        <v>29</v>
      </c>
      <c r="H32" s="51" t="s">
        <v>30</v>
      </c>
      <c r="I32" s="130" t="s">
        <v>31</v>
      </c>
      <c r="J32" s="51" t="s">
        <v>98</v>
      </c>
      <c r="K32" s="51" t="s">
        <v>116</v>
      </c>
      <c r="L32" s="51" t="s">
        <v>117</v>
      </c>
      <c r="M32" s="51"/>
      <c r="N32" s="51"/>
      <c r="O32" s="51"/>
      <c r="P32" s="51"/>
      <c r="Q32" s="51"/>
      <c r="R32" s="51"/>
      <c r="S32" s="51"/>
    </row>
    <row r="33" spans="1:21" s="29" customFormat="1" ht="14.45" customHeight="1" x14ac:dyDescent="0.25">
      <c r="B33" s="51"/>
      <c r="C33" s="51"/>
      <c r="D33" s="51"/>
      <c r="E33" s="51"/>
      <c r="F33" s="51"/>
      <c r="G33" s="51" t="s">
        <v>28</v>
      </c>
      <c r="H33" s="51" t="s">
        <v>30</v>
      </c>
      <c r="I33" s="130" t="s">
        <v>31</v>
      </c>
      <c r="J33" s="51" t="s">
        <v>98</v>
      </c>
      <c r="K33" s="51" t="s">
        <v>116</v>
      </c>
      <c r="L33" s="51" t="s">
        <v>117</v>
      </c>
      <c r="M33" s="51"/>
      <c r="N33" s="51"/>
      <c r="O33" s="51"/>
      <c r="P33" s="51"/>
      <c r="Q33" s="51"/>
      <c r="R33" s="51"/>
      <c r="S33" s="51"/>
    </row>
    <row r="34" spans="1:21" s="33" customFormat="1" ht="14.45" customHeight="1" x14ac:dyDescent="0.25">
      <c r="B34" s="56"/>
      <c r="C34" s="56"/>
      <c r="D34" s="56"/>
      <c r="E34" s="56"/>
      <c r="F34" s="56"/>
      <c r="G34" s="51" t="s">
        <v>124</v>
      </c>
      <c r="H34" s="51" t="s">
        <v>30</v>
      </c>
      <c r="I34" s="130" t="s">
        <v>31</v>
      </c>
      <c r="J34" s="51" t="s">
        <v>98</v>
      </c>
      <c r="K34" s="51" t="s">
        <v>116</v>
      </c>
      <c r="L34" s="51" t="s">
        <v>117</v>
      </c>
      <c r="M34" s="51"/>
      <c r="N34" s="29"/>
      <c r="O34" s="51"/>
      <c r="P34" s="51"/>
      <c r="Q34" s="29"/>
      <c r="R34" s="29"/>
      <c r="S34" s="29"/>
      <c r="T34" s="29"/>
      <c r="U34" s="29"/>
    </row>
    <row r="35" spans="1:21" s="29" customFormat="1" ht="15" customHeight="1" x14ac:dyDescent="0.25">
      <c r="B35" s="51"/>
      <c r="C35" s="51"/>
      <c r="D35" s="51"/>
      <c r="E35" s="51"/>
      <c r="F35" s="51"/>
      <c r="G35" s="56" t="s">
        <v>138</v>
      </c>
      <c r="H35" s="56" t="s">
        <v>256</v>
      </c>
      <c r="I35" s="130" t="s">
        <v>257</v>
      </c>
      <c r="J35" s="56" t="s">
        <v>258</v>
      </c>
      <c r="K35" s="56" t="s">
        <v>116</v>
      </c>
      <c r="L35" s="56" t="s">
        <v>117</v>
      </c>
      <c r="M35" s="67" t="s">
        <v>149</v>
      </c>
      <c r="O35" s="33"/>
      <c r="P35" s="33"/>
      <c r="Q35" s="66" t="s">
        <v>139</v>
      </c>
      <c r="R35" s="121"/>
      <c r="S35" s="121"/>
      <c r="T35" s="121"/>
      <c r="U35" s="121"/>
    </row>
    <row r="36" spans="1:21" s="29" customFormat="1" x14ac:dyDescent="0.25">
      <c r="G36" s="51" t="s">
        <v>62</v>
      </c>
      <c r="H36" s="51" t="s">
        <v>63</v>
      </c>
      <c r="I36" s="130" t="s">
        <v>51</v>
      </c>
      <c r="J36" s="51"/>
      <c r="K36" s="51"/>
      <c r="L36" s="51"/>
      <c r="M36" s="54" t="s">
        <v>64</v>
      </c>
      <c r="N36" s="51"/>
      <c r="O36" s="51"/>
      <c r="Q36" s="51"/>
      <c r="R36" s="51"/>
      <c r="S36" s="51"/>
    </row>
    <row r="37" spans="1:21" s="29" customFormat="1" x14ac:dyDescent="0.25">
      <c r="G37" s="51" t="s">
        <v>60</v>
      </c>
      <c r="H37" s="51" t="s">
        <v>63</v>
      </c>
      <c r="I37" s="130" t="s">
        <v>51</v>
      </c>
      <c r="J37" s="51"/>
      <c r="K37" s="51"/>
      <c r="L37" s="51"/>
      <c r="M37" s="54" t="s">
        <v>64</v>
      </c>
      <c r="N37" s="51"/>
      <c r="O37" s="51"/>
      <c r="P37" s="51"/>
      <c r="Q37" s="51"/>
      <c r="R37" s="51"/>
    </row>
    <row r="38" spans="1:21" s="29" customFormat="1" x14ac:dyDescent="0.25">
      <c r="G38" s="51" t="s">
        <v>182</v>
      </c>
      <c r="H38" s="51" t="s">
        <v>27</v>
      </c>
      <c r="I38" s="131" t="s">
        <v>183</v>
      </c>
      <c r="P38" s="51"/>
      <c r="S38" s="51"/>
    </row>
    <row r="39" spans="1:21" s="29" customFormat="1" x14ac:dyDescent="0.25">
      <c r="I39"/>
    </row>
    <row r="40" spans="1:21" s="29" customFormat="1" x14ac:dyDescent="0.25">
      <c r="I40"/>
    </row>
    <row r="41" spans="1:21" s="33" customFormat="1" x14ac:dyDescent="0.25">
      <c r="A41" s="31"/>
      <c r="I41"/>
    </row>
    <row r="42" spans="1:21" s="29" customFormat="1" ht="93.75" customHeight="1" x14ac:dyDescent="0.25">
      <c r="B42" s="63" t="s">
        <v>246</v>
      </c>
      <c r="C42" s="63" t="s">
        <v>12</v>
      </c>
      <c r="D42" s="150" t="s">
        <v>247</v>
      </c>
      <c r="E42" s="150"/>
      <c r="F42" s="150"/>
      <c r="G42" s="150"/>
      <c r="H42" s="150"/>
      <c r="I42" s="150"/>
      <c r="J42" s="150"/>
      <c r="K42" s="150"/>
      <c r="L42" s="150"/>
      <c r="M42" s="150"/>
      <c r="N42" s="150"/>
      <c r="O42" s="150"/>
    </row>
    <row r="43" spans="1:21" s="29" customFormat="1" x14ac:dyDescent="0.25">
      <c r="B43" s="63"/>
      <c r="C43" s="63"/>
      <c r="D43" s="63"/>
      <c r="E43" s="63"/>
      <c r="F43" s="63"/>
      <c r="G43" s="63"/>
      <c r="H43" s="63"/>
      <c r="I43" s="64"/>
      <c r="J43" s="63"/>
      <c r="K43" s="63"/>
      <c r="L43" s="63"/>
      <c r="M43" s="63"/>
      <c r="N43" s="63"/>
      <c r="O43" s="63"/>
    </row>
    <row r="44" spans="1:21" x14ac:dyDescent="0.25">
      <c r="B44" s="64"/>
      <c r="C44" s="64"/>
      <c r="D44" s="64" t="s">
        <v>29</v>
      </c>
      <c r="E44" s="64" t="s">
        <v>30</v>
      </c>
      <c r="F44" s="64" t="s">
        <v>31</v>
      </c>
      <c r="G44" s="64" t="s">
        <v>98</v>
      </c>
      <c r="H44" s="63" t="s">
        <v>116</v>
      </c>
      <c r="I44" s="64" t="s">
        <v>117</v>
      </c>
      <c r="J44" s="64"/>
      <c r="K44" s="64"/>
      <c r="L44" s="64"/>
      <c r="M44" s="64"/>
      <c r="N44" s="64"/>
      <c r="O44" s="64"/>
    </row>
    <row r="45" spans="1:21" ht="15" customHeight="1" x14ac:dyDescent="0.25">
      <c r="B45" s="64"/>
      <c r="C45" s="64"/>
      <c r="D45" s="64" t="s">
        <v>138</v>
      </c>
      <c r="E45" s="65" t="s">
        <v>93</v>
      </c>
      <c r="F45" s="65" t="s">
        <v>94</v>
      </c>
      <c r="G45" s="65" t="s">
        <v>95</v>
      </c>
      <c r="H45" s="63" t="s">
        <v>116</v>
      </c>
      <c r="I45" s="64" t="s">
        <v>117</v>
      </c>
      <c r="J45" s="64"/>
      <c r="K45" s="64"/>
      <c r="L45" s="64"/>
      <c r="M45" s="140" t="s">
        <v>149</v>
      </c>
      <c r="N45" s="29"/>
      <c r="O45" s="33"/>
      <c r="P45" s="66" t="s">
        <v>619</v>
      </c>
      <c r="Q45" s="121"/>
      <c r="R45" s="121"/>
      <c r="S45" s="121"/>
      <c r="T45" s="121"/>
    </row>
    <row r="46" spans="1:21" x14ac:dyDescent="0.25">
      <c r="B46" s="64"/>
      <c r="C46" s="64"/>
      <c r="D46" s="64" t="s">
        <v>25</v>
      </c>
      <c r="E46" s="63" t="s">
        <v>73</v>
      </c>
      <c r="F46" s="63" t="s">
        <v>74</v>
      </c>
      <c r="G46" s="63" t="s">
        <v>254</v>
      </c>
      <c r="H46" s="63" t="s">
        <v>253</v>
      </c>
      <c r="I46" s="64" t="s">
        <v>116</v>
      </c>
      <c r="J46" s="63" t="s">
        <v>117</v>
      </c>
      <c r="K46" s="64"/>
      <c r="L46" s="64"/>
      <c r="M46" s="64"/>
      <c r="N46" s="64"/>
      <c r="O46" s="54" t="s">
        <v>248</v>
      </c>
    </row>
    <row r="47" spans="1:21" ht="14.45" customHeight="1" x14ac:dyDescent="0.25">
      <c r="B47" s="64"/>
      <c r="C47" s="64"/>
      <c r="D47" s="64" t="s">
        <v>170</v>
      </c>
      <c r="E47" s="63" t="s">
        <v>73</v>
      </c>
      <c r="F47" s="63" t="s">
        <v>74</v>
      </c>
      <c r="G47" s="63" t="s">
        <v>255</v>
      </c>
      <c r="H47" s="63" t="s">
        <v>171</v>
      </c>
      <c r="I47" s="64" t="s">
        <v>258</v>
      </c>
      <c r="J47" s="63" t="s">
        <v>116</v>
      </c>
      <c r="K47" s="63" t="s">
        <v>117</v>
      </c>
      <c r="L47" s="64"/>
      <c r="M47" s="64"/>
      <c r="N47" s="64"/>
      <c r="O47" s="54" t="s">
        <v>249</v>
      </c>
      <c r="P47" s="66" t="s">
        <v>618</v>
      </c>
    </row>
    <row r="48" spans="1:21" x14ac:dyDescent="0.25">
      <c r="B48" s="64"/>
      <c r="C48" s="64"/>
      <c r="D48" s="64"/>
      <c r="E48" s="64"/>
      <c r="F48" s="64"/>
      <c r="G48" s="64"/>
      <c r="H48" s="64"/>
      <c r="I48" s="64"/>
      <c r="J48" s="64"/>
      <c r="K48" s="64"/>
      <c r="L48" s="64"/>
      <c r="M48" s="64"/>
      <c r="N48" s="64"/>
      <c r="O48" s="64"/>
    </row>
    <row r="49" spans="2:15" x14ac:dyDescent="0.25">
      <c r="B49" s="64"/>
      <c r="C49" s="64"/>
      <c r="D49" s="64"/>
      <c r="E49" s="64"/>
      <c r="F49" s="64"/>
      <c r="G49" s="64"/>
      <c r="H49" s="64"/>
      <c r="I49" s="64"/>
      <c r="J49" s="64"/>
      <c r="K49" s="64"/>
      <c r="L49" s="64"/>
      <c r="M49" s="64"/>
      <c r="N49" s="64"/>
      <c r="O49" s="64"/>
    </row>
    <row r="50" spans="2:15" x14ac:dyDescent="0.25">
      <c r="B50" s="64"/>
      <c r="C50" s="64"/>
      <c r="D50" s="64"/>
      <c r="E50" s="64"/>
      <c r="F50" s="64"/>
      <c r="G50" s="64"/>
      <c r="H50" s="64"/>
      <c r="I50" s="64"/>
      <c r="J50" s="64"/>
      <c r="K50" s="64"/>
      <c r="L50" s="64"/>
      <c r="M50" s="64"/>
      <c r="N50" s="64"/>
      <c r="O50" s="64"/>
    </row>
    <row r="51" spans="2:15" x14ac:dyDescent="0.25">
      <c r="B51" s="64"/>
      <c r="C51" s="64"/>
      <c r="D51" s="64"/>
      <c r="E51" s="64"/>
      <c r="F51" s="64"/>
      <c r="G51" s="64"/>
      <c r="H51" s="64"/>
      <c r="I51" s="64"/>
      <c r="J51" s="64"/>
      <c r="K51" s="64"/>
      <c r="L51" s="64"/>
      <c r="M51" s="64"/>
      <c r="N51" s="64"/>
      <c r="O51" s="64"/>
    </row>
    <row r="52" spans="2:15" x14ac:dyDescent="0.25">
      <c r="B52" s="64"/>
      <c r="C52" s="64"/>
      <c r="D52" s="64"/>
      <c r="E52" s="64"/>
      <c r="F52" s="64"/>
      <c r="G52" s="64"/>
      <c r="H52" s="64"/>
      <c r="I52" s="64"/>
      <c r="J52" s="64"/>
      <c r="K52" s="64"/>
      <c r="L52" s="64"/>
      <c r="M52" s="64"/>
      <c r="N52" s="64"/>
      <c r="O52" s="64"/>
    </row>
    <row r="54" spans="2:15" x14ac:dyDescent="0.25">
      <c r="B54" s="64"/>
      <c r="C54" s="64"/>
      <c r="D54" s="64"/>
      <c r="E54" s="64"/>
      <c r="F54" s="64"/>
      <c r="G54" s="64"/>
      <c r="H54" s="64"/>
      <c r="I54" s="64"/>
      <c r="J54" s="64"/>
      <c r="K54" s="64"/>
      <c r="L54" s="64"/>
      <c r="M54" s="64"/>
      <c r="N54" s="64"/>
      <c r="O54" s="64"/>
    </row>
    <row r="55" spans="2:15" x14ac:dyDescent="0.25">
      <c r="B55" s="64"/>
      <c r="C55" s="64"/>
      <c r="D55" s="64"/>
      <c r="E55" s="64"/>
      <c r="F55" s="64"/>
      <c r="G55" s="64"/>
      <c r="H55" s="64"/>
      <c r="I55" s="64"/>
      <c r="J55" s="64"/>
      <c r="K55" s="64"/>
      <c r="L55" s="64"/>
      <c r="M55" s="64"/>
      <c r="N55" s="64"/>
      <c r="O55" s="64"/>
    </row>
  </sheetData>
  <mergeCells count="2">
    <mergeCell ref="G21:O21"/>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Q678"/>
  <sheetViews>
    <sheetView zoomScale="75" zoomScaleNormal="85" workbookViewId="0">
      <selection activeCell="O1" sqref="O1:O678"/>
    </sheetView>
  </sheetViews>
  <sheetFormatPr defaultRowHeight="15" x14ac:dyDescent="0.25"/>
  <cols>
    <col min="1" max="1" width="11.5703125" customWidth="1"/>
    <col min="2" max="7" width="5.85546875" customWidth="1"/>
    <col min="8" max="8" width="10.85546875" bestFit="1" customWidth="1"/>
    <col min="9" max="9" width="11.140625" bestFit="1" customWidth="1"/>
    <col min="10" max="10" width="9" customWidth="1"/>
    <col min="11" max="13" width="15.140625" customWidth="1"/>
    <col min="14" max="14" width="17.85546875" customWidth="1"/>
    <col min="15" max="15" width="16.42578125" style="60" customWidth="1"/>
    <col min="16" max="16" width="36.140625" customWidth="1"/>
    <col min="30" max="30" width="33.5703125" bestFit="1" customWidth="1"/>
    <col min="31" max="31" width="25.140625" bestFit="1" customWidth="1"/>
  </cols>
  <sheetData>
    <row r="1" spans="1:17" x14ac:dyDescent="0.25">
      <c r="A1" t="s">
        <v>48</v>
      </c>
      <c r="B1" t="s">
        <v>3</v>
      </c>
      <c r="C1" t="s">
        <v>4</v>
      </c>
      <c r="D1" t="s">
        <v>33</v>
      </c>
      <c r="E1" t="s">
        <v>5</v>
      </c>
      <c r="F1" t="s">
        <v>6</v>
      </c>
      <c r="G1" t="s">
        <v>34</v>
      </c>
      <c r="H1" t="s">
        <v>15</v>
      </c>
      <c r="I1" t="s">
        <v>11</v>
      </c>
      <c r="J1" t="s">
        <v>47</v>
      </c>
      <c r="K1" t="s">
        <v>99</v>
      </c>
      <c r="L1" t="s">
        <v>203</v>
      </c>
      <c r="M1" t="s">
        <v>59</v>
      </c>
      <c r="N1" t="s">
        <v>35</v>
      </c>
      <c r="O1" s="60" t="s">
        <v>135</v>
      </c>
      <c r="P1" t="s">
        <v>36</v>
      </c>
    </row>
    <row r="2" spans="1:17" x14ac:dyDescent="0.25">
      <c r="A2" t="s">
        <v>23</v>
      </c>
      <c r="B2">
        <v>274</v>
      </c>
      <c r="C2">
        <v>125</v>
      </c>
      <c r="D2">
        <v>15</v>
      </c>
      <c r="E2">
        <v>288</v>
      </c>
      <c r="F2">
        <v>102.7</v>
      </c>
      <c r="G2">
        <v>-1.8000000000000003</v>
      </c>
      <c r="H2">
        <v>0</v>
      </c>
      <c r="I2">
        <v>0</v>
      </c>
      <c r="K2">
        <v>3000</v>
      </c>
      <c r="N2">
        <v>0</v>
      </c>
      <c r="O2" s="60">
        <v>0</v>
      </c>
      <c r="P2" t="s">
        <v>659</v>
      </c>
      <c r="Q2" t="s">
        <v>891</v>
      </c>
    </row>
    <row r="3" spans="1:17" x14ac:dyDescent="0.25">
      <c r="A3" t="s">
        <v>19</v>
      </c>
      <c r="B3">
        <v>288</v>
      </c>
      <c r="C3">
        <v>102.7</v>
      </c>
      <c r="D3">
        <v>-1.8000000000000003</v>
      </c>
      <c r="E3">
        <v>283</v>
      </c>
      <c r="F3">
        <v>102.7</v>
      </c>
      <c r="G3">
        <v>-1.8000000000000003</v>
      </c>
      <c r="H3">
        <v>1.2</v>
      </c>
      <c r="I3">
        <v>470.20311383399996</v>
      </c>
      <c r="J3">
        <v>2.2450544947164701</v>
      </c>
      <c r="K3">
        <v>1250</v>
      </c>
      <c r="L3">
        <v>0</v>
      </c>
      <c r="N3">
        <v>1</v>
      </c>
      <c r="O3" s="60" t="s">
        <v>290</v>
      </c>
      <c r="P3" t="s">
        <v>860</v>
      </c>
      <c r="Q3" t="s">
        <v>889</v>
      </c>
    </row>
    <row r="4" spans="1:17" x14ac:dyDescent="0.25">
      <c r="A4" t="s">
        <v>19</v>
      </c>
      <c r="B4">
        <v>283</v>
      </c>
      <c r="C4">
        <v>102.7</v>
      </c>
      <c r="D4">
        <v>-1.8000000000000003</v>
      </c>
      <c r="E4">
        <v>283</v>
      </c>
      <c r="F4">
        <v>72.3</v>
      </c>
      <c r="G4">
        <v>-1.8000000000000003</v>
      </c>
      <c r="H4">
        <v>1.2</v>
      </c>
      <c r="I4">
        <v>470.20311383399996</v>
      </c>
      <c r="J4">
        <v>13.649931327876137</v>
      </c>
      <c r="K4">
        <v>1250</v>
      </c>
      <c r="L4">
        <v>0</v>
      </c>
      <c r="N4">
        <v>1</v>
      </c>
      <c r="O4" s="60" t="s">
        <v>290</v>
      </c>
      <c r="P4" t="s">
        <v>860</v>
      </c>
      <c r="Q4" t="s">
        <v>892</v>
      </c>
    </row>
    <row r="5" spans="1:17" x14ac:dyDescent="0.25">
      <c r="A5" t="s">
        <v>19</v>
      </c>
      <c r="B5">
        <v>283</v>
      </c>
      <c r="C5">
        <v>72.3</v>
      </c>
      <c r="D5">
        <v>-1.8000000000000003</v>
      </c>
      <c r="E5">
        <v>288</v>
      </c>
      <c r="F5">
        <v>72.3</v>
      </c>
      <c r="G5">
        <v>-1.8000000000000003</v>
      </c>
      <c r="H5">
        <v>1.2</v>
      </c>
      <c r="I5">
        <v>470.20311383399996</v>
      </c>
      <c r="J5">
        <v>2.2450544947164701</v>
      </c>
      <c r="K5">
        <v>1250</v>
      </c>
      <c r="L5">
        <v>0</v>
      </c>
      <c r="N5">
        <v>1</v>
      </c>
      <c r="O5" s="60" t="s">
        <v>290</v>
      </c>
      <c r="P5" t="s">
        <v>860</v>
      </c>
      <c r="Q5" t="s">
        <v>861</v>
      </c>
    </row>
    <row r="6" spans="1:17" x14ac:dyDescent="0.25">
      <c r="A6" t="s">
        <v>19</v>
      </c>
      <c r="B6">
        <v>288</v>
      </c>
      <c r="C6">
        <v>72.3</v>
      </c>
      <c r="D6">
        <v>-1.8000000000000003</v>
      </c>
      <c r="E6">
        <v>288</v>
      </c>
      <c r="F6">
        <v>102.7</v>
      </c>
      <c r="G6">
        <v>-1.8000000000000003</v>
      </c>
      <c r="H6">
        <v>1.2</v>
      </c>
      <c r="I6">
        <v>470.20311383399996</v>
      </c>
      <c r="J6">
        <v>13.649931327876137</v>
      </c>
      <c r="K6">
        <v>1250</v>
      </c>
      <c r="L6">
        <v>0</v>
      </c>
      <c r="N6">
        <v>1</v>
      </c>
      <c r="O6" s="60" t="s">
        <v>290</v>
      </c>
      <c r="P6" t="s">
        <v>860</v>
      </c>
      <c r="Q6" t="s">
        <v>893</v>
      </c>
    </row>
    <row r="7" spans="1:17" x14ac:dyDescent="0.25">
      <c r="A7" t="s">
        <v>23</v>
      </c>
      <c r="B7">
        <v>288</v>
      </c>
      <c r="C7">
        <v>102.7</v>
      </c>
      <c r="D7">
        <v>-1.8000000000000003</v>
      </c>
      <c r="E7">
        <v>289.35000000000002</v>
      </c>
      <c r="F7">
        <v>104.05</v>
      </c>
      <c r="G7">
        <v>-1.8000000000000003</v>
      </c>
      <c r="H7">
        <v>0</v>
      </c>
      <c r="I7">
        <v>0</v>
      </c>
      <c r="K7">
        <v>3000</v>
      </c>
      <c r="N7">
        <v>0</v>
      </c>
      <c r="O7" s="60">
        <v>0</v>
      </c>
      <c r="P7" t="s">
        <v>659</v>
      </c>
      <c r="Q7" t="s">
        <v>1063</v>
      </c>
    </row>
    <row r="8" spans="1:17" x14ac:dyDescent="0.25">
      <c r="A8" t="s">
        <v>19</v>
      </c>
      <c r="B8">
        <v>289.35000000000002</v>
      </c>
      <c r="C8">
        <v>104.05</v>
      </c>
      <c r="D8">
        <v>-1.8000000000000003</v>
      </c>
      <c r="E8">
        <v>281.65000000000003</v>
      </c>
      <c r="F8">
        <v>104.05</v>
      </c>
      <c r="G8">
        <v>-1.8000000000000003</v>
      </c>
      <c r="H8">
        <v>1.2</v>
      </c>
      <c r="I8">
        <v>470.20311383399996</v>
      </c>
      <c r="J8">
        <v>3.4573839218633586</v>
      </c>
      <c r="K8">
        <v>1250</v>
      </c>
      <c r="L8">
        <v>0</v>
      </c>
      <c r="N8">
        <v>2</v>
      </c>
      <c r="O8" s="60" t="s">
        <v>1064</v>
      </c>
      <c r="P8" t="s">
        <v>1065</v>
      </c>
      <c r="Q8" t="s">
        <v>1066</v>
      </c>
    </row>
    <row r="9" spans="1:17" x14ac:dyDescent="0.25">
      <c r="A9" t="s">
        <v>19</v>
      </c>
      <c r="B9">
        <v>281.65000000000003</v>
      </c>
      <c r="C9">
        <v>104.05</v>
      </c>
      <c r="D9">
        <v>-1.8000000000000003</v>
      </c>
      <c r="E9">
        <v>281.65000000000003</v>
      </c>
      <c r="F9">
        <v>70.949999999999989</v>
      </c>
      <c r="G9">
        <v>-1.8000000000000003</v>
      </c>
      <c r="H9">
        <v>1.2</v>
      </c>
      <c r="I9">
        <v>470.20311383399996</v>
      </c>
      <c r="J9">
        <v>14.862260755023032</v>
      </c>
      <c r="K9">
        <v>1250</v>
      </c>
      <c r="L9">
        <v>0</v>
      </c>
      <c r="N9">
        <v>2</v>
      </c>
      <c r="O9" s="60" t="s">
        <v>1064</v>
      </c>
      <c r="P9" t="s">
        <v>1065</v>
      </c>
      <c r="Q9" t="s">
        <v>1067</v>
      </c>
    </row>
    <row r="10" spans="1:17" x14ac:dyDescent="0.25">
      <c r="A10" t="s">
        <v>19</v>
      </c>
      <c r="B10">
        <v>281.65000000000003</v>
      </c>
      <c r="C10">
        <v>70.949999999999989</v>
      </c>
      <c r="D10">
        <v>-1.8000000000000003</v>
      </c>
      <c r="E10">
        <v>289.35000000000002</v>
      </c>
      <c r="F10">
        <v>70.949999999999989</v>
      </c>
      <c r="G10">
        <v>-1.8000000000000003</v>
      </c>
      <c r="H10">
        <v>1.2</v>
      </c>
      <c r="I10">
        <v>470.20311383399996</v>
      </c>
      <c r="J10">
        <v>3.4573839218633586</v>
      </c>
      <c r="K10">
        <v>1250</v>
      </c>
      <c r="L10">
        <v>0</v>
      </c>
      <c r="N10">
        <v>2</v>
      </c>
      <c r="O10" s="60" t="s">
        <v>1064</v>
      </c>
      <c r="P10" t="s">
        <v>1065</v>
      </c>
      <c r="Q10" t="s">
        <v>1068</v>
      </c>
    </row>
    <row r="11" spans="1:17" x14ac:dyDescent="0.25">
      <c r="A11" t="s">
        <v>19</v>
      </c>
      <c r="B11">
        <v>289.35000000000002</v>
      </c>
      <c r="C11">
        <v>70.949999999999989</v>
      </c>
      <c r="D11">
        <v>-1.8000000000000003</v>
      </c>
      <c r="E11">
        <v>289.35000000000002</v>
      </c>
      <c r="F11">
        <v>104.05</v>
      </c>
      <c r="G11">
        <v>-1.8000000000000003</v>
      </c>
      <c r="H11">
        <v>1.2</v>
      </c>
      <c r="I11">
        <v>470.20311383399996</v>
      </c>
      <c r="J11">
        <v>14.862260755023032</v>
      </c>
      <c r="K11">
        <v>1250</v>
      </c>
      <c r="L11">
        <v>0</v>
      </c>
      <c r="N11">
        <v>2</v>
      </c>
      <c r="O11" s="60" t="s">
        <v>1064</v>
      </c>
      <c r="P11" t="s">
        <v>1065</v>
      </c>
      <c r="Q11" t="s">
        <v>1069</v>
      </c>
    </row>
    <row r="12" spans="1:17" x14ac:dyDescent="0.25">
      <c r="A12" t="s">
        <v>23</v>
      </c>
      <c r="B12">
        <v>289.35000000000002</v>
      </c>
      <c r="C12">
        <v>104.05</v>
      </c>
      <c r="D12">
        <v>-1.8000000000000003</v>
      </c>
      <c r="E12">
        <v>290.7</v>
      </c>
      <c r="F12">
        <v>105.4</v>
      </c>
      <c r="G12">
        <v>-1.8000000000000003</v>
      </c>
      <c r="H12">
        <v>0</v>
      </c>
      <c r="I12">
        <v>0</v>
      </c>
      <c r="K12">
        <v>3000</v>
      </c>
      <c r="N12">
        <v>0</v>
      </c>
      <c r="O12" s="60">
        <v>0</v>
      </c>
      <c r="P12" t="s">
        <v>659</v>
      </c>
      <c r="Q12" t="s">
        <v>1070</v>
      </c>
    </row>
    <row r="13" spans="1:17" x14ac:dyDescent="0.25">
      <c r="A13" t="s">
        <v>19</v>
      </c>
      <c r="B13">
        <v>290.7</v>
      </c>
      <c r="C13">
        <v>105.4</v>
      </c>
      <c r="D13">
        <v>-1.8000000000000003</v>
      </c>
      <c r="E13">
        <v>280.3</v>
      </c>
      <c r="F13">
        <v>105.4</v>
      </c>
      <c r="G13">
        <v>-1.8000000000000003</v>
      </c>
      <c r="H13">
        <v>1.2</v>
      </c>
      <c r="I13">
        <v>470.20311383399996</v>
      </c>
      <c r="J13">
        <v>4.6697133490102463</v>
      </c>
      <c r="K13">
        <v>1250</v>
      </c>
      <c r="L13">
        <v>0</v>
      </c>
      <c r="N13">
        <v>2</v>
      </c>
      <c r="O13" s="60" t="s">
        <v>1071</v>
      </c>
      <c r="P13" t="s">
        <v>1065</v>
      </c>
      <c r="Q13" t="s">
        <v>1072</v>
      </c>
    </row>
    <row r="14" spans="1:17" x14ac:dyDescent="0.25">
      <c r="A14" t="s">
        <v>19</v>
      </c>
      <c r="B14">
        <v>280.3</v>
      </c>
      <c r="C14">
        <v>105.4</v>
      </c>
      <c r="D14">
        <v>-1.8000000000000003</v>
      </c>
      <c r="E14">
        <v>280.3</v>
      </c>
      <c r="F14">
        <v>69.599999999999994</v>
      </c>
      <c r="G14">
        <v>-1.8000000000000003</v>
      </c>
      <c r="H14">
        <v>1.2</v>
      </c>
      <c r="I14">
        <v>470.20311383399996</v>
      </c>
      <c r="J14">
        <v>16.074590182169928</v>
      </c>
      <c r="K14">
        <v>1250</v>
      </c>
      <c r="L14">
        <v>0</v>
      </c>
      <c r="N14">
        <v>2</v>
      </c>
      <c r="O14" s="60" t="s">
        <v>1071</v>
      </c>
      <c r="P14" t="s">
        <v>1065</v>
      </c>
      <c r="Q14" t="s">
        <v>1073</v>
      </c>
    </row>
    <row r="15" spans="1:17" x14ac:dyDescent="0.25">
      <c r="A15" t="s">
        <v>19</v>
      </c>
      <c r="B15">
        <v>280.3</v>
      </c>
      <c r="C15">
        <v>69.599999999999994</v>
      </c>
      <c r="D15">
        <v>-1.8000000000000003</v>
      </c>
      <c r="E15">
        <v>290.7</v>
      </c>
      <c r="F15">
        <v>69.599999999999994</v>
      </c>
      <c r="G15">
        <v>-1.8000000000000003</v>
      </c>
      <c r="H15">
        <v>1.2</v>
      </c>
      <c r="I15">
        <v>470.20311383399996</v>
      </c>
      <c r="J15">
        <v>4.6697133490102463</v>
      </c>
      <c r="K15">
        <v>1250</v>
      </c>
      <c r="L15">
        <v>0</v>
      </c>
      <c r="N15">
        <v>2</v>
      </c>
      <c r="O15" s="60" t="s">
        <v>1071</v>
      </c>
      <c r="P15" t="s">
        <v>1065</v>
      </c>
      <c r="Q15" t="s">
        <v>1074</v>
      </c>
    </row>
    <row r="16" spans="1:17" x14ac:dyDescent="0.25">
      <c r="A16" t="s">
        <v>19</v>
      </c>
      <c r="B16">
        <v>290.7</v>
      </c>
      <c r="C16">
        <v>69.599999999999994</v>
      </c>
      <c r="D16">
        <v>-1.8000000000000003</v>
      </c>
      <c r="E16">
        <v>290.7</v>
      </c>
      <c r="F16">
        <v>105.4</v>
      </c>
      <c r="G16">
        <v>-1.8000000000000003</v>
      </c>
      <c r="H16">
        <v>1.2</v>
      </c>
      <c r="I16">
        <v>470.20311383399996</v>
      </c>
      <c r="J16">
        <v>16.074590182169928</v>
      </c>
      <c r="K16">
        <v>1250</v>
      </c>
      <c r="L16">
        <v>0</v>
      </c>
      <c r="N16">
        <v>2</v>
      </c>
      <c r="O16" s="60" t="s">
        <v>1071</v>
      </c>
      <c r="P16" t="s">
        <v>1065</v>
      </c>
      <c r="Q16" t="s">
        <v>1075</v>
      </c>
    </row>
    <row r="17" spans="1:17" x14ac:dyDescent="0.25">
      <c r="A17" t="s">
        <v>23</v>
      </c>
      <c r="B17">
        <v>290.7</v>
      </c>
      <c r="C17">
        <v>105.4</v>
      </c>
      <c r="D17">
        <v>-1.8000000000000003</v>
      </c>
      <c r="E17">
        <v>292.05</v>
      </c>
      <c r="F17">
        <v>106.75</v>
      </c>
      <c r="G17">
        <v>-1.8000000000000003</v>
      </c>
      <c r="H17">
        <v>0</v>
      </c>
      <c r="I17">
        <v>0</v>
      </c>
      <c r="K17">
        <v>3000</v>
      </c>
      <c r="N17">
        <v>0</v>
      </c>
      <c r="O17" s="60">
        <v>0</v>
      </c>
      <c r="P17" t="s">
        <v>659</v>
      </c>
      <c r="Q17" t="s">
        <v>1076</v>
      </c>
    </row>
    <row r="18" spans="1:17" x14ac:dyDescent="0.25">
      <c r="A18" t="s">
        <v>19</v>
      </c>
      <c r="B18">
        <v>292.05</v>
      </c>
      <c r="C18">
        <v>106.75</v>
      </c>
      <c r="D18">
        <v>-1.8000000000000003</v>
      </c>
      <c r="E18">
        <v>278.95</v>
      </c>
      <c r="F18">
        <v>106.75</v>
      </c>
      <c r="G18">
        <v>-1.8000000000000003</v>
      </c>
      <c r="H18">
        <v>1.2</v>
      </c>
      <c r="I18">
        <v>470.20311383399996</v>
      </c>
      <c r="J18">
        <v>5.882042776157161</v>
      </c>
      <c r="K18">
        <v>1250</v>
      </c>
      <c r="L18">
        <v>0</v>
      </c>
      <c r="N18">
        <v>2</v>
      </c>
      <c r="O18" s="60" t="s">
        <v>1077</v>
      </c>
      <c r="P18" t="s">
        <v>1065</v>
      </c>
      <c r="Q18" t="s">
        <v>1078</v>
      </c>
    </row>
    <row r="19" spans="1:17" x14ac:dyDescent="0.25">
      <c r="A19" t="s">
        <v>19</v>
      </c>
      <c r="B19">
        <v>278.95</v>
      </c>
      <c r="C19">
        <v>106.75</v>
      </c>
      <c r="D19">
        <v>-1.8000000000000003</v>
      </c>
      <c r="E19">
        <v>278.95</v>
      </c>
      <c r="F19">
        <v>68.25</v>
      </c>
      <c r="G19">
        <v>-1.8000000000000003</v>
      </c>
      <c r="H19">
        <v>1.2</v>
      </c>
      <c r="I19">
        <v>470.20311383399996</v>
      </c>
      <c r="J19">
        <v>17.286919609316818</v>
      </c>
      <c r="K19">
        <v>1250</v>
      </c>
      <c r="L19">
        <v>0</v>
      </c>
      <c r="N19">
        <v>2</v>
      </c>
      <c r="O19" s="60" t="s">
        <v>1077</v>
      </c>
      <c r="P19" t="s">
        <v>1065</v>
      </c>
      <c r="Q19" t="s">
        <v>1079</v>
      </c>
    </row>
    <row r="20" spans="1:17" x14ac:dyDescent="0.25">
      <c r="A20" t="s">
        <v>19</v>
      </c>
      <c r="B20">
        <v>278.95</v>
      </c>
      <c r="C20">
        <v>68.25</v>
      </c>
      <c r="D20">
        <v>-1.8000000000000003</v>
      </c>
      <c r="E20">
        <v>292.05</v>
      </c>
      <c r="F20">
        <v>68.25</v>
      </c>
      <c r="G20">
        <v>-1.8000000000000003</v>
      </c>
      <c r="H20">
        <v>1.2</v>
      </c>
      <c r="I20">
        <v>470.20311383399996</v>
      </c>
      <c r="J20">
        <v>5.882042776157161</v>
      </c>
      <c r="K20">
        <v>1250</v>
      </c>
      <c r="L20">
        <v>0</v>
      </c>
      <c r="N20">
        <v>2</v>
      </c>
      <c r="O20" s="60" t="s">
        <v>1077</v>
      </c>
      <c r="P20" t="s">
        <v>1065</v>
      </c>
      <c r="Q20" t="s">
        <v>1080</v>
      </c>
    </row>
    <row r="21" spans="1:17" x14ac:dyDescent="0.25">
      <c r="A21" t="s">
        <v>19</v>
      </c>
      <c r="B21">
        <v>292.05</v>
      </c>
      <c r="C21">
        <v>68.25</v>
      </c>
      <c r="D21">
        <v>-1.8000000000000003</v>
      </c>
      <c r="E21">
        <v>292.05</v>
      </c>
      <c r="F21">
        <v>106.75</v>
      </c>
      <c r="G21">
        <v>-1.8000000000000003</v>
      </c>
      <c r="H21">
        <v>1.2</v>
      </c>
      <c r="I21">
        <v>470.20311383399996</v>
      </c>
      <c r="J21">
        <v>17.286919609316818</v>
      </c>
      <c r="K21">
        <v>1250</v>
      </c>
      <c r="L21">
        <v>0</v>
      </c>
      <c r="N21">
        <v>2</v>
      </c>
      <c r="O21" s="60" t="s">
        <v>1077</v>
      </c>
      <c r="P21" t="s">
        <v>1065</v>
      </c>
      <c r="Q21" t="s">
        <v>1081</v>
      </c>
    </row>
    <row r="22" spans="1:17" x14ac:dyDescent="0.25">
      <c r="A22" t="s">
        <v>23</v>
      </c>
      <c r="B22">
        <v>292.05</v>
      </c>
      <c r="C22">
        <v>106.75</v>
      </c>
      <c r="D22">
        <v>-1.8000000000000003</v>
      </c>
      <c r="E22">
        <v>132</v>
      </c>
      <c r="F22">
        <v>102.7</v>
      </c>
      <c r="G22">
        <v>-1.8000000000000003</v>
      </c>
      <c r="H22">
        <v>0</v>
      </c>
      <c r="I22">
        <v>0</v>
      </c>
      <c r="K22">
        <v>3000</v>
      </c>
      <c r="N22">
        <v>0</v>
      </c>
      <c r="O22" s="60">
        <v>0</v>
      </c>
      <c r="P22" t="s">
        <v>659</v>
      </c>
      <c r="Q22" t="s">
        <v>918</v>
      </c>
    </row>
    <row r="23" spans="1:17" x14ac:dyDescent="0.25">
      <c r="A23" t="s">
        <v>19</v>
      </c>
      <c r="B23">
        <v>132</v>
      </c>
      <c r="C23">
        <v>102.7</v>
      </c>
      <c r="D23">
        <v>-1.8000000000000003</v>
      </c>
      <c r="E23">
        <v>137</v>
      </c>
      <c r="F23">
        <v>102.7</v>
      </c>
      <c r="G23">
        <v>-1.8000000000000003</v>
      </c>
      <c r="H23">
        <v>1.2</v>
      </c>
      <c r="I23">
        <v>470.20311383399996</v>
      </c>
      <c r="J23">
        <v>2.2450544947164701</v>
      </c>
      <c r="K23">
        <v>1250</v>
      </c>
      <c r="L23">
        <v>0</v>
      </c>
      <c r="N23">
        <v>3</v>
      </c>
      <c r="O23" s="60" t="s">
        <v>690</v>
      </c>
      <c r="P23" t="s">
        <v>862</v>
      </c>
      <c r="Q23" t="s">
        <v>865</v>
      </c>
    </row>
    <row r="24" spans="1:17" x14ac:dyDescent="0.25">
      <c r="A24" t="s">
        <v>19</v>
      </c>
      <c r="B24">
        <v>137</v>
      </c>
      <c r="C24">
        <v>102.7</v>
      </c>
      <c r="D24">
        <v>-1.8000000000000003</v>
      </c>
      <c r="E24">
        <v>137</v>
      </c>
      <c r="F24">
        <v>72.3</v>
      </c>
      <c r="G24">
        <v>-1.8000000000000003</v>
      </c>
      <c r="H24">
        <v>1.2</v>
      </c>
      <c r="I24">
        <v>470.20311383399996</v>
      </c>
      <c r="J24">
        <v>13.649931327876137</v>
      </c>
      <c r="K24">
        <v>1250</v>
      </c>
      <c r="L24">
        <v>0</v>
      </c>
      <c r="N24">
        <v>3</v>
      </c>
      <c r="O24" s="60" t="s">
        <v>690</v>
      </c>
      <c r="P24" t="s">
        <v>862</v>
      </c>
      <c r="Q24" t="s">
        <v>892</v>
      </c>
    </row>
    <row r="25" spans="1:17" x14ac:dyDescent="0.25">
      <c r="A25" t="s">
        <v>19</v>
      </c>
      <c r="B25">
        <v>137</v>
      </c>
      <c r="C25">
        <v>72.3</v>
      </c>
      <c r="D25">
        <v>-1.8000000000000003</v>
      </c>
      <c r="E25">
        <v>132</v>
      </c>
      <c r="F25">
        <v>72.3</v>
      </c>
      <c r="G25">
        <v>-1.8000000000000003</v>
      </c>
      <c r="H25">
        <v>1.2</v>
      </c>
      <c r="I25">
        <v>470.20311383399996</v>
      </c>
      <c r="J25">
        <v>2.2450544947164701</v>
      </c>
      <c r="K25">
        <v>1250</v>
      </c>
      <c r="L25">
        <v>0</v>
      </c>
      <c r="N25">
        <v>3</v>
      </c>
      <c r="O25" s="60" t="s">
        <v>690</v>
      </c>
      <c r="P25" t="s">
        <v>862</v>
      </c>
      <c r="Q25" t="s">
        <v>864</v>
      </c>
    </row>
    <row r="26" spans="1:17" x14ac:dyDescent="0.25">
      <c r="A26" t="s">
        <v>19</v>
      </c>
      <c r="B26">
        <v>132</v>
      </c>
      <c r="C26">
        <v>72.3</v>
      </c>
      <c r="D26">
        <v>-1.8000000000000003</v>
      </c>
      <c r="E26">
        <v>132</v>
      </c>
      <c r="F26">
        <v>102.7</v>
      </c>
      <c r="G26">
        <v>-1.8000000000000003</v>
      </c>
      <c r="H26">
        <v>1.2</v>
      </c>
      <c r="I26">
        <v>470.20311383399996</v>
      </c>
      <c r="J26">
        <v>13.649931327876137</v>
      </c>
      <c r="K26">
        <v>1250</v>
      </c>
      <c r="L26">
        <v>0</v>
      </c>
      <c r="N26">
        <v>3</v>
      </c>
      <c r="O26" s="60" t="s">
        <v>690</v>
      </c>
      <c r="P26" t="s">
        <v>862</v>
      </c>
      <c r="Q26" t="s">
        <v>893</v>
      </c>
    </row>
    <row r="27" spans="1:17" x14ac:dyDescent="0.25">
      <c r="A27" t="s">
        <v>23</v>
      </c>
      <c r="B27">
        <v>132</v>
      </c>
      <c r="C27">
        <v>102.7</v>
      </c>
      <c r="D27">
        <v>-1.8000000000000003</v>
      </c>
      <c r="E27">
        <v>130.65</v>
      </c>
      <c r="F27">
        <v>104.05</v>
      </c>
      <c r="G27">
        <v>-1.8000000000000003</v>
      </c>
      <c r="H27">
        <v>0</v>
      </c>
      <c r="I27">
        <v>0</v>
      </c>
      <c r="K27">
        <v>3000</v>
      </c>
      <c r="N27">
        <v>0</v>
      </c>
      <c r="O27" s="60">
        <v>0</v>
      </c>
      <c r="P27" t="s">
        <v>659</v>
      </c>
      <c r="Q27" t="s">
        <v>1082</v>
      </c>
    </row>
    <row r="28" spans="1:17" x14ac:dyDescent="0.25">
      <c r="A28" t="s">
        <v>19</v>
      </c>
      <c r="B28">
        <v>130.65</v>
      </c>
      <c r="C28">
        <v>104.05</v>
      </c>
      <c r="D28">
        <v>-1.8000000000000003</v>
      </c>
      <c r="E28">
        <v>130.65</v>
      </c>
      <c r="F28">
        <v>70.949999999999989</v>
      </c>
      <c r="G28">
        <v>-1.8000000000000003</v>
      </c>
      <c r="H28">
        <v>1.2</v>
      </c>
      <c r="I28">
        <v>470.20311383399996</v>
      </c>
      <c r="J28">
        <v>14.862260755023032</v>
      </c>
      <c r="K28">
        <v>1250</v>
      </c>
      <c r="L28">
        <v>0</v>
      </c>
      <c r="N28">
        <v>4</v>
      </c>
      <c r="O28" s="60" t="s">
        <v>1083</v>
      </c>
      <c r="P28" t="s">
        <v>1084</v>
      </c>
      <c r="Q28" t="s">
        <v>1085</v>
      </c>
    </row>
    <row r="29" spans="1:17" x14ac:dyDescent="0.25">
      <c r="A29" t="s">
        <v>19</v>
      </c>
      <c r="B29">
        <v>130.65</v>
      </c>
      <c r="C29">
        <v>70.949999999999989</v>
      </c>
      <c r="D29">
        <v>-1.8000000000000003</v>
      </c>
      <c r="E29">
        <v>138.35</v>
      </c>
      <c r="F29">
        <v>70.949999999999989</v>
      </c>
      <c r="G29">
        <v>-1.8000000000000003</v>
      </c>
      <c r="H29">
        <v>1.2</v>
      </c>
      <c r="I29">
        <v>470.20311383399996</v>
      </c>
      <c r="J29">
        <v>3.4573839218633586</v>
      </c>
      <c r="K29">
        <v>1250</v>
      </c>
      <c r="L29">
        <v>0</v>
      </c>
      <c r="N29">
        <v>4</v>
      </c>
      <c r="O29" s="60" t="s">
        <v>1083</v>
      </c>
      <c r="P29" t="s">
        <v>1084</v>
      </c>
      <c r="Q29" t="s">
        <v>1086</v>
      </c>
    </row>
    <row r="30" spans="1:17" x14ac:dyDescent="0.25">
      <c r="A30" t="s">
        <v>19</v>
      </c>
      <c r="B30">
        <v>138.35</v>
      </c>
      <c r="C30">
        <v>70.949999999999989</v>
      </c>
      <c r="D30">
        <v>-1.8000000000000003</v>
      </c>
      <c r="E30">
        <v>138.35</v>
      </c>
      <c r="F30">
        <v>104.05</v>
      </c>
      <c r="G30">
        <v>-1.8000000000000003</v>
      </c>
      <c r="H30">
        <v>1.2</v>
      </c>
      <c r="I30">
        <v>470.20311383399996</v>
      </c>
      <c r="J30">
        <v>14.862260755023032</v>
      </c>
      <c r="K30">
        <v>1250</v>
      </c>
      <c r="L30">
        <v>0</v>
      </c>
      <c r="N30">
        <v>4</v>
      </c>
      <c r="O30" s="60" t="s">
        <v>1083</v>
      </c>
      <c r="P30" t="s">
        <v>1084</v>
      </c>
      <c r="Q30" t="s">
        <v>1069</v>
      </c>
    </row>
    <row r="31" spans="1:17" x14ac:dyDescent="0.25">
      <c r="A31" t="s">
        <v>19</v>
      </c>
      <c r="B31">
        <v>138.35</v>
      </c>
      <c r="C31">
        <v>104.05</v>
      </c>
      <c r="D31">
        <v>-1.8000000000000003</v>
      </c>
      <c r="E31">
        <v>130.65</v>
      </c>
      <c r="F31">
        <v>104.05</v>
      </c>
      <c r="G31">
        <v>-1.8000000000000003</v>
      </c>
      <c r="H31">
        <v>1.2</v>
      </c>
      <c r="I31">
        <v>470.20311383399996</v>
      </c>
      <c r="J31">
        <v>3.4573839218633586</v>
      </c>
      <c r="K31">
        <v>1250</v>
      </c>
      <c r="L31">
        <v>0</v>
      </c>
      <c r="N31">
        <v>4</v>
      </c>
      <c r="O31" s="60" t="s">
        <v>1083</v>
      </c>
      <c r="P31" t="s">
        <v>1084</v>
      </c>
      <c r="Q31" t="s">
        <v>1087</v>
      </c>
    </row>
    <row r="32" spans="1:17" x14ac:dyDescent="0.25">
      <c r="A32" t="s">
        <v>23</v>
      </c>
      <c r="B32">
        <v>130.65</v>
      </c>
      <c r="C32">
        <v>104.05</v>
      </c>
      <c r="D32">
        <v>-1.8000000000000003</v>
      </c>
      <c r="E32">
        <v>129.30000000000001</v>
      </c>
      <c r="F32">
        <v>105.4</v>
      </c>
      <c r="G32">
        <v>-1.8000000000000003</v>
      </c>
      <c r="H32">
        <v>0</v>
      </c>
      <c r="I32">
        <v>0</v>
      </c>
      <c r="K32">
        <v>3000</v>
      </c>
      <c r="N32">
        <v>0</v>
      </c>
      <c r="O32" s="60">
        <v>0</v>
      </c>
      <c r="P32" t="s">
        <v>659</v>
      </c>
      <c r="Q32" t="s">
        <v>1088</v>
      </c>
    </row>
    <row r="33" spans="1:17" x14ac:dyDescent="0.25">
      <c r="A33" t="s">
        <v>19</v>
      </c>
      <c r="B33">
        <v>129.30000000000001</v>
      </c>
      <c r="C33">
        <v>105.4</v>
      </c>
      <c r="D33">
        <v>-1.8000000000000003</v>
      </c>
      <c r="E33">
        <v>129.30000000000001</v>
      </c>
      <c r="F33">
        <v>69.599999999999994</v>
      </c>
      <c r="G33">
        <v>-1.8000000000000003</v>
      </c>
      <c r="H33">
        <v>1.2</v>
      </c>
      <c r="I33">
        <v>470.20311383399996</v>
      </c>
      <c r="J33">
        <v>16.074590182169928</v>
      </c>
      <c r="K33">
        <v>1250</v>
      </c>
      <c r="L33">
        <v>0</v>
      </c>
      <c r="N33">
        <v>4</v>
      </c>
      <c r="O33" s="60" t="s">
        <v>1089</v>
      </c>
      <c r="P33" t="s">
        <v>1084</v>
      </c>
      <c r="Q33" t="s">
        <v>1090</v>
      </c>
    </row>
    <row r="34" spans="1:17" x14ac:dyDescent="0.25">
      <c r="A34" t="s">
        <v>19</v>
      </c>
      <c r="B34">
        <v>129.30000000000001</v>
      </c>
      <c r="C34">
        <v>69.599999999999994</v>
      </c>
      <c r="D34">
        <v>-1.8000000000000003</v>
      </c>
      <c r="E34">
        <v>139.70000000000002</v>
      </c>
      <c r="F34">
        <v>69.599999999999994</v>
      </c>
      <c r="G34">
        <v>-1.8000000000000003</v>
      </c>
      <c r="H34">
        <v>1.2</v>
      </c>
      <c r="I34">
        <v>470.20311383399996</v>
      </c>
      <c r="J34">
        <v>4.6697133490102596</v>
      </c>
      <c r="K34">
        <v>1250</v>
      </c>
      <c r="L34">
        <v>0</v>
      </c>
      <c r="N34">
        <v>4</v>
      </c>
      <c r="O34" s="60" t="s">
        <v>1089</v>
      </c>
      <c r="P34" t="s">
        <v>1084</v>
      </c>
      <c r="Q34" t="s">
        <v>1091</v>
      </c>
    </row>
    <row r="35" spans="1:17" x14ac:dyDescent="0.25">
      <c r="A35" t="s">
        <v>19</v>
      </c>
      <c r="B35">
        <v>139.70000000000002</v>
      </c>
      <c r="C35">
        <v>69.599999999999994</v>
      </c>
      <c r="D35">
        <v>-1.8000000000000003</v>
      </c>
      <c r="E35">
        <v>139.70000000000002</v>
      </c>
      <c r="F35">
        <v>105.4</v>
      </c>
      <c r="G35">
        <v>-1.8000000000000003</v>
      </c>
      <c r="H35">
        <v>1.2</v>
      </c>
      <c r="I35">
        <v>470.20311383399996</v>
      </c>
      <c r="J35">
        <v>16.074590182169928</v>
      </c>
      <c r="K35">
        <v>1250</v>
      </c>
      <c r="L35">
        <v>0</v>
      </c>
      <c r="N35">
        <v>4</v>
      </c>
      <c r="O35" s="60" t="s">
        <v>1089</v>
      </c>
      <c r="P35" t="s">
        <v>1084</v>
      </c>
      <c r="Q35" t="s">
        <v>1075</v>
      </c>
    </row>
    <row r="36" spans="1:17" x14ac:dyDescent="0.25">
      <c r="A36" t="s">
        <v>19</v>
      </c>
      <c r="B36">
        <v>139.70000000000002</v>
      </c>
      <c r="C36">
        <v>105.4</v>
      </c>
      <c r="D36">
        <v>-1.8000000000000003</v>
      </c>
      <c r="E36">
        <v>129.30000000000001</v>
      </c>
      <c r="F36">
        <v>105.4</v>
      </c>
      <c r="G36">
        <v>-1.8000000000000003</v>
      </c>
      <c r="H36">
        <v>1.2</v>
      </c>
      <c r="I36">
        <v>470.20311383399996</v>
      </c>
      <c r="J36">
        <v>4.6697133490102596</v>
      </c>
      <c r="K36">
        <v>1250</v>
      </c>
      <c r="L36">
        <v>0</v>
      </c>
      <c r="N36">
        <v>4</v>
      </c>
      <c r="O36" s="60" t="s">
        <v>1089</v>
      </c>
      <c r="P36" t="s">
        <v>1084</v>
      </c>
      <c r="Q36" t="s">
        <v>1092</v>
      </c>
    </row>
    <row r="37" spans="1:17" x14ac:dyDescent="0.25">
      <c r="A37" t="s">
        <v>23</v>
      </c>
      <c r="B37">
        <v>129.30000000000001</v>
      </c>
      <c r="C37">
        <v>105.4</v>
      </c>
      <c r="D37">
        <v>-1.8000000000000003</v>
      </c>
      <c r="E37">
        <v>127.95</v>
      </c>
      <c r="F37">
        <v>106.75</v>
      </c>
      <c r="G37">
        <v>-1.8000000000000003</v>
      </c>
      <c r="H37">
        <v>0</v>
      </c>
      <c r="I37">
        <v>0</v>
      </c>
      <c r="K37">
        <v>3000</v>
      </c>
      <c r="N37">
        <v>0</v>
      </c>
      <c r="O37" s="60">
        <v>0</v>
      </c>
      <c r="P37" t="s">
        <v>659</v>
      </c>
      <c r="Q37" t="s">
        <v>1093</v>
      </c>
    </row>
    <row r="38" spans="1:17" x14ac:dyDescent="0.25">
      <c r="A38" t="s">
        <v>19</v>
      </c>
      <c r="B38">
        <v>127.95</v>
      </c>
      <c r="C38">
        <v>106.75</v>
      </c>
      <c r="D38">
        <v>-1.8000000000000003</v>
      </c>
      <c r="E38">
        <v>127.95</v>
      </c>
      <c r="F38">
        <v>68.25</v>
      </c>
      <c r="G38">
        <v>-1.8000000000000003</v>
      </c>
      <c r="H38">
        <v>1.2</v>
      </c>
      <c r="I38">
        <v>470.20311383399996</v>
      </c>
      <c r="J38">
        <v>17.286919609316818</v>
      </c>
      <c r="K38">
        <v>1250</v>
      </c>
      <c r="L38">
        <v>0</v>
      </c>
      <c r="N38">
        <v>4</v>
      </c>
      <c r="O38" s="60" t="s">
        <v>1094</v>
      </c>
      <c r="P38" t="s">
        <v>1084</v>
      </c>
      <c r="Q38" t="s">
        <v>1095</v>
      </c>
    </row>
    <row r="39" spans="1:17" x14ac:dyDescent="0.25">
      <c r="A39" t="s">
        <v>19</v>
      </c>
      <c r="B39">
        <v>127.95</v>
      </c>
      <c r="C39">
        <v>68.25</v>
      </c>
      <c r="D39">
        <v>-1.8000000000000003</v>
      </c>
      <c r="E39">
        <v>141.05000000000001</v>
      </c>
      <c r="F39">
        <v>68.25</v>
      </c>
      <c r="G39">
        <v>-1.8000000000000003</v>
      </c>
      <c r="H39">
        <v>1.2</v>
      </c>
      <c r="I39">
        <v>470.20311383399996</v>
      </c>
      <c r="J39">
        <v>5.8820427761571548</v>
      </c>
      <c r="K39">
        <v>1250</v>
      </c>
      <c r="L39">
        <v>0</v>
      </c>
      <c r="N39">
        <v>4</v>
      </c>
      <c r="O39" s="60" t="s">
        <v>1094</v>
      </c>
      <c r="P39" t="s">
        <v>1084</v>
      </c>
      <c r="Q39" t="s">
        <v>1096</v>
      </c>
    </row>
    <row r="40" spans="1:17" x14ac:dyDescent="0.25">
      <c r="A40" t="s">
        <v>19</v>
      </c>
      <c r="B40">
        <v>141.05000000000001</v>
      </c>
      <c r="C40">
        <v>68.25</v>
      </c>
      <c r="D40">
        <v>-1.8000000000000003</v>
      </c>
      <c r="E40">
        <v>141.05000000000001</v>
      </c>
      <c r="F40">
        <v>106.75</v>
      </c>
      <c r="G40">
        <v>-1.8000000000000003</v>
      </c>
      <c r="H40">
        <v>1.2</v>
      </c>
      <c r="I40">
        <v>470.20311383399996</v>
      </c>
      <c r="J40">
        <v>17.286919609316818</v>
      </c>
      <c r="K40">
        <v>1250</v>
      </c>
      <c r="L40">
        <v>0</v>
      </c>
      <c r="N40">
        <v>4</v>
      </c>
      <c r="O40" s="60" t="s">
        <v>1094</v>
      </c>
      <c r="P40" t="s">
        <v>1084</v>
      </c>
      <c r="Q40" t="s">
        <v>1081</v>
      </c>
    </row>
    <row r="41" spans="1:17" x14ac:dyDescent="0.25">
      <c r="A41" t="s">
        <v>19</v>
      </c>
      <c r="B41">
        <v>141.05000000000001</v>
      </c>
      <c r="C41">
        <v>106.75</v>
      </c>
      <c r="D41">
        <v>-1.8000000000000003</v>
      </c>
      <c r="E41">
        <v>127.95000000000002</v>
      </c>
      <c r="F41">
        <v>106.75</v>
      </c>
      <c r="G41">
        <v>-1.8000000000000003</v>
      </c>
      <c r="H41">
        <v>1.2</v>
      </c>
      <c r="I41">
        <v>470.20311383399996</v>
      </c>
      <c r="J41">
        <v>5.8820427761571485</v>
      </c>
      <c r="K41">
        <v>1250</v>
      </c>
      <c r="L41">
        <v>0</v>
      </c>
      <c r="N41">
        <v>4</v>
      </c>
      <c r="O41" s="60" t="s">
        <v>1094</v>
      </c>
      <c r="P41" t="s">
        <v>1084</v>
      </c>
      <c r="Q41" t="s">
        <v>1097</v>
      </c>
    </row>
    <row r="42" spans="1:17" x14ac:dyDescent="0.25">
      <c r="A42" t="s">
        <v>23</v>
      </c>
      <c r="B42">
        <v>127.95000000000002</v>
      </c>
      <c r="C42">
        <v>106.75</v>
      </c>
      <c r="D42">
        <v>-1.8000000000000003</v>
      </c>
      <c r="E42">
        <v>288</v>
      </c>
      <c r="F42">
        <v>102.7</v>
      </c>
      <c r="G42">
        <v>-0.90000000000000013</v>
      </c>
      <c r="H42">
        <v>0</v>
      </c>
      <c r="I42">
        <v>0</v>
      </c>
      <c r="J42">
        <v>0</v>
      </c>
      <c r="K42">
        <v>48000</v>
      </c>
      <c r="L42">
        <v>0</v>
      </c>
      <c r="N42">
        <v>5</v>
      </c>
      <c r="O42" s="60" t="s">
        <v>692</v>
      </c>
      <c r="P42" t="s">
        <v>688</v>
      </c>
      <c r="Q42" t="s">
        <v>1098</v>
      </c>
    </row>
    <row r="43" spans="1:17" x14ac:dyDescent="0.25">
      <c r="A43" t="s">
        <v>39</v>
      </c>
      <c r="B43">
        <v>3.5</v>
      </c>
      <c r="C43">
        <v>2100</v>
      </c>
      <c r="N43">
        <v>6</v>
      </c>
      <c r="O43" s="60" t="s">
        <v>663</v>
      </c>
      <c r="P43" t="s">
        <v>855</v>
      </c>
      <c r="Q43" t="s">
        <v>919</v>
      </c>
    </row>
    <row r="44" spans="1:17" x14ac:dyDescent="0.25">
      <c r="A44" t="s">
        <v>23</v>
      </c>
      <c r="B44">
        <v>288</v>
      </c>
      <c r="C44">
        <v>102.7</v>
      </c>
      <c r="D44">
        <v>-0.90000000000000013</v>
      </c>
      <c r="E44">
        <v>288</v>
      </c>
      <c r="F44">
        <v>102.7</v>
      </c>
      <c r="G44">
        <v>-1.8000000000000003</v>
      </c>
      <c r="H44">
        <v>0</v>
      </c>
      <c r="I44">
        <v>0</v>
      </c>
      <c r="K44">
        <v>3000</v>
      </c>
      <c r="N44">
        <v>0</v>
      </c>
      <c r="O44" s="60">
        <v>0</v>
      </c>
      <c r="P44" t="s">
        <v>659</v>
      </c>
      <c r="Q44" t="s">
        <v>1099</v>
      </c>
    </row>
    <row r="45" spans="1:17" x14ac:dyDescent="0.25">
      <c r="A45" t="s">
        <v>19</v>
      </c>
      <c r="B45">
        <v>288</v>
      </c>
      <c r="C45">
        <v>102.7</v>
      </c>
      <c r="D45">
        <v>-1.8000000000000003</v>
      </c>
      <c r="E45">
        <v>283</v>
      </c>
      <c r="F45">
        <v>102.7</v>
      </c>
      <c r="G45">
        <v>-1.8000000000000003</v>
      </c>
      <c r="H45">
        <v>1.2</v>
      </c>
      <c r="I45">
        <v>470.20311383399996</v>
      </c>
      <c r="J45">
        <v>2.2450544947164701</v>
      </c>
      <c r="K45">
        <v>1250</v>
      </c>
      <c r="L45">
        <v>0</v>
      </c>
      <c r="N45">
        <v>7</v>
      </c>
      <c r="O45" s="60" t="s">
        <v>869</v>
      </c>
      <c r="P45" t="s">
        <v>1100</v>
      </c>
      <c r="Q45" t="s">
        <v>889</v>
      </c>
    </row>
    <row r="46" spans="1:17" x14ac:dyDescent="0.25">
      <c r="A46" t="s">
        <v>19</v>
      </c>
      <c r="B46">
        <v>283</v>
      </c>
      <c r="C46">
        <v>102.7</v>
      </c>
      <c r="D46">
        <v>-1.8000000000000003</v>
      </c>
      <c r="E46">
        <v>283</v>
      </c>
      <c r="F46">
        <v>72.3</v>
      </c>
      <c r="G46">
        <v>-1.8000000000000003</v>
      </c>
      <c r="H46">
        <v>1.2</v>
      </c>
      <c r="I46">
        <v>470.20311383399996</v>
      </c>
      <c r="J46">
        <v>13.649931327876137</v>
      </c>
      <c r="K46">
        <v>1250</v>
      </c>
      <c r="L46">
        <v>0</v>
      </c>
      <c r="N46">
        <v>7</v>
      </c>
      <c r="O46" s="60" t="s">
        <v>869</v>
      </c>
      <c r="P46" t="s">
        <v>1100</v>
      </c>
      <c r="Q46" t="s">
        <v>892</v>
      </c>
    </row>
    <row r="47" spans="1:17" x14ac:dyDescent="0.25">
      <c r="A47" t="s">
        <v>19</v>
      </c>
      <c r="B47">
        <v>283</v>
      </c>
      <c r="C47">
        <v>72.3</v>
      </c>
      <c r="D47">
        <v>-1.8000000000000003</v>
      </c>
      <c r="E47">
        <v>288</v>
      </c>
      <c r="F47">
        <v>72.3</v>
      </c>
      <c r="G47">
        <v>-1.8000000000000003</v>
      </c>
      <c r="H47">
        <v>1.2</v>
      </c>
      <c r="I47">
        <v>470.20311383399996</v>
      </c>
      <c r="J47">
        <v>2.2450544947164701</v>
      </c>
      <c r="K47">
        <v>1250</v>
      </c>
      <c r="L47">
        <v>0</v>
      </c>
      <c r="N47">
        <v>7</v>
      </c>
      <c r="O47" s="60" t="s">
        <v>869</v>
      </c>
      <c r="P47" t="s">
        <v>1100</v>
      </c>
      <c r="Q47" t="s">
        <v>861</v>
      </c>
    </row>
    <row r="48" spans="1:17" x14ac:dyDescent="0.25">
      <c r="A48" t="s">
        <v>19</v>
      </c>
      <c r="B48">
        <v>288</v>
      </c>
      <c r="C48">
        <v>72.3</v>
      </c>
      <c r="D48">
        <v>-1.8000000000000003</v>
      </c>
      <c r="E48">
        <v>288</v>
      </c>
      <c r="F48">
        <v>102.7</v>
      </c>
      <c r="G48">
        <v>-1.8000000000000003</v>
      </c>
      <c r="H48">
        <v>1.2</v>
      </c>
      <c r="I48">
        <v>470.20311383399996</v>
      </c>
      <c r="J48">
        <v>13.649931327876137</v>
      </c>
      <c r="K48">
        <v>1250</v>
      </c>
      <c r="L48">
        <v>0</v>
      </c>
      <c r="N48">
        <v>7</v>
      </c>
      <c r="O48" s="60" t="s">
        <v>869</v>
      </c>
      <c r="P48" t="s">
        <v>1100</v>
      </c>
      <c r="Q48" t="s">
        <v>893</v>
      </c>
    </row>
    <row r="49" spans="1:17" x14ac:dyDescent="0.25">
      <c r="A49" t="s">
        <v>23</v>
      </c>
      <c r="B49">
        <v>288</v>
      </c>
      <c r="C49">
        <v>102.7</v>
      </c>
      <c r="D49">
        <v>-1.8000000000000003</v>
      </c>
      <c r="E49">
        <v>132</v>
      </c>
      <c r="F49">
        <v>102.7</v>
      </c>
      <c r="G49">
        <v>-1.8000000000000003</v>
      </c>
      <c r="H49">
        <v>0</v>
      </c>
      <c r="I49">
        <v>0</v>
      </c>
      <c r="J49">
        <v>0</v>
      </c>
      <c r="K49">
        <v>48000</v>
      </c>
      <c r="L49">
        <v>0</v>
      </c>
      <c r="N49">
        <v>8</v>
      </c>
      <c r="O49" s="60" t="s">
        <v>684</v>
      </c>
      <c r="P49" t="s">
        <v>689</v>
      </c>
      <c r="Q49" t="s">
        <v>922</v>
      </c>
    </row>
    <row r="50" spans="1:17" x14ac:dyDescent="0.25">
      <c r="A50" t="s">
        <v>39</v>
      </c>
      <c r="B50">
        <v>3.5</v>
      </c>
      <c r="C50">
        <v>2100</v>
      </c>
      <c r="N50">
        <v>9</v>
      </c>
      <c r="O50" s="60" t="s">
        <v>709</v>
      </c>
      <c r="P50" t="s">
        <v>908</v>
      </c>
      <c r="Q50" t="s">
        <v>919</v>
      </c>
    </row>
    <row r="51" spans="1:17" x14ac:dyDescent="0.25">
      <c r="A51" t="s">
        <v>19</v>
      </c>
      <c r="B51">
        <v>132</v>
      </c>
      <c r="C51">
        <v>102.7</v>
      </c>
      <c r="D51">
        <v>-1.8000000000000003</v>
      </c>
      <c r="E51">
        <v>137</v>
      </c>
      <c r="F51">
        <v>102.7</v>
      </c>
      <c r="G51">
        <v>-1.8000000000000003</v>
      </c>
      <c r="H51">
        <v>1.2</v>
      </c>
      <c r="I51">
        <v>470.20311383399996</v>
      </c>
      <c r="J51">
        <v>2.2450544947164701</v>
      </c>
      <c r="K51">
        <v>1250</v>
      </c>
      <c r="L51">
        <v>0</v>
      </c>
      <c r="N51">
        <v>10</v>
      </c>
      <c r="O51" s="60" t="s">
        <v>685</v>
      </c>
      <c r="P51" t="s">
        <v>1101</v>
      </c>
      <c r="Q51" t="s">
        <v>865</v>
      </c>
    </row>
    <row r="52" spans="1:17" x14ac:dyDescent="0.25">
      <c r="A52" t="s">
        <v>19</v>
      </c>
      <c r="B52">
        <v>137</v>
      </c>
      <c r="C52">
        <v>102.7</v>
      </c>
      <c r="D52">
        <v>-1.8000000000000003</v>
      </c>
      <c r="E52">
        <v>137</v>
      </c>
      <c r="F52">
        <v>72.3</v>
      </c>
      <c r="G52">
        <v>-1.8000000000000003</v>
      </c>
      <c r="H52">
        <v>1.2</v>
      </c>
      <c r="I52">
        <v>470.20311383399996</v>
      </c>
      <c r="J52">
        <v>13.649931327876137</v>
      </c>
      <c r="K52">
        <v>1250</v>
      </c>
      <c r="L52">
        <v>0</v>
      </c>
      <c r="N52">
        <v>10</v>
      </c>
      <c r="O52" s="60" t="s">
        <v>685</v>
      </c>
      <c r="P52" t="s">
        <v>1101</v>
      </c>
      <c r="Q52" t="s">
        <v>892</v>
      </c>
    </row>
    <row r="53" spans="1:17" x14ac:dyDescent="0.25">
      <c r="A53" t="s">
        <v>19</v>
      </c>
      <c r="B53">
        <v>137</v>
      </c>
      <c r="C53">
        <v>72.3</v>
      </c>
      <c r="D53">
        <v>-1.8000000000000003</v>
      </c>
      <c r="E53">
        <v>132</v>
      </c>
      <c r="F53">
        <v>72.3</v>
      </c>
      <c r="G53">
        <v>-1.8000000000000003</v>
      </c>
      <c r="H53">
        <v>1.2</v>
      </c>
      <c r="I53">
        <v>470.20311383399996</v>
      </c>
      <c r="J53">
        <v>2.2450544947164701</v>
      </c>
      <c r="K53">
        <v>1250</v>
      </c>
      <c r="L53">
        <v>0</v>
      </c>
      <c r="N53">
        <v>10</v>
      </c>
      <c r="O53" s="60" t="s">
        <v>685</v>
      </c>
      <c r="P53" t="s">
        <v>1101</v>
      </c>
      <c r="Q53" t="s">
        <v>864</v>
      </c>
    </row>
    <row r="54" spans="1:17" x14ac:dyDescent="0.25">
      <c r="A54" t="s">
        <v>19</v>
      </c>
      <c r="B54">
        <v>132</v>
      </c>
      <c r="C54">
        <v>72.3</v>
      </c>
      <c r="D54">
        <v>-1.8000000000000003</v>
      </c>
      <c r="E54">
        <v>132</v>
      </c>
      <c r="F54">
        <v>102.7</v>
      </c>
      <c r="G54">
        <v>-1.8000000000000003</v>
      </c>
      <c r="H54">
        <v>1.2</v>
      </c>
      <c r="I54">
        <v>470.20311383399996</v>
      </c>
      <c r="J54">
        <v>13.649931327876137</v>
      </c>
      <c r="K54">
        <v>1250</v>
      </c>
      <c r="L54">
        <v>0</v>
      </c>
      <c r="N54">
        <v>10</v>
      </c>
      <c r="O54" s="60" t="s">
        <v>685</v>
      </c>
      <c r="P54" t="s">
        <v>1101</v>
      </c>
      <c r="Q54" t="s">
        <v>893</v>
      </c>
    </row>
    <row r="55" spans="1:17" x14ac:dyDescent="0.25">
      <c r="A55" t="s">
        <v>23</v>
      </c>
      <c r="B55">
        <v>132</v>
      </c>
      <c r="C55">
        <v>102.7</v>
      </c>
      <c r="D55">
        <v>-1.8000000000000003</v>
      </c>
      <c r="E55">
        <v>127.95000000000002</v>
      </c>
      <c r="F55">
        <v>106.75</v>
      </c>
      <c r="G55">
        <v>-0.90000000000000024</v>
      </c>
      <c r="H55">
        <v>0</v>
      </c>
      <c r="I55">
        <v>0</v>
      </c>
      <c r="K55">
        <v>3000</v>
      </c>
      <c r="N55">
        <v>0</v>
      </c>
      <c r="O55" s="60">
        <v>0</v>
      </c>
      <c r="P55" t="s">
        <v>659</v>
      </c>
      <c r="Q55" t="s">
        <v>1102</v>
      </c>
    </row>
    <row r="56" spans="1:17" x14ac:dyDescent="0.25">
      <c r="A56" t="s">
        <v>23</v>
      </c>
      <c r="B56">
        <v>127.95000000000002</v>
      </c>
      <c r="C56">
        <v>106.75</v>
      </c>
      <c r="D56">
        <v>-0.90000000000000024</v>
      </c>
      <c r="E56">
        <v>288</v>
      </c>
      <c r="F56">
        <v>102.7</v>
      </c>
      <c r="G56">
        <v>-1.1102230246251565E-16</v>
      </c>
      <c r="H56">
        <v>0</v>
      </c>
      <c r="I56">
        <v>0</v>
      </c>
      <c r="J56">
        <v>0</v>
      </c>
      <c r="K56">
        <v>48000</v>
      </c>
      <c r="L56">
        <v>0</v>
      </c>
      <c r="N56">
        <v>11</v>
      </c>
      <c r="O56" s="60" t="s">
        <v>1114</v>
      </c>
      <c r="P56" t="s">
        <v>909</v>
      </c>
      <c r="Q56" t="s">
        <v>1103</v>
      </c>
    </row>
    <row r="57" spans="1:17" x14ac:dyDescent="0.25">
      <c r="A57" t="s">
        <v>39</v>
      </c>
      <c r="B57">
        <v>3.5</v>
      </c>
      <c r="C57">
        <v>2100</v>
      </c>
      <c r="N57">
        <v>11</v>
      </c>
      <c r="O57" s="60" t="s">
        <v>1115</v>
      </c>
      <c r="P57" t="s">
        <v>910</v>
      </c>
      <c r="Q57" t="s">
        <v>919</v>
      </c>
    </row>
    <row r="58" spans="1:17" x14ac:dyDescent="0.25">
      <c r="A58" t="s">
        <v>23</v>
      </c>
      <c r="B58">
        <v>288</v>
      </c>
      <c r="C58">
        <v>102.7</v>
      </c>
      <c r="D58">
        <v>-1.1102230246251565E-16</v>
      </c>
      <c r="E58">
        <v>288</v>
      </c>
      <c r="F58">
        <v>102.7</v>
      </c>
      <c r="G58">
        <v>-0.90000000000000024</v>
      </c>
      <c r="H58">
        <v>0</v>
      </c>
      <c r="I58">
        <v>0</v>
      </c>
      <c r="K58">
        <v>3000</v>
      </c>
      <c r="N58">
        <v>0</v>
      </c>
      <c r="O58" s="60">
        <v>0</v>
      </c>
      <c r="P58" t="s">
        <v>659</v>
      </c>
      <c r="Q58" t="s">
        <v>915</v>
      </c>
    </row>
    <row r="59" spans="1:17" x14ac:dyDescent="0.25">
      <c r="A59" t="s">
        <v>19</v>
      </c>
      <c r="B59">
        <v>288</v>
      </c>
      <c r="C59">
        <v>102.7</v>
      </c>
      <c r="D59">
        <v>-0.90000000000000024</v>
      </c>
      <c r="E59">
        <v>283</v>
      </c>
      <c r="F59">
        <v>102.7</v>
      </c>
      <c r="G59">
        <v>-0.90000000000000024</v>
      </c>
      <c r="H59">
        <v>1.2</v>
      </c>
      <c r="I59">
        <v>470.20311383399996</v>
      </c>
      <c r="J59">
        <v>2.2450544947164701</v>
      </c>
      <c r="K59">
        <v>1250</v>
      </c>
      <c r="L59">
        <v>0</v>
      </c>
      <c r="N59">
        <v>11</v>
      </c>
      <c r="O59" s="60" t="s">
        <v>1116</v>
      </c>
      <c r="P59" t="s">
        <v>1104</v>
      </c>
      <c r="Q59" t="s">
        <v>889</v>
      </c>
    </row>
    <row r="60" spans="1:17" x14ac:dyDescent="0.25">
      <c r="A60" t="s">
        <v>19</v>
      </c>
      <c r="B60">
        <v>283</v>
      </c>
      <c r="C60">
        <v>102.7</v>
      </c>
      <c r="D60">
        <v>-0.90000000000000024</v>
      </c>
      <c r="E60">
        <v>283</v>
      </c>
      <c r="F60">
        <v>72.3</v>
      </c>
      <c r="G60">
        <v>-0.90000000000000024</v>
      </c>
      <c r="H60">
        <v>1.2</v>
      </c>
      <c r="I60">
        <v>470.20311383399996</v>
      </c>
      <c r="J60">
        <v>13.649931327876137</v>
      </c>
      <c r="K60">
        <v>1250</v>
      </c>
      <c r="L60">
        <v>0</v>
      </c>
      <c r="N60">
        <v>11</v>
      </c>
      <c r="O60" s="60" t="s">
        <v>1116</v>
      </c>
      <c r="P60" t="s">
        <v>1104</v>
      </c>
      <c r="Q60" t="s">
        <v>892</v>
      </c>
    </row>
    <row r="61" spans="1:17" x14ac:dyDescent="0.25">
      <c r="A61" t="s">
        <v>19</v>
      </c>
      <c r="B61">
        <v>283</v>
      </c>
      <c r="C61">
        <v>72.3</v>
      </c>
      <c r="D61">
        <v>-0.90000000000000024</v>
      </c>
      <c r="E61">
        <v>288</v>
      </c>
      <c r="F61">
        <v>72.3</v>
      </c>
      <c r="G61">
        <v>-0.90000000000000024</v>
      </c>
      <c r="H61">
        <v>1.2</v>
      </c>
      <c r="I61">
        <v>470.20311383399996</v>
      </c>
      <c r="J61">
        <v>2.2450544947164701</v>
      </c>
      <c r="K61">
        <v>1250</v>
      </c>
      <c r="L61">
        <v>0</v>
      </c>
      <c r="N61">
        <v>11</v>
      </c>
      <c r="O61" s="60" t="s">
        <v>1116</v>
      </c>
      <c r="P61" t="s">
        <v>1104</v>
      </c>
      <c r="Q61" t="s">
        <v>861</v>
      </c>
    </row>
    <row r="62" spans="1:17" x14ac:dyDescent="0.25">
      <c r="A62" t="s">
        <v>19</v>
      </c>
      <c r="B62">
        <v>288</v>
      </c>
      <c r="C62">
        <v>72.3</v>
      </c>
      <c r="D62">
        <v>-0.90000000000000024</v>
      </c>
      <c r="E62">
        <v>288</v>
      </c>
      <c r="F62">
        <v>102.7</v>
      </c>
      <c r="G62">
        <v>-0.90000000000000024</v>
      </c>
      <c r="H62">
        <v>1.2</v>
      </c>
      <c r="I62">
        <v>470.20311383399996</v>
      </c>
      <c r="J62">
        <v>13.649931327876137</v>
      </c>
      <c r="K62">
        <v>1250</v>
      </c>
      <c r="L62">
        <v>0</v>
      </c>
      <c r="N62">
        <v>11</v>
      </c>
      <c r="O62" s="60" t="s">
        <v>1116</v>
      </c>
      <c r="P62" t="s">
        <v>1104</v>
      </c>
      <c r="Q62" t="s">
        <v>893</v>
      </c>
    </row>
    <row r="63" spans="1:17" x14ac:dyDescent="0.25">
      <c r="A63" t="s">
        <v>23</v>
      </c>
      <c r="B63">
        <v>288</v>
      </c>
      <c r="C63">
        <v>102.7</v>
      </c>
      <c r="D63">
        <v>-0.90000000000000024</v>
      </c>
      <c r="E63">
        <v>132</v>
      </c>
      <c r="F63">
        <v>102.7</v>
      </c>
      <c r="G63">
        <v>-0.90000000000000024</v>
      </c>
      <c r="H63">
        <v>0</v>
      </c>
      <c r="I63">
        <v>0</v>
      </c>
      <c r="J63">
        <v>0</v>
      </c>
      <c r="K63">
        <v>48000</v>
      </c>
      <c r="L63">
        <v>0</v>
      </c>
      <c r="N63">
        <v>11</v>
      </c>
      <c r="O63" s="60" t="s">
        <v>1117</v>
      </c>
      <c r="P63" t="s">
        <v>911</v>
      </c>
      <c r="Q63" t="s">
        <v>922</v>
      </c>
    </row>
    <row r="64" spans="1:17" x14ac:dyDescent="0.25">
      <c r="A64" t="s">
        <v>39</v>
      </c>
      <c r="B64">
        <v>3.5</v>
      </c>
      <c r="C64">
        <v>2100</v>
      </c>
      <c r="N64">
        <v>11</v>
      </c>
      <c r="O64" s="60" t="s">
        <v>1118</v>
      </c>
      <c r="P64" t="s">
        <v>912</v>
      </c>
      <c r="Q64" t="s">
        <v>919</v>
      </c>
    </row>
    <row r="65" spans="1:17" x14ac:dyDescent="0.25">
      <c r="A65" t="s">
        <v>19</v>
      </c>
      <c r="B65">
        <v>132</v>
      </c>
      <c r="C65">
        <v>102.7</v>
      </c>
      <c r="D65">
        <v>-0.90000000000000024</v>
      </c>
      <c r="E65">
        <v>137</v>
      </c>
      <c r="F65">
        <v>102.7</v>
      </c>
      <c r="G65">
        <v>-0.90000000000000024</v>
      </c>
      <c r="H65">
        <v>1.2</v>
      </c>
      <c r="I65">
        <v>470.20311383399996</v>
      </c>
      <c r="J65">
        <v>2.2450544947164701</v>
      </c>
      <c r="K65">
        <v>1250</v>
      </c>
      <c r="L65">
        <v>0</v>
      </c>
      <c r="N65">
        <v>11</v>
      </c>
      <c r="O65" s="60" t="s">
        <v>1119</v>
      </c>
      <c r="P65" t="s">
        <v>1105</v>
      </c>
      <c r="Q65" t="s">
        <v>865</v>
      </c>
    </row>
    <row r="66" spans="1:17" x14ac:dyDescent="0.25">
      <c r="A66" t="s">
        <v>19</v>
      </c>
      <c r="B66">
        <v>137</v>
      </c>
      <c r="C66">
        <v>102.7</v>
      </c>
      <c r="D66">
        <v>-0.90000000000000024</v>
      </c>
      <c r="E66">
        <v>137</v>
      </c>
      <c r="F66">
        <v>72.3</v>
      </c>
      <c r="G66">
        <v>-0.90000000000000024</v>
      </c>
      <c r="H66">
        <v>1.2</v>
      </c>
      <c r="I66">
        <v>470.20311383399996</v>
      </c>
      <c r="J66">
        <v>13.649931327876137</v>
      </c>
      <c r="K66">
        <v>1250</v>
      </c>
      <c r="L66">
        <v>0</v>
      </c>
      <c r="N66">
        <v>11</v>
      </c>
      <c r="O66" s="60" t="s">
        <v>1119</v>
      </c>
      <c r="P66" t="s">
        <v>1105</v>
      </c>
      <c r="Q66" t="s">
        <v>892</v>
      </c>
    </row>
    <row r="67" spans="1:17" x14ac:dyDescent="0.25">
      <c r="A67" t="s">
        <v>19</v>
      </c>
      <c r="B67">
        <v>137</v>
      </c>
      <c r="C67">
        <v>72.3</v>
      </c>
      <c r="D67">
        <v>-0.90000000000000024</v>
      </c>
      <c r="E67">
        <v>132</v>
      </c>
      <c r="F67">
        <v>72.3</v>
      </c>
      <c r="G67">
        <v>-0.90000000000000024</v>
      </c>
      <c r="H67">
        <v>1.2</v>
      </c>
      <c r="I67">
        <v>470.20311383399996</v>
      </c>
      <c r="J67">
        <v>2.2450544947164701</v>
      </c>
      <c r="K67">
        <v>1250</v>
      </c>
      <c r="L67">
        <v>0</v>
      </c>
      <c r="N67">
        <v>11</v>
      </c>
      <c r="O67" s="60" t="s">
        <v>1119</v>
      </c>
      <c r="P67" t="s">
        <v>1105</v>
      </c>
      <c r="Q67" t="s">
        <v>864</v>
      </c>
    </row>
    <row r="68" spans="1:17" x14ac:dyDescent="0.25">
      <c r="A68" t="s">
        <v>19</v>
      </c>
      <c r="B68">
        <v>132</v>
      </c>
      <c r="C68">
        <v>72.3</v>
      </c>
      <c r="D68">
        <v>-0.90000000000000024</v>
      </c>
      <c r="E68">
        <v>132</v>
      </c>
      <c r="F68">
        <v>102.7</v>
      </c>
      <c r="G68">
        <v>-0.90000000000000024</v>
      </c>
      <c r="H68">
        <v>1.2</v>
      </c>
      <c r="I68">
        <v>470.20311383399996</v>
      </c>
      <c r="J68">
        <v>13.649931327876137</v>
      </c>
      <c r="K68">
        <v>1250</v>
      </c>
      <c r="L68">
        <v>0</v>
      </c>
      <c r="N68">
        <v>11</v>
      </c>
      <c r="O68" s="60" t="s">
        <v>1119</v>
      </c>
      <c r="P68" t="s">
        <v>1105</v>
      </c>
      <c r="Q68" t="s">
        <v>893</v>
      </c>
    </row>
    <row r="69" spans="1:17" x14ac:dyDescent="0.25">
      <c r="A69" t="s">
        <v>23</v>
      </c>
      <c r="B69">
        <v>132</v>
      </c>
      <c r="C69">
        <v>102.7</v>
      </c>
      <c r="D69">
        <v>-0.90000000000000024</v>
      </c>
      <c r="E69">
        <v>127.95000000000002</v>
      </c>
      <c r="F69">
        <v>106.75</v>
      </c>
      <c r="G69">
        <v>-2.2204460492503131E-16</v>
      </c>
      <c r="H69">
        <v>0</v>
      </c>
      <c r="I69">
        <v>0</v>
      </c>
      <c r="K69">
        <v>3000</v>
      </c>
      <c r="N69">
        <v>0</v>
      </c>
      <c r="O69" s="60">
        <v>0</v>
      </c>
      <c r="P69" t="s">
        <v>659</v>
      </c>
      <c r="Q69" t="s">
        <v>1106</v>
      </c>
    </row>
    <row r="70" spans="1:17" x14ac:dyDescent="0.25">
      <c r="A70" t="s">
        <v>23</v>
      </c>
      <c r="B70">
        <v>127.95000000000002</v>
      </c>
      <c r="C70">
        <v>106.75</v>
      </c>
      <c r="D70">
        <v>-2.2204460492503131E-16</v>
      </c>
      <c r="E70">
        <v>288</v>
      </c>
      <c r="F70">
        <v>102.7</v>
      </c>
      <c r="G70">
        <v>0.89999999999999991</v>
      </c>
      <c r="H70">
        <v>0</v>
      </c>
      <c r="I70">
        <v>0</v>
      </c>
      <c r="J70">
        <v>0</v>
      </c>
      <c r="K70">
        <v>48000</v>
      </c>
      <c r="L70">
        <v>0</v>
      </c>
      <c r="N70">
        <v>11</v>
      </c>
      <c r="O70" s="60" t="s">
        <v>1120</v>
      </c>
      <c r="P70" t="s">
        <v>909</v>
      </c>
      <c r="Q70" t="s">
        <v>1107</v>
      </c>
    </row>
    <row r="71" spans="1:17" x14ac:dyDescent="0.25">
      <c r="A71" t="s">
        <v>39</v>
      </c>
      <c r="B71">
        <v>3.5</v>
      </c>
      <c r="C71">
        <v>2100</v>
      </c>
      <c r="N71">
        <v>11</v>
      </c>
      <c r="O71" s="60" t="s">
        <v>1121</v>
      </c>
      <c r="P71" t="s">
        <v>910</v>
      </c>
      <c r="Q71" t="s">
        <v>919</v>
      </c>
    </row>
    <row r="72" spans="1:17" x14ac:dyDescent="0.25">
      <c r="A72" t="s">
        <v>23</v>
      </c>
      <c r="B72">
        <v>288</v>
      </c>
      <c r="C72">
        <v>102.7</v>
      </c>
      <c r="D72">
        <v>0.89999999999999991</v>
      </c>
      <c r="E72">
        <v>288</v>
      </c>
      <c r="F72">
        <v>102.7</v>
      </c>
      <c r="G72">
        <v>-2.2204460492503131E-16</v>
      </c>
      <c r="H72">
        <v>0</v>
      </c>
      <c r="I72">
        <v>0</v>
      </c>
      <c r="K72">
        <v>3000</v>
      </c>
      <c r="N72">
        <v>0</v>
      </c>
      <c r="O72" s="60">
        <v>0</v>
      </c>
      <c r="P72" t="s">
        <v>659</v>
      </c>
      <c r="Q72" t="s">
        <v>916</v>
      </c>
    </row>
    <row r="73" spans="1:17" x14ac:dyDescent="0.25">
      <c r="A73" t="s">
        <v>19</v>
      </c>
      <c r="B73">
        <v>288</v>
      </c>
      <c r="C73">
        <v>102.7</v>
      </c>
      <c r="D73">
        <v>-2.2204460492503131E-16</v>
      </c>
      <c r="E73">
        <v>283</v>
      </c>
      <c r="F73">
        <v>102.7</v>
      </c>
      <c r="G73">
        <v>-2.2204460492503131E-16</v>
      </c>
      <c r="H73">
        <v>1.2</v>
      </c>
      <c r="I73">
        <v>470.20311383399996</v>
      </c>
      <c r="J73">
        <v>2.2450544947164701</v>
      </c>
      <c r="K73">
        <v>1250</v>
      </c>
      <c r="L73">
        <v>0</v>
      </c>
      <c r="N73">
        <v>11</v>
      </c>
      <c r="O73" s="60" t="s">
        <v>1122</v>
      </c>
      <c r="P73" t="s">
        <v>1104</v>
      </c>
      <c r="Q73" t="s">
        <v>889</v>
      </c>
    </row>
    <row r="74" spans="1:17" x14ac:dyDescent="0.25">
      <c r="A74" t="s">
        <v>19</v>
      </c>
      <c r="B74">
        <v>283</v>
      </c>
      <c r="C74">
        <v>102.7</v>
      </c>
      <c r="D74">
        <v>-2.2204460492503131E-16</v>
      </c>
      <c r="E74">
        <v>283</v>
      </c>
      <c r="F74">
        <v>72.3</v>
      </c>
      <c r="G74">
        <v>-2.2204460492503131E-16</v>
      </c>
      <c r="H74">
        <v>1.2</v>
      </c>
      <c r="I74">
        <v>470.20311383399996</v>
      </c>
      <c r="J74">
        <v>13.649931327876137</v>
      </c>
      <c r="K74">
        <v>1250</v>
      </c>
      <c r="L74">
        <v>0</v>
      </c>
      <c r="N74">
        <v>11</v>
      </c>
      <c r="O74" s="60" t="s">
        <v>1122</v>
      </c>
      <c r="P74" t="s">
        <v>1104</v>
      </c>
      <c r="Q74" t="s">
        <v>892</v>
      </c>
    </row>
    <row r="75" spans="1:17" x14ac:dyDescent="0.25">
      <c r="A75" t="s">
        <v>19</v>
      </c>
      <c r="B75">
        <v>283</v>
      </c>
      <c r="C75">
        <v>72.3</v>
      </c>
      <c r="D75">
        <v>-2.2204460492503131E-16</v>
      </c>
      <c r="E75">
        <v>288</v>
      </c>
      <c r="F75">
        <v>72.3</v>
      </c>
      <c r="G75">
        <v>-2.2204460492503131E-16</v>
      </c>
      <c r="H75">
        <v>1.2</v>
      </c>
      <c r="I75">
        <v>470.20311383399996</v>
      </c>
      <c r="J75">
        <v>2.2450544947164701</v>
      </c>
      <c r="K75">
        <v>1250</v>
      </c>
      <c r="L75">
        <v>0</v>
      </c>
      <c r="N75">
        <v>11</v>
      </c>
      <c r="O75" s="60" t="s">
        <v>1122</v>
      </c>
      <c r="P75" t="s">
        <v>1104</v>
      </c>
      <c r="Q75" t="s">
        <v>861</v>
      </c>
    </row>
    <row r="76" spans="1:17" x14ac:dyDescent="0.25">
      <c r="A76" t="s">
        <v>19</v>
      </c>
      <c r="B76">
        <v>288</v>
      </c>
      <c r="C76">
        <v>72.3</v>
      </c>
      <c r="D76">
        <v>-2.2204460492503131E-16</v>
      </c>
      <c r="E76">
        <v>288</v>
      </c>
      <c r="F76">
        <v>102.7</v>
      </c>
      <c r="G76">
        <v>-2.2204460492503131E-16</v>
      </c>
      <c r="H76">
        <v>1.2</v>
      </c>
      <c r="I76">
        <v>470.20311383399996</v>
      </c>
      <c r="J76">
        <v>13.649931327876137</v>
      </c>
      <c r="K76">
        <v>1250</v>
      </c>
      <c r="L76">
        <v>0</v>
      </c>
      <c r="N76">
        <v>11</v>
      </c>
      <c r="O76" s="60" t="s">
        <v>1122</v>
      </c>
      <c r="P76" t="s">
        <v>1104</v>
      </c>
      <c r="Q76" t="s">
        <v>893</v>
      </c>
    </row>
    <row r="77" spans="1:17" x14ac:dyDescent="0.25">
      <c r="A77" t="s">
        <v>23</v>
      </c>
      <c r="B77">
        <v>288</v>
      </c>
      <c r="C77">
        <v>102.7</v>
      </c>
      <c r="D77">
        <v>-2.2204460492503131E-16</v>
      </c>
      <c r="E77">
        <v>132</v>
      </c>
      <c r="F77">
        <v>102.7</v>
      </c>
      <c r="G77">
        <v>-2.2204460492503131E-16</v>
      </c>
      <c r="H77">
        <v>0</v>
      </c>
      <c r="I77">
        <v>0</v>
      </c>
      <c r="J77">
        <v>0</v>
      </c>
      <c r="K77">
        <v>48000</v>
      </c>
      <c r="L77">
        <v>0</v>
      </c>
      <c r="N77">
        <v>11</v>
      </c>
      <c r="O77" s="60" t="s">
        <v>1123</v>
      </c>
      <c r="P77" t="s">
        <v>911</v>
      </c>
      <c r="Q77" t="s">
        <v>922</v>
      </c>
    </row>
    <row r="78" spans="1:17" x14ac:dyDescent="0.25">
      <c r="A78" t="s">
        <v>39</v>
      </c>
      <c r="B78">
        <v>3.5</v>
      </c>
      <c r="C78">
        <v>2100</v>
      </c>
      <c r="N78">
        <v>11</v>
      </c>
      <c r="O78" s="60" t="s">
        <v>1124</v>
      </c>
      <c r="P78" t="s">
        <v>912</v>
      </c>
      <c r="Q78" t="s">
        <v>919</v>
      </c>
    </row>
    <row r="79" spans="1:17" x14ac:dyDescent="0.25">
      <c r="A79" t="s">
        <v>19</v>
      </c>
      <c r="B79">
        <v>132</v>
      </c>
      <c r="C79">
        <v>102.7</v>
      </c>
      <c r="D79">
        <v>-2.2204460492503131E-16</v>
      </c>
      <c r="E79">
        <v>137</v>
      </c>
      <c r="F79">
        <v>102.7</v>
      </c>
      <c r="G79">
        <v>-2.2204460492503131E-16</v>
      </c>
      <c r="H79">
        <v>1.2</v>
      </c>
      <c r="I79">
        <v>470.20311383399996</v>
      </c>
      <c r="J79">
        <v>2.2450544947164701</v>
      </c>
      <c r="K79">
        <v>1250</v>
      </c>
      <c r="L79">
        <v>0</v>
      </c>
      <c r="N79">
        <v>11</v>
      </c>
      <c r="O79" s="60" t="s">
        <v>1125</v>
      </c>
      <c r="P79" t="s">
        <v>1105</v>
      </c>
      <c r="Q79" t="s">
        <v>865</v>
      </c>
    </row>
    <row r="80" spans="1:17" x14ac:dyDescent="0.25">
      <c r="A80" t="s">
        <v>19</v>
      </c>
      <c r="B80">
        <v>137</v>
      </c>
      <c r="C80">
        <v>102.7</v>
      </c>
      <c r="D80">
        <v>-2.2204460492503131E-16</v>
      </c>
      <c r="E80">
        <v>137</v>
      </c>
      <c r="F80">
        <v>72.3</v>
      </c>
      <c r="G80">
        <v>-2.2204460492503131E-16</v>
      </c>
      <c r="H80">
        <v>1.2</v>
      </c>
      <c r="I80">
        <v>470.20311383399996</v>
      </c>
      <c r="J80">
        <v>13.649931327876137</v>
      </c>
      <c r="K80">
        <v>1250</v>
      </c>
      <c r="L80">
        <v>0</v>
      </c>
      <c r="N80">
        <v>11</v>
      </c>
      <c r="O80" s="60" t="s">
        <v>1125</v>
      </c>
      <c r="P80" t="s">
        <v>1105</v>
      </c>
      <c r="Q80" t="s">
        <v>892</v>
      </c>
    </row>
    <row r="81" spans="1:17" x14ac:dyDescent="0.25">
      <c r="A81" t="s">
        <v>19</v>
      </c>
      <c r="B81">
        <v>137</v>
      </c>
      <c r="C81">
        <v>72.3</v>
      </c>
      <c r="D81">
        <v>-2.2204460492503131E-16</v>
      </c>
      <c r="E81">
        <v>132</v>
      </c>
      <c r="F81">
        <v>72.3</v>
      </c>
      <c r="G81">
        <v>-2.2204460492503131E-16</v>
      </c>
      <c r="H81">
        <v>1.2</v>
      </c>
      <c r="I81">
        <v>470.20311383399996</v>
      </c>
      <c r="J81">
        <v>2.2450544947164701</v>
      </c>
      <c r="K81">
        <v>1250</v>
      </c>
      <c r="L81">
        <v>0</v>
      </c>
      <c r="N81">
        <v>11</v>
      </c>
      <c r="O81" s="60" t="s">
        <v>1125</v>
      </c>
      <c r="P81" t="s">
        <v>1105</v>
      </c>
      <c r="Q81" t="s">
        <v>864</v>
      </c>
    </row>
    <row r="82" spans="1:17" x14ac:dyDescent="0.25">
      <c r="A82" t="s">
        <v>19</v>
      </c>
      <c r="B82">
        <v>132</v>
      </c>
      <c r="C82">
        <v>72.3</v>
      </c>
      <c r="D82">
        <v>-2.2204460492503131E-16</v>
      </c>
      <c r="E82">
        <v>132</v>
      </c>
      <c r="F82">
        <v>102.7</v>
      </c>
      <c r="G82">
        <v>-2.2204460492503131E-16</v>
      </c>
      <c r="H82">
        <v>1.2</v>
      </c>
      <c r="I82">
        <v>470.20311383399996</v>
      </c>
      <c r="J82">
        <v>13.649931327876137</v>
      </c>
      <c r="K82">
        <v>1250</v>
      </c>
      <c r="L82">
        <v>0</v>
      </c>
      <c r="N82">
        <v>11</v>
      </c>
      <c r="O82" s="60" t="s">
        <v>1125</v>
      </c>
      <c r="P82" t="s">
        <v>1105</v>
      </c>
      <c r="Q82" t="s">
        <v>893</v>
      </c>
    </row>
    <row r="83" spans="1:17" x14ac:dyDescent="0.25">
      <c r="A83" t="s">
        <v>23</v>
      </c>
      <c r="B83">
        <v>132</v>
      </c>
      <c r="C83">
        <v>102.7</v>
      </c>
      <c r="D83">
        <v>-2.2204460492503131E-16</v>
      </c>
      <c r="E83">
        <v>127.95000000000002</v>
      </c>
      <c r="F83">
        <v>106.75</v>
      </c>
      <c r="G83">
        <v>0.8999999999999998</v>
      </c>
      <c r="H83">
        <v>0</v>
      </c>
      <c r="I83">
        <v>0</v>
      </c>
      <c r="K83">
        <v>3000</v>
      </c>
      <c r="N83">
        <v>0</v>
      </c>
      <c r="O83" s="60">
        <v>0</v>
      </c>
      <c r="P83" t="s">
        <v>659</v>
      </c>
      <c r="Q83" t="s">
        <v>1108</v>
      </c>
    </row>
    <row r="84" spans="1:17" x14ac:dyDescent="0.25">
      <c r="A84" t="s">
        <v>23</v>
      </c>
      <c r="B84">
        <v>127.95000000000002</v>
      </c>
      <c r="C84">
        <v>106.75</v>
      </c>
      <c r="D84">
        <v>0.8999999999999998</v>
      </c>
      <c r="E84">
        <v>288</v>
      </c>
      <c r="F84">
        <v>102.7</v>
      </c>
      <c r="G84">
        <v>1.7999999999999998</v>
      </c>
      <c r="H84">
        <v>0</v>
      </c>
      <c r="I84">
        <v>0</v>
      </c>
      <c r="J84">
        <v>0</v>
      </c>
      <c r="K84">
        <v>48000</v>
      </c>
      <c r="L84">
        <v>0</v>
      </c>
      <c r="N84">
        <v>11</v>
      </c>
      <c r="O84" s="60" t="s">
        <v>1126</v>
      </c>
      <c r="P84" t="s">
        <v>909</v>
      </c>
      <c r="Q84" t="s">
        <v>1109</v>
      </c>
    </row>
    <row r="85" spans="1:17" x14ac:dyDescent="0.25">
      <c r="A85" t="s">
        <v>39</v>
      </c>
      <c r="B85">
        <v>3.5</v>
      </c>
      <c r="C85">
        <v>2100</v>
      </c>
      <c r="N85">
        <v>11</v>
      </c>
      <c r="O85" s="60" t="s">
        <v>1127</v>
      </c>
      <c r="P85" t="s">
        <v>910</v>
      </c>
      <c r="Q85" t="s">
        <v>919</v>
      </c>
    </row>
    <row r="86" spans="1:17" x14ac:dyDescent="0.25">
      <c r="A86" t="s">
        <v>23</v>
      </c>
      <c r="B86">
        <v>288</v>
      </c>
      <c r="C86">
        <v>102.7</v>
      </c>
      <c r="D86">
        <v>1.7999999999999998</v>
      </c>
      <c r="E86">
        <v>288</v>
      </c>
      <c r="F86">
        <v>102.7</v>
      </c>
      <c r="G86">
        <v>0.8999999999999998</v>
      </c>
      <c r="H86">
        <v>0</v>
      </c>
      <c r="I86">
        <v>0</v>
      </c>
      <c r="K86">
        <v>3000</v>
      </c>
      <c r="N86">
        <v>0</v>
      </c>
      <c r="O86" s="60">
        <v>0</v>
      </c>
      <c r="P86" t="s">
        <v>659</v>
      </c>
      <c r="Q86" t="s">
        <v>917</v>
      </c>
    </row>
    <row r="87" spans="1:17" x14ac:dyDescent="0.25">
      <c r="A87" t="s">
        <v>19</v>
      </c>
      <c r="B87">
        <v>288</v>
      </c>
      <c r="C87">
        <v>102.7</v>
      </c>
      <c r="D87">
        <v>0.8999999999999998</v>
      </c>
      <c r="E87">
        <v>283</v>
      </c>
      <c r="F87">
        <v>102.7</v>
      </c>
      <c r="G87">
        <v>0.8999999999999998</v>
      </c>
      <c r="H87">
        <v>1.2</v>
      </c>
      <c r="I87">
        <v>470.20311383399996</v>
      </c>
      <c r="J87">
        <v>2.2450544947164701</v>
      </c>
      <c r="K87">
        <v>1250</v>
      </c>
      <c r="L87">
        <v>0</v>
      </c>
      <c r="N87">
        <v>11</v>
      </c>
      <c r="O87" s="60" t="s">
        <v>1128</v>
      </c>
      <c r="P87" t="s">
        <v>1104</v>
      </c>
      <c r="Q87" t="s">
        <v>889</v>
      </c>
    </row>
    <row r="88" spans="1:17" x14ac:dyDescent="0.25">
      <c r="A88" t="s">
        <v>19</v>
      </c>
      <c r="B88">
        <v>283</v>
      </c>
      <c r="C88">
        <v>102.7</v>
      </c>
      <c r="D88">
        <v>0.8999999999999998</v>
      </c>
      <c r="E88">
        <v>283</v>
      </c>
      <c r="F88">
        <v>72.3</v>
      </c>
      <c r="G88">
        <v>0.8999999999999998</v>
      </c>
      <c r="H88">
        <v>1.2</v>
      </c>
      <c r="I88">
        <v>470.20311383399996</v>
      </c>
      <c r="J88">
        <v>13.649931327876137</v>
      </c>
      <c r="K88">
        <v>1250</v>
      </c>
      <c r="L88">
        <v>0</v>
      </c>
      <c r="N88">
        <v>11</v>
      </c>
      <c r="O88" s="60" t="s">
        <v>1128</v>
      </c>
      <c r="P88" t="s">
        <v>1104</v>
      </c>
      <c r="Q88" t="s">
        <v>892</v>
      </c>
    </row>
    <row r="89" spans="1:17" x14ac:dyDescent="0.25">
      <c r="A89" t="s">
        <v>19</v>
      </c>
      <c r="B89">
        <v>283</v>
      </c>
      <c r="C89">
        <v>72.3</v>
      </c>
      <c r="D89">
        <v>0.8999999999999998</v>
      </c>
      <c r="E89">
        <v>288</v>
      </c>
      <c r="F89">
        <v>72.3</v>
      </c>
      <c r="G89">
        <v>0.8999999999999998</v>
      </c>
      <c r="H89">
        <v>1.2</v>
      </c>
      <c r="I89">
        <v>470.20311383399996</v>
      </c>
      <c r="J89">
        <v>2.2450544947164701</v>
      </c>
      <c r="K89">
        <v>1250</v>
      </c>
      <c r="L89">
        <v>0</v>
      </c>
      <c r="N89">
        <v>11</v>
      </c>
      <c r="O89" s="60" t="s">
        <v>1128</v>
      </c>
      <c r="P89" t="s">
        <v>1104</v>
      </c>
      <c r="Q89" t="s">
        <v>861</v>
      </c>
    </row>
    <row r="90" spans="1:17" x14ac:dyDescent="0.25">
      <c r="A90" t="s">
        <v>19</v>
      </c>
      <c r="B90">
        <v>288</v>
      </c>
      <c r="C90">
        <v>72.3</v>
      </c>
      <c r="D90">
        <v>0.8999999999999998</v>
      </c>
      <c r="E90">
        <v>288</v>
      </c>
      <c r="F90">
        <v>102.7</v>
      </c>
      <c r="G90">
        <v>0.8999999999999998</v>
      </c>
      <c r="H90">
        <v>1.2</v>
      </c>
      <c r="I90">
        <v>470.20311383399996</v>
      </c>
      <c r="J90">
        <v>13.649931327876137</v>
      </c>
      <c r="K90">
        <v>1250</v>
      </c>
      <c r="L90">
        <v>0</v>
      </c>
      <c r="N90">
        <v>11</v>
      </c>
      <c r="O90" s="60" t="s">
        <v>1128</v>
      </c>
      <c r="P90" t="s">
        <v>1104</v>
      </c>
      <c r="Q90" t="s">
        <v>893</v>
      </c>
    </row>
    <row r="91" spans="1:17" x14ac:dyDescent="0.25">
      <c r="A91" t="s">
        <v>23</v>
      </c>
      <c r="B91">
        <v>288</v>
      </c>
      <c r="C91">
        <v>102.7</v>
      </c>
      <c r="D91">
        <v>0.8999999999999998</v>
      </c>
      <c r="E91">
        <v>132</v>
      </c>
      <c r="F91">
        <v>102.7</v>
      </c>
      <c r="G91">
        <v>0.8999999999999998</v>
      </c>
      <c r="H91">
        <v>0</v>
      </c>
      <c r="I91">
        <v>0</v>
      </c>
      <c r="J91">
        <v>0</v>
      </c>
      <c r="K91">
        <v>48000</v>
      </c>
      <c r="L91">
        <v>0</v>
      </c>
      <c r="N91">
        <v>11</v>
      </c>
      <c r="O91" s="60" t="s">
        <v>1129</v>
      </c>
      <c r="P91" t="s">
        <v>911</v>
      </c>
      <c r="Q91" t="s">
        <v>922</v>
      </c>
    </row>
    <row r="92" spans="1:17" x14ac:dyDescent="0.25">
      <c r="A92" t="s">
        <v>39</v>
      </c>
      <c r="B92">
        <v>3.5</v>
      </c>
      <c r="C92">
        <v>2100</v>
      </c>
      <c r="N92">
        <v>11</v>
      </c>
      <c r="O92" s="60" t="s">
        <v>1130</v>
      </c>
      <c r="P92" t="s">
        <v>912</v>
      </c>
      <c r="Q92" t="s">
        <v>919</v>
      </c>
    </row>
    <row r="93" spans="1:17" x14ac:dyDescent="0.25">
      <c r="A93" t="s">
        <v>19</v>
      </c>
      <c r="B93">
        <v>132</v>
      </c>
      <c r="C93">
        <v>102.7</v>
      </c>
      <c r="D93">
        <v>0.8999999999999998</v>
      </c>
      <c r="E93">
        <v>137</v>
      </c>
      <c r="F93">
        <v>102.7</v>
      </c>
      <c r="G93">
        <v>0.8999999999999998</v>
      </c>
      <c r="H93">
        <v>1.2</v>
      </c>
      <c r="I93">
        <v>470.20311383399996</v>
      </c>
      <c r="J93">
        <v>2.2450544947164701</v>
      </c>
      <c r="K93">
        <v>1250</v>
      </c>
      <c r="L93">
        <v>0</v>
      </c>
      <c r="N93">
        <v>11</v>
      </c>
      <c r="O93" s="60" t="s">
        <v>1131</v>
      </c>
      <c r="P93" t="s">
        <v>1105</v>
      </c>
      <c r="Q93" t="s">
        <v>865</v>
      </c>
    </row>
    <row r="94" spans="1:17" x14ac:dyDescent="0.25">
      <c r="A94" t="s">
        <v>19</v>
      </c>
      <c r="B94">
        <v>137</v>
      </c>
      <c r="C94">
        <v>102.7</v>
      </c>
      <c r="D94">
        <v>0.8999999999999998</v>
      </c>
      <c r="E94">
        <v>137</v>
      </c>
      <c r="F94">
        <v>72.3</v>
      </c>
      <c r="G94">
        <v>0.8999999999999998</v>
      </c>
      <c r="H94">
        <v>1.2</v>
      </c>
      <c r="I94">
        <v>470.20311383399996</v>
      </c>
      <c r="J94">
        <v>13.649931327876137</v>
      </c>
      <c r="K94">
        <v>1250</v>
      </c>
      <c r="L94">
        <v>0</v>
      </c>
      <c r="N94">
        <v>11</v>
      </c>
      <c r="O94" s="60" t="s">
        <v>1131</v>
      </c>
      <c r="P94" t="s">
        <v>1105</v>
      </c>
      <c r="Q94" t="s">
        <v>892</v>
      </c>
    </row>
    <row r="95" spans="1:17" x14ac:dyDescent="0.25">
      <c r="A95" t="s">
        <v>19</v>
      </c>
      <c r="B95">
        <v>137</v>
      </c>
      <c r="C95">
        <v>72.3</v>
      </c>
      <c r="D95">
        <v>0.8999999999999998</v>
      </c>
      <c r="E95">
        <v>132</v>
      </c>
      <c r="F95">
        <v>72.3</v>
      </c>
      <c r="G95">
        <v>0.8999999999999998</v>
      </c>
      <c r="H95">
        <v>1.2</v>
      </c>
      <c r="I95">
        <v>470.20311383399996</v>
      </c>
      <c r="J95">
        <v>2.2450544947164701</v>
      </c>
      <c r="K95">
        <v>1250</v>
      </c>
      <c r="L95">
        <v>0</v>
      </c>
      <c r="N95">
        <v>11</v>
      </c>
      <c r="O95" s="60" t="s">
        <v>1131</v>
      </c>
      <c r="P95" t="s">
        <v>1105</v>
      </c>
      <c r="Q95" t="s">
        <v>864</v>
      </c>
    </row>
    <row r="96" spans="1:17" x14ac:dyDescent="0.25">
      <c r="A96" t="s">
        <v>19</v>
      </c>
      <c r="B96">
        <v>132</v>
      </c>
      <c r="C96">
        <v>72.3</v>
      </c>
      <c r="D96">
        <v>0.8999999999999998</v>
      </c>
      <c r="E96">
        <v>132</v>
      </c>
      <c r="F96">
        <v>102.7</v>
      </c>
      <c r="G96">
        <v>0.8999999999999998</v>
      </c>
      <c r="H96">
        <v>1.2</v>
      </c>
      <c r="I96">
        <v>470.20311383399996</v>
      </c>
      <c r="J96">
        <v>13.649931327876137</v>
      </c>
      <c r="K96">
        <v>1250</v>
      </c>
      <c r="L96">
        <v>0</v>
      </c>
      <c r="N96">
        <v>11</v>
      </c>
      <c r="O96" s="60" t="s">
        <v>1131</v>
      </c>
      <c r="P96" t="s">
        <v>1105</v>
      </c>
      <c r="Q96" t="s">
        <v>893</v>
      </c>
    </row>
    <row r="97" spans="1:17" x14ac:dyDescent="0.25">
      <c r="A97" t="s">
        <v>49</v>
      </c>
      <c r="B97" t="s">
        <v>866</v>
      </c>
      <c r="C97">
        <v>106</v>
      </c>
      <c r="D97" t="s">
        <v>867</v>
      </c>
      <c r="E97">
        <v>255</v>
      </c>
      <c r="N97">
        <v>12</v>
      </c>
      <c r="O97" s="60" t="s">
        <v>686</v>
      </c>
      <c r="P97" t="s">
        <v>710</v>
      </c>
      <c r="Q97" t="s">
        <v>868</v>
      </c>
    </row>
    <row r="98" spans="1:17" x14ac:dyDescent="0.25">
      <c r="A98" t="s">
        <v>23</v>
      </c>
      <c r="B98">
        <v>132</v>
      </c>
      <c r="C98">
        <v>102.7</v>
      </c>
      <c r="D98">
        <v>0.8999999999999998</v>
      </c>
      <c r="E98">
        <v>290.7</v>
      </c>
      <c r="F98">
        <v>100</v>
      </c>
      <c r="G98">
        <v>1.7999999999999998</v>
      </c>
      <c r="H98">
        <v>0</v>
      </c>
      <c r="I98">
        <v>0</v>
      </c>
      <c r="K98">
        <v>3000</v>
      </c>
      <c r="N98">
        <v>0</v>
      </c>
      <c r="O98" s="60">
        <v>0</v>
      </c>
      <c r="P98" t="s">
        <v>659</v>
      </c>
      <c r="Q98" t="s">
        <v>1132</v>
      </c>
    </row>
    <row r="99" spans="1:17" x14ac:dyDescent="0.25">
      <c r="A99" t="s">
        <v>19</v>
      </c>
      <c r="B99">
        <v>290.7</v>
      </c>
      <c r="C99">
        <v>100</v>
      </c>
      <c r="D99">
        <v>1.7999999999999998</v>
      </c>
      <c r="E99">
        <v>129.29999999999998</v>
      </c>
      <c r="F99">
        <v>100</v>
      </c>
      <c r="G99">
        <v>1.7999999999999998</v>
      </c>
      <c r="H99">
        <v>1.2</v>
      </c>
      <c r="I99">
        <v>470.20311383399996</v>
      </c>
      <c r="J99">
        <v>72.470359089447655</v>
      </c>
      <c r="K99">
        <v>1500</v>
      </c>
      <c r="L99">
        <v>0</v>
      </c>
      <c r="N99">
        <v>13</v>
      </c>
      <c r="O99" s="60" t="s">
        <v>714</v>
      </c>
      <c r="P99" t="s">
        <v>691</v>
      </c>
      <c r="Q99" t="s">
        <v>894</v>
      </c>
    </row>
    <row r="100" spans="1:17" x14ac:dyDescent="0.25">
      <c r="A100" t="s">
        <v>19</v>
      </c>
      <c r="B100">
        <v>129.29999999999998</v>
      </c>
      <c r="C100">
        <v>100</v>
      </c>
      <c r="D100">
        <v>1.7999999999999998</v>
      </c>
      <c r="E100">
        <v>129.29999999999998</v>
      </c>
      <c r="F100">
        <v>98.65</v>
      </c>
      <c r="G100">
        <v>1.7999999999999998</v>
      </c>
      <c r="H100">
        <v>1.2</v>
      </c>
      <c r="I100">
        <v>470.20311383399996</v>
      </c>
      <c r="J100">
        <v>0.60616471357344437</v>
      </c>
      <c r="K100">
        <v>1000</v>
      </c>
      <c r="L100">
        <v>0</v>
      </c>
      <c r="N100">
        <v>14</v>
      </c>
      <c r="O100" s="60" t="s">
        <v>899</v>
      </c>
      <c r="P100" t="s">
        <v>707</v>
      </c>
      <c r="Q100" t="s">
        <v>801</v>
      </c>
    </row>
    <row r="101" spans="1:17" x14ac:dyDescent="0.25">
      <c r="A101" t="s">
        <v>19</v>
      </c>
      <c r="B101">
        <v>129.29999999999998</v>
      </c>
      <c r="C101">
        <v>98.65</v>
      </c>
      <c r="D101">
        <v>1.7999999999999998</v>
      </c>
      <c r="E101">
        <v>290.7</v>
      </c>
      <c r="F101">
        <v>98.65</v>
      </c>
      <c r="G101">
        <v>1.7999999999999998</v>
      </c>
      <c r="H101">
        <v>1.2</v>
      </c>
      <c r="I101">
        <v>470.20311383399996</v>
      </c>
      <c r="J101">
        <v>72.470359089447655</v>
      </c>
      <c r="K101">
        <v>1500</v>
      </c>
      <c r="L101">
        <v>0</v>
      </c>
      <c r="N101">
        <v>15</v>
      </c>
      <c r="O101" s="60" t="s">
        <v>788</v>
      </c>
      <c r="P101" t="s">
        <v>708</v>
      </c>
      <c r="Q101" t="s">
        <v>895</v>
      </c>
    </row>
    <row r="102" spans="1:17" x14ac:dyDescent="0.25">
      <c r="A102" t="s">
        <v>19</v>
      </c>
      <c r="B102">
        <v>290.7</v>
      </c>
      <c r="C102">
        <v>98.65</v>
      </c>
      <c r="D102">
        <v>1.7999999999999998</v>
      </c>
      <c r="E102">
        <v>290.7</v>
      </c>
      <c r="F102">
        <v>97.300000000000011</v>
      </c>
      <c r="G102">
        <v>1.7999999999999998</v>
      </c>
      <c r="H102">
        <v>1.2</v>
      </c>
      <c r="I102">
        <v>470.20311383399996</v>
      </c>
      <c r="J102">
        <v>0.60616471357344437</v>
      </c>
      <c r="K102">
        <v>1000</v>
      </c>
      <c r="L102">
        <v>0</v>
      </c>
      <c r="N102">
        <v>16</v>
      </c>
      <c r="O102" s="60" t="s">
        <v>716</v>
      </c>
      <c r="P102" t="s">
        <v>711</v>
      </c>
      <c r="Q102" t="s">
        <v>880</v>
      </c>
    </row>
    <row r="103" spans="1:17" x14ac:dyDescent="0.25">
      <c r="A103" t="s">
        <v>19</v>
      </c>
      <c r="B103">
        <v>290.7</v>
      </c>
      <c r="C103">
        <v>97.3</v>
      </c>
      <c r="D103">
        <v>1.7999999999999998</v>
      </c>
      <c r="E103">
        <v>129.29999999999998</v>
      </c>
      <c r="F103">
        <v>97.3</v>
      </c>
      <c r="G103">
        <v>1.7999999999999998</v>
      </c>
      <c r="H103">
        <v>1.2</v>
      </c>
      <c r="I103">
        <v>470.20311383399996</v>
      </c>
      <c r="J103">
        <v>72.470359089447655</v>
      </c>
      <c r="K103">
        <v>1500</v>
      </c>
      <c r="L103">
        <v>0</v>
      </c>
      <c r="N103">
        <v>17</v>
      </c>
      <c r="O103" s="60" t="s">
        <v>1133</v>
      </c>
      <c r="P103" t="s">
        <v>871</v>
      </c>
      <c r="Q103" t="s">
        <v>894</v>
      </c>
    </row>
    <row r="104" spans="1:17" x14ac:dyDescent="0.25">
      <c r="A104" t="s">
        <v>19</v>
      </c>
      <c r="B104">
        <v>129.29999999999998</v>
      </c>
      <c r="C104">
        <v>97.3</v>
      </c>
      <c r="D104">
        <v>1.7999999999999998</v>
      </c>
      <c r="E104">
        <v>129.29999999999998</v>
      </c>
      <c r="F104">
        <v>95.95</v>
      </c>
      <c r="G104">
        <v>1.7999999999999998</v>
      </c>
      <c r="H104">
        <v>1.2</v>
      </c>
      <c r="I104">
        <v>470.20311383399996</v>
      </c>
      <c r="J104">
        <v>0.60616471357344437</v>
      </c>
      <c r="K104">
        <v>1000</v>
      </c>
      <c r="L104">
        <v>0</v>
      </c>
      <c r="N104">
        <v>17</v>
      </c>
      <c r="O104" s="60" t="s">
        <v>1134</v>
      </c>
      <c r="P104" t="s">
        <v>872</v>
      </c>
      <c r="Q104" t="s">
        <v>870</v>
      </c>
    </row>
    <row r="105" spans="1:17" x14ac:dyDescent="0.25">
      <c r="A105" t="s">
        <v>19</v>
      </c>
      <c r="B105">
        <v>129.29999999999998</v>
      </c>
      <c r="C105">
        <v>95.95</v>
      </c>
      <c r="D105">
        <v>1.7999999999999998</v>
      </c>
      <c r="E105">
        <v>290.7</v>
      </c>
      <c r="F105">
        <v>95.95</v>
      </c>
      <c r="G105">
        <v>1.7999999999999998</v>
      </c>
      <c r="H105">
        <v>1.2</v>
      </c>
      <c r="I105">
        <v>470.20311383399996</v>
      </c>
      <c r="J105">
        <v>72.470359089447655</v>
      </c>
      <c r="K105">
        <v>1500</v>
      </c>
      <c r="L105">
        <v>0</v>
      </c>
      <c r="N105">
        <v>17</v>
      </c>
      <c r="O105" s="60" t="s">
        <v>1135</v>
      </c>
      <c r="P105" t="s">
        <v>913</v>
      </c>
      <c r="Q105" t="s">
        <v>895</v>
      </c>
    </row>
    <row r="106" spans="1:17" x14ac:dyDescent="0.25">
      <c r="A106" t="s">
        <v>19</v>
      </c>
      <c r="B106">
        <v>290.7</v>
      </c>
      <c r="C106">
        <v>95.95</v>
      </c>
      <c r="D106">
        <v>1.7999999999999998</v>
      </c>
      <c r="E106">
        <v>290.7</v>
      </c>
      <c r="F106">
        <v>94.600000000000009</v>
      </c>
      <c r="G106">
        <v>1.7999999999999998</v>
      </c>
      <c r="H106">
        <v>1.2</v>
      </c>
      <c r="I106">
        <v>470.20311383399996</v>
      </c>
      <c r="J106">
        <v>0.60616471357344437</v>
      </c>
      <c r="K106">
        <v>1000</v>
      </c>
      <c r="L106">
        <v>0</v>
      </c>
      <c r="N106">
        <v>17</v>
      </c>
      <c r="O106" s="60" t="s">
        <v>1136</v>
      </c>
      <c r="P106" t="s">
        <v>914</v>
      </c>
      <c r="Q106" t="s">
        <v>881</v>
      </c>
    </row>
    <row r="107" spans="1:17" x14ac:dyDescent="0.25">
      <c r="A107" t="s">
        <v>19</v>
      </c>
      <c r="B107">
        <v>290.7</v>
      </c>
      <c r="C107">
        <v>94.6</v>
      </c>
      <c r="D107">
        <v>1.7999999999999998</v>
      </c>
      <c r="E107">
        <v>129.29999999999998</v>
      </c>
      <c r="F107">
        <v>94.6</v>
      </c>
      <c r="G107">
        <v>1.7999999999999998</v>
      </c>
      <c r="H107">
        <v>1.2</v>
      </c>
      <c r="I107">
        <v>470.20311383399996</v>
      </c>
      <c r="J107">
        <v>72.470359089447655</v>
      </c>
      <c r="K107">
        <v>1500</v>
      </c>
      <c r="L107">
        <v>0</v>
      </c>
      <c r="N107">
        <v>17</v>
      </c>
      <c r="O107" s="60" t="s">
        <v>1137</v>
      </c>
      <c r="P107" t="s">
        <v>871</v>
      </c>
      <c r="Q107" t="s">
        <v>894</v>
      </c>
    </row>
    <row r="108" spans="1:17" x14ac:dyDescent="0.25">
      <c r="A108" t="s">
        <v>19</v>
      </c>
      <c r="B108">
        <v>129.29999999999998</v>
      </c>
      <c r="C108">
        <v>94.6</v>
      </c>
      <c r="D108">
        <v>1.7999999999999998</v>
      </c>
      <c r="E108">
        <v>129.29999999999998</v>
      </c>
      <c r="F108">
        <v>93.25</v>
      </c>
      <c r="G108">
        <v>1.7999999999999998</v>
      </c>
      <c r="H108">
        <v>1.2</v>
      </c>
      <c r="I108">
        <v>470.20311383399996</v>
      </c>
      <c r="J108">
        <v>0.60616471357344437</v>
      </c>
      <c r="K108">
        <v>1000</v>
      </c>
      <c r="L108">
        <v>0</v>
      </c>
      <c r="N108">
        <v>17</v>
      </c>
      <c r="O108" s="60" t="s">
        <v>1138</v>
      </c>
      <c r="P108" t="s">
        <v>872</v>
      </c>
      <c r="Q108" t="s">
        <v>873</v>
      </c>
    </row>
    <row r="109" spans="1:17" x14ac:dyDescent="0.25">
      <c r="A109" t="s">
        <v>19</v>
      </c>
      <c r="B109">
        <v>129.29999999999998</v>
      </c>
      <c r="C109">
        <v>93.25</v>
      </c>
      <c r="D109">
        <v>1.7999999999999998</v>
      </c>
      <c r="E109">
        <v>290.7</v>
      </c>
      <c r="F109">
        <v>93.25</v>
      </c>
      <c r="G109">
        <v>1.7999999999999998</v>
      </c>
      <c r="H109">
        <v>1.2</v>
      </c>
      <c r="I109">
        <v>470.20311383399996</v>
      </c>
      <c r="J109">
        <v>72.470359089447655</v>
      </c>
      <c r="K109">
        <v>1500</v>
      </c>
      <c r="L109">
        <v>0</v>
      </c>
      <c r="N109">
        <v>17</v>
      </c>
      <c r="O109" s="60" t="s">
        <v>1139</v>
      </c>
      <c r="P109" t="s">
        <v>913</v>
      </c>
      <c r="Q109" t="s">
        <v>895</v>
      </c>
    </row>
    <row r="110" spans="1:17" x14ac:dyDescent="0.25">
      <c r="A110" t="s">
        <v>19</v>
      </c>
      <c r="B110">
        <v>290.7</v>
      </c>
      <c r="C110">
        <v>93.25</v>
      </c>
      <c r="D110">
        <v>1.7999999999999998</v>
      </c>
      <c r="E110">
        <v>290.7</v>
      </c>
      <c r="F110">
        <v>91.9</v>
      </c>
      <c r="G110">
        <v>1.7999999999999998</v>
      </c>
      <c r="H110">
        <v>1.2</v>
      </c>
      <c r="I110">
        <v>470.20311383399996</v>
      </c>
      <c r="J110">
        <v>0.60616471357344437</v>
      </c>
      <c r="K110">
        <v>1000</v>
      </c>
      <c r="L110">
        <v>0</v>
      </c>
      <c r="N110">
        <v>17</v>
      </c>
      <c r="O110" s="60" t="s">
        <v>1140</v>
      </c>
      <c r="P110" t="s">
        <v>914</v>
      </c>
      <c r="Q110" t="s">
        <v>882</v>
      </c>
    </row>
    <row r="111" spans="1:17" x14ac:dyDescent="0.25">
      <c r="A111" t="s">
        <v>19</v>
      </c>
      <c r="B111">
        <v>290.7</v>
      </c>
      <c r="C111">
        <v>91.9</v>
      </c>
      <c r="D111">
        <v>1.7999999999999998</v>
      </c>
      <c r="E111">
        <v>129.29999999999998</v>
      </c>
      <c r="F111">
        <v>91.9</v>
      </c>
      <c r="G111">
        <v>1.7999999999999998</v>
      </c>
      <c r="H111">
        <v>1.2</v>
      </c>
      <c r="I111">
        <v>470.20311383399996</v>
      </c>
      <c r="J111">
        <v>72.470359089447655</v>
      </c>
      <c r="K111">
        <v>1500</v>
      </c>
      <c r="L111">
        <v>0</v>
      </c>
      <c r="N111">
        <v>17</v>
      </c>
      <c r="O111" s="60" t="s">
        <v>1141</v>
      </c>
      <c r="P111" t="s">
        <v>871</v>
      </c>
      <c r="Q111" t="s">
        <v>894</v>
      </c>
    </row>
    <row r="112" spans="1:17" x14ac:dyDescent="0.25">
      <c r="A112" t="s">
        <v>19</v>
      </c>
      <c r="B112">
        <v>129.29999999999998</v>
      </c>
      <c r="C112">
        <v>91.9</v>
      </c>
      <c r="D112">
        <v>1.7999999999999998</v>
      </c>
      <c r="E112">
        <v>129.29999999999998</v>
      </c>
      <c r="F112">
        <v>90.550000000000011</v>
      </c>
      <c r="G112">
        <v>1.7999999999999998</v>
      </c>
      <c r="H112">
        <v>1.2</v>
      </c>
      <c r="I112">
        <v>470.20311383399996</v>
      </c>
      <c r="J112">
        <v>0.60616471357344437</v>
      </c>
      <c r="K112">
        <v>1000</v>
      </c>
      <c r="L112">
        <v>0</v>
      </c>
      <c r="N112">
        <v>17</v>
      </c>
      <c r="O112" s="60" t="s">
        <v>1142</v>
      </c>
      <c r="P112" t="s">
        <v>872</v>
      </c>
      <c r="Q112" t="s">
        <v>874</v>
      </c>
    </row>
    <row r="113" spans="1:17" x14ac:dyDescent="0.25">
      <c r="A113" t="s">
        <v>19</v>
      </c>
      <c r="B113">
        <v>129.29999999999998</v>
      </c>
      <c r="C113">
        <v>90.550000000000011</v>
      </c>
      <c r="D113">
        <v>1.7999999999999998</v>
      </c>
      <c r="E113">
        <v>290.7</v>
      </c>
      <c r="F113">
        <v>90.550000000000011</v>
      </c>
      <c r="G113">
        <v>1.7999999999999998</v>
      </c>
      <c r="H113">
        <v>1.2</v>
      </c>
      <c r="I113">
        <v>470.20311383399996</v>
      </c>
      <c r="J113">
        <v>72.470359089447655</v>
      </c>
      <c r="K113">
        <v>1500</v>
      </c>
      <c r="L113">
        <v>0</v>
      </c>
      <c r="N113">
        <v>17</v>
      </c>
      <c r="O113" s="60" t="s">
        <v>1143</v>
      </c>
      <c r="P113" t="s">
        <v>913</v>
      </c>
      <c r="Q113" t="s">
        <v>895</v>
      </c>
    </row>
    <row r="114" spans="1:17" x14ac:dyDescent="0.25">
      <c r="A114" t="s">
        <v>19</v>
      </c>
      <c r="B114">
        <v>290.7</v>
      </c>
      <c r="C114">
        <v>90.550000000000011</v>
      </c>
      <c r="D114">
        <v>1.7999999999999998</v>
      </c>
      <c r="E114">
        <v>290.7</v>
      </c>
      <c r="F114">
        <v>89.200000000000017</v>
      </c>
      <c r="G114">
        <v>1.7999999999999998</v>
      </c>
      <c r="H114">
        <v>1.2</v>
      </c>
      <c r="I114">
        <v>470.20311383399996</v>
      </c>
      <c r="J114">
        <v>0.60616471357344437</v>
      </c>
      <c r="K114">
        <v>1000</v>
      </c>
      <c r="L114">
        <v>0</v>
      </c>
      <c r="N114">
        <v>17</v>
      </c>
      <c r="O114" s="60" t="s">
        <v>1144</v>
      </c>
      <c r="P114" t="s">
        <v>914</v>
      </c>
      <c r="Q114" t="s">
        <v>883</v>
      </c>
    </row>
    <row r="115" spans="1:17" x14ac:dyDescent="0.25">
      <c r="A115" t="s">
        <v>19</v>
      </c>
      <c r="B115">
        <v>290.7</v>
      </c>
      <c r="C115">
        <v>89.2</v>
      </c>
      <c r="D115">
        <v>1.7999999999999998</v>
      </c>
      <c r="E115">
        <v>129.29999999999998</v>
      </c>
      <c r="F115">
        <v>89.2</v>
      </c>
      <c r="G115">
        <v>1.7999999999999998</v>
      </c>
      <c r="H115">
        <v>1.2</v>
      </c>
      <c r="I115">
        <v>470.20311383399996</v>
      </c>
      <c r="J115">
        <v>72.470359089447655</v>
      </c>
      <c r="K115">
        <v>1500</v>
      </c>
      <c r="L115">
        <v>0</v>
      </c>
      <c r="N115">
        <v>17</v>
      </c>
      <c r="O115" s="60" t="s">
        <v>1145</v>
      </c>
      <c r="P115" t="s">
        <v>871</v>
      </c>
      <c r="Q115" t="s">
        <v>894</v>
      </c>
    </row>
    <row r="116" spans="1:17" x14ac:dyDescent="0.25">
      <c r="A116" t="s">
        <v>19</v>
      </c>
      <c r="B116">
        <v>129.29999999999998</v>
      </c>
      <c r="C116">
        <v>89.2</v>
      </c>
      <c r="D116">
        <v>1.7999999999999998</v>
      </c>
      <c r="E116">
        <v>129.29999999999998</v>
      </c>
      <c r="F116">
        <v>87.850000000000009</v>
      </c>
      <c r="G116">
        <v>1.7999999999999998</v>
      </c>
      <c r="H116">
        <v>1.2</v>
      </c>
      <c r="I116">
        <v>470.20311383399996</v>
      </c>
      <c r="J116">
        <v>0.60616471357344437</v>
      </c>
      <c r="K116">
        <v>1000</v>
      </c>
      <c r="L116">
        <v>0</v>
      </c>
      <c r="N116">
        <v>17</v>
      </c>
      <c r="O116" s="60" t="s">
        <v>1146</v>
      </c>
      <c r="P116" t="s">
        <v>872</v>
      </c>
      <c r="Q116" t="s">
        <v>875</v>
      </c>
    </row>
    <row r="117" spans="1:17" x14ac:dyDescent="0.25">
      <c r="A117" t="s">
        <v>19</v>
      </c>
      <c r="B117">
        <v>129.29999999999998</v>
      </c>
      <c r="C117">
        <v>87.850000000000009</v>
      </c>
      <c r="D117">
        <v>1.7999999999999998</v>
      </c>
      <c r="E117">
        <v>290.7</v>
      </c>
      <c r="F117">
        <v>87.850000000000009</v>
      </c>
      <c r="G117">
        <v>1.7999999999999998</v>
      </c>
      <c r="H117">
        <v>1.2</v>
      </c>
      <c r="I117">
        <v>470.20311383399996</v>
      </c>
      <c r="J117">
        <v>72.470359089447655</v>
      </c>
      <c r="K117">
        <v>1500</v>
      </c>
      <c r="L117">
        <v>0</v>
      </c>
      <c r="N117">
        <v>17</v>
      </c>
      <c r="O117" s="60" t="s">
        <v>1147</v>
      </c>
      <c r="P117" t="s">
        <v>913</v>
      </c>
      <c r="Q117" t="s">
        <v>895</v>
      </c>
    </row>
    <row r="118" spans="1:17" x14ac:dyDescent="0.25">
      <c r="A118" t="s">
        <v>19</v>
      </c>
      <c r="B118">
        <v>290.7</v>
      </c>
      <c r="C118">
        <v>87.850000000000009</v>
      </c>
      <c r="D118">
        <v>1.7999999999999998</v>
      </c>
      <c r="E118">
        <v>290.7</v>
      </c>
      <c r="F118">
        <v>86.500000000000014</v>
      </c>
      <c r="G118">
        <v>1.7999999999999998</v>
      </c>
      <c r="H118">
        <v>1.2</v>
      </c>
      <c r="I118">
        <v>470.20311383399996</v>
      </c>
      <c r="J118">
        <v>0.60616471357344437</v>
      </c>
      <c r="K118">
        <v>1000</v>
      </c>
      <c r="L118">
        <v>0</v>
      </c>
      <c r="N118">
        <v>17</v>
      </c>
      <c r="O118" s="60" t="s">
        <v>1148</v>
      </c>
      <c r="P118" t="s">
        <v>914</v>
      </c>
      <c r="Q118" t="s">
        <v>884</v>
      </c>
    </row>
    <row r="119" spans="1:17" x14ac:dyDescent="0.25">
      <c r="A119" t="s">
        <v>19</v>
      </c>
      <c r="B119">
        <v>290.7</v>
      </c>
      <c r="C119">
        <v>86.5</v>
      </c>
      <c r="D119">
        <v>1.7999999999999998</v>
      </c>
      <c r="E119">
        <v>129.29999999999998</v>
      </c>
      <c r="F119">
        <v>86.5</v>
      </c>
      <c r="G119">
        <v>1.7999999999999998</v>
      </c>
      <c r="H119">
        <v>1.2</v>
      </c>
      <c r="I119">
        <v>470.20311383399996</v>
      </c>
      <c r="J119">
        <v>72.470359089447655</v>
      </c>
      <c r="K119">
        <v>1500</v>
      </c>
      <c r="L119">
        <v>0</v>
      </c>
      <c r="N119">
        <v>17</v>
      </c>
      <c r="O119" s="60" t="s">
        <v>1149</v>
      </c>
      <c r="P119" t="s">
        <v>871</v>
      </c>
      <c r="Q119" t="s">
        <v>894</v>
      </c>
    </row>
    <row r="120" spans="1:17" x14ac:dyDescent="0.25">
      <c r="A120" t="s">
        <v>19</v>
      </c>
      <c r="B120">
        <v>129.29999999999998</v>
      </c>
      <c r="C120">
        <v>86.5</v>
      </c>
      <c r="D120">
        <v>1.7999999999999998</v>
      </c>
      <c r="E120">
        <v>129.29999999999998</v>
      </c>
      <c r="F120">
        <v>85.15</v>
      </c>
      <c r="G120">
        <v>1.7999999999999998</v>
      </c>
      <c r="H120">
        <v>1.2</v>
      </c>
      <c r="I120">
        <v>470.20311383399996</v>
      </c>
      <c r="J120">
        <v>0.60616471357344437</v>
      </c>
      <c r="K120">
        <v>1000</v>
      </c>
      <c r="L120">
        <v>0</v>
      </c>
      <c r="N120">
        <v>17</v>
      </c>
      <c r="O120" s="60" t="s">
        <v>1150</v>
      </c>
      <c r="P120" t="s">
        <v>872</v>
      </c>
      <c r="Q120" t="s">
        <v>876</v>
      </c>
    </row>
    <row r="121" spans="1:17" x14ac:dyDescent="0.25">
      <c r="A121" t="s">
        <v>19</v>
      </c>
      <c r="B121">
        <v>129.29999999999998</v>
      </c>
      <c r="C121">
        <v>85.15</v>
      </c>
      <c r="D121">
        <v>1.7999999999999998</v>
      </c>
      <c r="E121">
        <v>290.7</v>
      </c>
      <c r="F121">
        <v>85.15</v>
      </c>
      <c r="G121">
        <v>1.7999999999999998</v>
      </c>
      <c r="H121">
        <v>1.2</v>
      </c>
      <c r="I121">
        <v>470.20311383399996</v>
      </c>
      <c r="J121">
        <v>72.470359089447655</v>
      </c>
      <c r="K121">
        <v>1500</v>
      </c>
      <c r="L121">
        <v>0</v>
      </c>
      <c r="N121">
        <v>17</v>
      </c>
      <c r="O121" s="60" t="s">
        <v>1151</v>
      </c>
      <c r="P121" t="s">
        <v>913</v>
      </c>
      <c r="Q121" t="s">
        <v>895</v>
      </c>
    </row>
    <row r="122" spans="1:17" x14ac:dyDescent="0.25">
      <c r="A122" t="s">
        <v>19</v>
      </c>
      <c r="B122">
        <v>290.7</v>
      </c>
      <c r="C122">
        <v>85.15</v>
      </c>
      <c r="D122">
        <v>1.7999999999999998</v>
      </c>
      <c r="E122">
        <v>290.7</v>
      </c>
      <c r="F122">
        <v>83.800000000000011</v>
      </c>
      <c r="G122">
        <v>1.7999999999999998</v>
      </c>
      <c r="H122">
        <v>1.2</v>
      </c>
      <c r="I122">
        <v>470.20311383399996</v>
      </c>
      <c r="J122">
        <v>0.60616471357344437</v>
      </c>
      <c r="K122">
        <v>1000</v>
      </c>
      <c r="L122">
        <v>0</v>
      </c>
      <c r="N122">
        <v>17</v>
      </c>
      <c r="O122" s="60" t="s">
        <v>1152</v>
      </c>
      <c r="P122" t="s">
        <v>914</v>
      </c>
      <c r="Q122" t="s">
        <v>885</v>
      </c>
    </row>
    <row r="123" spans="1:17" x14ac:dyDescent="0.25">
      <c r="A123" t="s">
        <v>19</v>
      </c>
      <c r="B123">
        <v>290.7</v>
      </c>
      <c r="C123">
        <v>83.8</v>
      </c>
      <c r="D123">
        <v>1.7999999999999998</v>
      </c>
      <c r="E123">
        <v>129.29999999999998</v>
      </c>
      <c r="F123">
        <v>83.8</v>
      </c>
      <c r="G123">
        <v>1.7999999999999998</v>
      </c>
      <c r="H123">
        <v>1.2</v>
      </c>
      <c r="I123">
        <v>470.20311383399996</v>
      </c>
      <c r="J123">
        <v>72.470359089447655</v>
      </c>
      <c r="K123">
        <v>1500</v>
      </c>
      <c r="L123">
        <v>0</v>
      </c>
      <c r="N123">
        <v>17</v>
      </c>
      <c r="O123" s="60" t="s">
        <v>1153</v>
      </c>
      <c r="P123" t="s">
        <v>871</v>
      </c>
      <c r="Q123" t="s">
        <v>894</v>
      </c>
    </row>
    <row r="124" spans="1:17" x14ac:dyDescent="0.25">
      <c r="A124" t="s">
        <v>19</v>
      </c>
      <c r="B124">
        <v>129.29999999999998</v>
      </c>
      <c r="C124">
        <v>83.8</v>
      </c>
      <c r="D124">
        <v>1.7999999999999998</v>
      </c>
      <c r="E124">
        <v>129.29999999999998</v>
      </c>
      <c r="F124">
        <v>82.45</v>
      </c>
      <c r="G124">
        <v>1.7999999999999998</v>
      </c>
      <c r="H124">
        <v>1.2</v>
      </c>
      <c r="I124">
        <v>470.20311383399996</v>
      </c>
      <c r="J124">
        <v>0.60616471357344437</v>
      </c>
      <c r="K124">
        <v>1000</v>
      </c>
      <c r="L124">
        <v>0</v>
      </c>
      <c r="N124">
        <v>17</v>
      </c>
      <c r="O124" s="60" t="s">
        <v>1154</v>
      </c>
      <c r="P124" t="s">
        <v>872</v>
      </c>
      <c r="Q124" t="s">
        <v>877</v>
      </c>
    </row>
    <row r="125" spans="1:17" x14ac:dyDescent="0.25">
      <c r="A125" t="s">
        <v>19</v>
      </c>
      <c r="B125">
        <v>129.29999999999998</v>
      </c>
      <c r="C125">
        <v>82.45</v>
      </c>
      <c r="D125">
        <v>1.7999999999999998</v>
      </c>
      <c r="E125">
        <v>290.7</v>
      </c>
      <c r="F125">
        <v>82.45</v>
      </c>
      <c r="G125">
        <v>1.7999999999999998</v>
      </c>
      <c r="H125">
        <v>1.2</v>
      </c>
      <c r="I125">
        <v>470.20311383399996</v>
      </c>
      <c r="J125">
        <v>72.470359089447655</v>
      </c>
      <c r="K125">
        <v>1500</v>
      </c>
      <c r="L125">
        <v>0</v>
      </c>
      <c r="N125">
        <v>17</v>
      </c>
      <c r="O125" s="60" t="s">
        <v>1155</v>
      </c>
      <c r="P125" t="s">
        <v>913</v>
      </c>
      <c r="Q125" t="s">
        <v>895</v>
      </c>
    </row>
    <row r="126" spans="1:17" x14ac:dyDescent="0.25">
      <c r="A126" t="s">
        <v>19</v>
      </c>
      <c r="B126">
        <v>290.7</v>
      </c>
      <c r="C126">
        <v>82.45</v>
      </c>
      <c r="D126">
        <v>1.7999999999999998</v>
      </c>
      <c r="E126">
        <v>290.7</v>
      </c>
      <c r="F126">
        <v>81.100000000000009</v>
      </c>
      <c r="G126">
        <v>1.7999999999999998</v>
      </c>
      <c r="H126">
        <v>1.2</v>
      </c>
      <c r="I126">
        <v>470.20311383399996</v>
      </c>
      <c r="J126">
        <v>0.60616471357344437</v>
      </c>
      <c r="K126">
        <v>1000</v>
      </c>
      <c r="L126">
        <v>0</v>
      </c>
      <c r="N126">
        <v>17</v>
      </c>
      <c r="O126" s="60" t="s">
        <v>1156</v>
      </c>
      <c r="P126" t="s">
        <v>914</v>
      </c>
      <c r="Q126" t="s">
        <v>886</v>
      </c>
    </row>
    <row r="127" spans="1:17" x14ac:dyDescent="0.25">
      <c r="A127" t="s">
        <v>19</v>
      </c>
      <c r="B127">
        <v>290.7</v>
      </c>
      <c r="C127">
        <v>81.099999999999994</v>
      </c>
      <c r="D127">
        <v>1.7999999999999998</v>
      </c>
      <c r="E127">
        <v>129.29999999999998</v>
      </c>
      <c r="F127">
        <v>81.099999999999994</v>
      </c>
      <c r="G127">
        <v>1.7999999999999998</v>
      </c>
      <c r="H127">
        <v>1.2</v>
      </c>
      <c r="I127">
        <v>470.20311383399996</v>
      </c>
      <c r="J127">
        <v>72.470359089447655</v>
      </c>
      <c r="K127">
        <v>1500</v>
      </c>
      <c r="L127">
        <v>0</v>
      </c>
      <c r="N127">
        <v>17</v>
      </c>
      <c r="O127" s="60" t="s">
        <v>1157</v>
      </c>
      <c r="P127" t="s">
        <v>871</v>
      </c>
      <c r="Q127" t="s">
        <v>894</v>
      </c>
    </row>
    <row r="128" spans="1:17" x14ac:dyDescent="0.25">
      <c r="A128" t="s">
        <v>19</v>
      </c>
      <c r="B128">
        <v>129.29999999999998</v>
      </c>
      <c r="C128">
        <v>81.099999999999994</v>
      </c>
      <c r="D128">
        <v>1.7999999999999998</v>
      </c>
      <c r="E128">
        <v>129.29999999999998</v>
      </c>
      <c r="F128">
        <v>79.75</v>
      </c>
      <c r="G128">
        <v>1.7999999999999998</v>
      </c>
      <c r="H128">
        <v>1.2</v>
      </c>
      <c r="I128">
        <v>470.20311383399996</v>
      </c>
      <c r="J128">
        <v>0.60616471357344437</v>
      </c>
      <c r="K128">
        <v>1000</v>
      </c>
      <c r="L128">
        <v>0</v>
      </c>
      <c r="N128">
        <v>17</v>
      </c>
      <c r="O128" s="60" t="s">
        <v>1158</v>
      </c>
      <c r="P128" t="s">
        <v>872</v>
      </c>
      <c r="Q128" t="s">
        <v>878</v>
      </c>
    </row>
    <row r="129" spans="1:17" x14ac:dyDescent="0.25">
      <c r="A129" t="s">
        <v>19</v>
      </c>
      <c r="B129">
        <v>129.29999999999998</v>
      </c>
      <c r="C129">
        <v>79.75</v>
      </c>
      <c r="D129">
        <v>1.7999999999999998</v>
      </c>
      <c r="E129">
        <v>290.7</v>
      </c>
      <c r="F129">
        <v>79.75</v>
      </c>
      <c r="G129">
        <v>1.7999999999999998</v>
      </c>
      <c r="H129">
        <v>1.2</v>
      </c>
      <c r="I129">
        <v>470.20311383399996</v>
      </c>
      <c r="J129">
        <v>72.470359089447655</v>
      </c>
      <c r="K129">
        <v>1500</v>
      </c>
      <c r="L129">
        <v>0</v>
      </c>
      <c r="N129">
        <v>17</v>
      </c>
      <c r="O129" s="60" t="s">
        <v>1159</v>
      </c>
      <c r="P129" t="s">
        <v>913</v>
      </c>
      <c r="Q129" t="s">
        <v>895</v>
      </c>
    </row>
    <row r="130" spans="1:17" x14ac:dyDescent="0.25">
      <c r="A130" t="s">
        <v>19</v>
      </c>
      <c r="B130">
        <v>290.7</v>
      </c>
      <c r="C130">
        <v>79.75</v>
      </c>
      <c r="D130">
        <v>1.7999999999999998</v>
      </c>
      <c r="E130">
        <v>290.7</v>
      </c>
      <c r="F130">
        <v>78.400000000000006</v>
      </c>
      <c r="G130">
        <v>1.7999999999999998</v>
      </c>
      <c r="H130">
        <v>1.2</v>
      </c>
      <c r="I130">
        <v>470.20311383399996</v>
      </c>
      <c r="J130">
        <v>0.60616471357344437</v>
      </c>
      <c r="K130">
        <v>1000</v>
      </c>
      <c r="L130">
        <v>0</v>
      </c>
      <c r="N130">
        <v>17</v>
      </c>
      <c r="O130" s="60" t="s">
        <v>1160</v>
      </c>
      <c r="P130" t="s">
        <v>914</v>
      </c>
      <c r="Q130" t="s">
        <v>887</v>
      </c>
    </row>
    <row r="131" spans="1:17" x14ac:dyDescent="0.25">
      <c r="A131" t="s">
        <v>19</v>
      </c>
      <c r="B131">
        <v>290.7</v>
      </c>
      <c r="C131">
        <v>78.400000000000006</v>
      </c>
      <c r="D131">
        <v>1.7999999999999998</v>
      </c>
      <c r="E131">
        <v>129.29999999999998</v>
      </c>
      <c r="F131">
        <v>78.400000000000006</v>
      </c>
      <c r="G131">
        <v>1.7999999999999998</v>
      </c>
      <c r="H131">
        <v>1.2</v>
      </c>
      <c r="I131">
        <v>470.20311383399996</v>
      </c>
      <c r="J131">
        <v>72.470359089447655</v>
      </c>
      <c r="K131">
        <v>1500</v>
      </c>
      <c r="L131">
        <v>0</v>
      </c>
      <c r="N131">
        <v>17</v>
      </c>
      <c r="O131" s="60" t="s">
        <v>1161</v>
      </c>
      <c r="P131" t="s">
        <v>871</v>
      </c>
      <c r="Q131" t="s">
        <v>894</v>
      </c>
    </row>
    <row r="132" spans="1:17" x14ac:dyDescent="0.25">
      <c r="A132" t="s">
        <v>19</v>
      </c>
      <c r="B132">
        <v>129.29999999999998</v>
      </c>
      <c r="C132">
        <v>78.400000000000006</v>
      </c>
      <c r="D132">
        <v>1.7999999999999998</v>
      </c>
      <c r="E132">
        <v>129.29999999999998</v>
      </c>
      <c r="F132">
        <v>77.050000000000011</v>
      </c>
      <c r="G132">
        <v>1.7999999999999998</v>
      </c>
      <c r="H132">
        <v>1.2</v>
      </c>
      <c r="I132">
        <v>470.20311383399996</v>
      </c>
      <c r="J132">
        <v>0.60616471357344437</v>
      </c>
      <c r="K132">
        <v>1000</v>
      </c>
      <c r="L132">
        <v>0</v>
      </c>
      <c r="N132">
        <v>17</v>
      </c>
      <c r="O132" s="60" t="s">
        <v>1162</v>
      </c>
      <c r="P132" t="s">
        <v>872</v>
      </c>
      <c r="Q132" t="s">
        <v>879</v>
      </c>
    </row>
    <row r="133" spans="1:17" x14ac:dyDescent="0.25">
      <c r="A133" t="s">
        <v>19</v>
      </c>
      <c r="B133">
        <v>129.29999999999998</v>
      </c>
      <c r="C133">
        <v>77.050000000000011</v>
      </c>
      <c r="D133">
        <v>1.7999999999999998</v>
      </c>
      <c r="E133">
        <v>290.7</v>
      </c>
      <c r="F133">
        <v>77.050000000000011</v>
      </c>
      <c r="G133">
        <v>1.7999999999999998</v>
      </c>
      <c r="H133">
        <v>1.2</v>
      </c>
      <c r="I133">
        <v>470.20311383399996</v>
      </c>
      <c r="J133">
        <v>72.470359089447655</v>
      </c>
      <c r="K133">
        <v>1500</v>
      </c>
      <c r="L133">
        <v>0</v>
      </c>
      <c r="N133">
        <v>17</v>
      </c>
      <c r="O133" s="60" t="s">
        <v>1163</v>
      </c>
      <c r="P133" t="s">
        <v>913</v>
      </c>
      <c r="Q133" t="s">
        <v>895</v>
      </c>
    </row>
    <row r="134" spans="1:17" x14ac:dyDescent="0.25">
      <c r="A134" t="s">
        <v>19</v>
      </c>
      <c r="B134">
        <v>290.7</v>
      </c>
      <c r="C134">
        <v>77.050000000000011</v>
      </c>
      <c r="D134">
        <v>1.7999999999999998</v>
      </c>
      <c r="E134">
        <v>290.7</v>
      </c>
      <c r="F134">
        <v>75.700000000000017</v>
      </c>
      <c r="G134">
        <v>1.7999999999999998</v>
      </c>
      <c r="H134">
        <v>1.2</v>
      </c>
      <c r="I134">
        <v>470.20311383399996</v>
      </c>
      <c r="J134">
        <v>0.60616471357344437</v>
      </c>
      <c r="K134">
        <v>1000</v>
      </c>
      <c r="L134">
        <v>0</v>
      </c>
      <c r="N134">
        <v>17</v>
      </c>
      <c r="O134" s="60" t="s">
        <v>1164</v>
      </c>
      <c r="P134" t="s">
        <v>914</v>
      </c>
      <c r="Q134" t="s">
        <v>888</v>
      </c>
    </row>
    <row r="135" spans="1:17" x14ac:dyDescent="0.25">
      <c r="A135" t="s">
        <v>39</v>
      </c>
      <c r="B135">
        <v>0</v>
      </c>
      <c r="C135">
        <v>0</v>
      </c>
      <c r="N135">
        <v>18</v>
      </c>
      <c r="O135" s="60" t="s">
        <v>719</v>
      </c>
      <c r="P135" t="s">
        <v>1046</v>
      </c>
      <c r="Q135" t="s">
        <v>897</v>
      </c>
    </row>
    <row r="136" spans="1:17" x14ac:dyDescent="0.25">
      <c r="A136" t="s">
        <v>898</v>
      </c>
      <c r="B136">
        <v>0.9</v>
      </c>
      <c r="C136">
        <v>10000</v>
      </c>
      <c r="N136">
        <v>18</v>
      </c>
      <c r="O136" s="60" t="s">
        <v>719</v>
      </c>
      <c r="P136" t="s">
        <v>1046</v>
      </c>
      <c r="Q136" t="s">
        <v>1165</v>
      </c>
    </row>
    <row r="137" spans="1:17" x14ac:dyDescent="0.25">
      <c r="A137" t="s">
        <v>23</v>
      </c>
      <c r="B137">
        <v>290.7</v>
      </c>
      <c r="C137">
        <v>75.700000000000017</v>
      </c>
      <c r="D137">
        <v>1.7999999999999998</v>
      </c>
      <c r="E137">
        <v>290.7</v>
      </c>
      <c r="F137">
        <v>75.700000000000017</v>
      </c>
      <c r="G137">
        <v>2.6999999999999997</v>
      </c>
      <c r="H137">
        <v>0</v>
      </c>
      <c r="I137">
        <v>0</v>
      </c>
      <c r="K137">
        <v>3000</v>
      </c>
      <c r="N137">
        <v>0</v>
      </c>
      <c r="O137" s="60">
        <v>0</v>
      </c>
      <c r="P137" t="s">
        <v>659</v>
      </c>
      <c r="Q137" t="s">
        <v>890</v>
      </c>
    </row>
    <row r="138" spans="1:17" x14ac:dyDescent="0.25">
      <c r="A138" t="s">
        <v>19</v>
      </c>
      <c r="B138">
        <v>290.7</v>
      </c>
      <c r="C138">
        <v>75.700000000000017</v>
      </c>
      <c r="D138">
        <v>2.6999999999999997</v>
      </c>
      <c r="E138">
        <v>290.7</v>
      </c>
      <c r="F138">
        <v>100.00000000000001</v>
      </c>
      <c r="G138">
        <v>2.6999999999999997</v>
      </c>
      <c r="H138">
        <v>1.2</v>
      </c>
      <c r="I138">
        <v>470.20311383399996</v>
      </c>
      <c r="J138">
        <v>10.910964844322043</v>
      </c>
      <c r="K138">
        <v>1250</v>
      </c>
      <c r="L138">
        <v>0</v>
      </c>
      <c r="N138">
        <v>19</v>
      </c>
      <c r="O138" s="60" t="s">
        <v>777</v>
      </c>
      <c r="P138" t="s">
        <v>712</v>
      </c>
      <c r="Q138" t="s">
        <v>925</v>
      </c>
    </row>
    <row r="139" spans="1:17" x14ac:dyDescent="0.25">
      <c r="A139" t="s">
        <v>19</v>
      </c>
      <c r="B139">
        <v>290.7</v>
      </c>
      <c r="C139">
        <v>100.00000000000001</v>
      </c>
      <c r="D139">
        <v>2.6999999999999997</v>
      </c>
      <c r="E139">
        <v>289.34999999999997</v>
      </c>
      <c r="F139">
        <v>100.00000000000001</v>
      </c>
      <c r="G139">
        <v>2.6999999999999997</v>
      </c>
      <c r="H139">
        <v>1.2</v>
      </c>
      <c r="I139">
        <v>470.20311383399996</v>
      </c>
      <c r="J139">
        <v>0.60616471357345714</v>
      </c>
      <c r="K139">
        <v>1000</v>
      </c>
      <c r="L139">
        <v>0</v>
      </c>
      <c r="N139">
        <v>20</v>
      </c>
      <c r="O139" s="60" t="s">
        <v>792</v>
      </c>
      <c r="P139" t="s">
        <v>713</v>
      </c>
      <c r="Q139" t="s">
        <v>926</v>
      </c>
    </row>
    <row r="140" spans="1:17" x14ac:dyDescent="0.25">
      <c r="A140" t="s">
        <v>19</v>
      </c>
      <c r="B140">
        <v>289.34999999999997</v>
      </c>
      <c r="C140">
        <v>100.00000000000001</v>
      </c>
      <c r="D140">
        <v>2.6999999999999997</v>
      </c>
      <c r="E140">
        <v>289.34999999999997</v>
      </c>
      <c r="F140">
        <v>75.700000000000017</v>
      </c>
      <c r="G140">
        <v>2.6999999999999997</v>
      </c>
      <c r="H140">
        <v>1.2</v>
      </c>
      <c r="I140">
        <v>470.20311383399996</v>
      </c>
      <c r="J140">
        <v>10.910964844322043</v>
      </c>
      <c r="K140">
        <v>1250</v>
      </c>
      <c r="L140">
        <v>0</v>
      </c>
      <c r="N140">
        <v>21</v>
      </c>
      <c r="O140" s="60" t="s">
        <v>1045</v>
      </c>
      <c r="P140" t="s">
        <v>715</v>
      </c>
      <c r="Q140" t="s">
        <v>927</v>
      </c>
    </row>
    <row r="141" spans="1:17" x14ac:dyDescent="0.25">
      <c r="A141" t="s">
        <v>19</v>
      </c>
      <c r="B141">
        <v>289.34999999999997</v>
      </c>
      <c r="C141">
        <v>75.700000000000017</v>
      </c>
      <c r="D141">
        <v>2.6999999999999997</v>
      </c>
      <c r="E141">
        <v>287.99999999999994</v>
      </c>
      <c r="F141">
        <v>75.700000000000017</v>
      </c>
      <c r="G141">
        <v>2.6999999999999997</v>
      </c>
      <c r="H141">
        <v>1.2</v>
      </c>
      <c r="I141">
        <v>470.20311383399996</v>
      </c>
      <c r="J141">
        <v>0.60616471357345714</v>
      </c>
      <c r="K141">
        <v>1000</v>
      </c>
      <c r="L141">
        <v>0</v>
      </c>
      <c r="N141">
        <v>22</v>
      </c>
      <c r="O141" s="60" t="s">
        <v>794</v>
      </c>
      <c r="P141" t="s">
        <v>717</v>
      </c>
      <c r="Q141" t="s">
        <v>928</v>
      </c>
    </row>
    <row r="142" spans="1:17" x14ac:dyDescent="0.25">
      <c r="A142" t="s">
        <v>19</v>
      </c>
      <c r="B142">
        <v>288</v>
      </c>
      <c r="C142">
        <v>75.700000000000017</v>
      </c>
      <c r="D142">
        <v>2.6999999999999997</v>
      </c>
      <c r="E142">
        <v>288</v>
      </c>
      <c r="F142">
        <v>100.00000000000001</v>
      </c>
      <c r="G142">
        <v>2.6999999999999997</v>
      </c>
      <c r="H142">
        <v>1.2</v>
      </c>
      <c r="I142">
        <v>470.20311383399996</v>
      </c>
      <c r="J142">
        <v>10.910964844322043</v>
      </c>
      <c r="K142">
        <v>1250</v>
      </c>
      <c r="L142">
        <v>0</v>
      </c>
      <c r="N142">
        <v>23</v>
      </c>
      <c r="O142" s="60" t="s">
        <v>1166</v>
      </c>
      <c r="P142" t="s">
        <v>900</v>
      </c>
      <c r="Q142" t="s">
        <v>925</v>
      </c>
    </row>
    <row r="143" spans="1:17" x14ac:dyDescent="0.25">
      <c r="A143" t="s">
        <v>19</v>
      </c>
      <c r="B143">
        <v>288</v>
      </c>
      <c r="C143">
        <v>100.00000000000001</v>
      </c>
      <c r="D143">
        <v>2.6999999999999997</v>
      </c>
      <c r="E143">
        <v>286.64999999999998</v>
      </c>
      <c r="F143">
        <v>100.00000000000001</v>
      </c>
      <c r="G143">
        <v>2.6999999999999997</v>
      </c>
      <c r="H143">
        <v>1.2</v>
      </c>
      <c r="I143">
        <v>470.20311383399996</v>
      </c>
      <c r="J143">
        <v>0.60616471357345714</v>
      </c>
      <c r="K143">
        <v>1000</v>
      </c>
      <c r="L143">
        <v>0</v>
      </c>
      <c r="N143">
        <v>23</v>
      </c>
      <c r="O143" s="60" t="s">
        <v>1167</v>
      </c>
      <c r="P143" t="s">
        <v>901</v>
      </c>
      <c r="Q143" t="s">
        <v>929</v>
      </c>
    </row>
    <row r="144" spans="1:17" x14ac:dyDescent="0.25">
      <c r="A144" t="s">
        <v>19</v>
      </c>
      <c r="B144">
        <v>286.64999999999998</v>
      </c>
      <c r="C144">
        <v>100.00000000000001</v>
      </c>
      <c r="D144">
        <v>2.6999999999999997</v>
      </c>
      <c r="E144">
        <v>286.64999999999998</v>
      </c>
      <c r="F144">
        <v>75.700000000000017</v>
      </c>
      <c r="G144">
        <v>2.6999999999999997</v>
      </c>
      <c r="H144">
        <v>1.2</v>
      </c>
      <c r="I144">
        <v>470.20311383399996</v>
      </c>
      <c r="J144">
        <v>10.910964844322043</v>
      </c>
      <c r="K144">
        <v>1250</v>
      </c>
      <c r="L144">
        <v>0</v>
      </c>
      <c r="N144">
        <v>23</v>
      </c>
      <c r="O144" s="60" t="s">
        <v>1168</v>
      </c>
      <c r="P144" t="s">
        <v>923</v>
      </c>
      <c r="Q144" t="s">
        <v>927</v>
      </c>
    </row>
    <row r="145" spans="1:17" x14ac:dyDescent="0.25">
      <c r="A145" t="s">
        <v>19</v>
      </c>
      <c r="B145">
        <v>286.64999999999998</v>
      </c>
      <c r="C145">
        <v>75.700000000000017</v>
      </c>
      <c r="D145">
        <v>2.6999999999999997</v>
      </c>
      <c r="E145">
        <v>285.29999999999995</v>
      </c>
      <c r="F145">
        <v>75.700000000000017</v>
      </c>
      <c r="G145">
        <v>2.6999999999999997</v>
      </c>
      <c r="H145">
        <v>1.2</v>
      </c>
      <c r="I145">
        <v>470.20311383399996</v>
      </c>
      <c r="J145">
        <v>0.60616471357345714</v>
      </c>
      <c r="K145">
        <v>1000</v>
      </c>
      <c r="L145">
        <v>0</v>
      </c>
      <c r="N145">
        <v>23</v>
      </c>
      <c r="O145" s="60" t="s">
        <v>1169</v>
      </c>
      <c r="P145" t="s">
        <v>924</v>
      </c>
      <c r="Q145" t="s">
        <v>930</v>
      </c>
    </row>
    <row r="146" spans="1:17" x14ac:dyDescent="0.25">
      <c r="A146" t="s">
        <v>19</v>
      </c>
      <c r="B146">
        <v>285.3</v>
      </c>
      <c r="C146">
        <v>75.700000000000017</v>
      </c>
      <c r="D146">
        <v>2.6999999999999997</v>
      </c>
      <c r="E146">
        <v>285.3</v>
      </c>
      <c r="F146">
        <v>100.00000000000001</v>
      </c>
      <c r="G146">
        <v>2.6999999999999997</v>
      </c>
      <c r="H146">
        <v>1.2</v>
      </c>
      <c r="I146">
        <v>470.20311383399996</v>
      </c>
      <c r="J146">
        <v>10.910964844322043</v>
      </c>
      <c r="K146">
        <v>1250</v>
      </c>
      <c r="L146">
        <v>0</v>
      </c>
      <c r="N146">
        <v>23</v>
      </c>
      <c r="O146" s="60" t="s">
        <v>1170</v>
      </c>
      <c r="P146" t="s">
        <v>900</v>
      </c>
      <c r="Q146" t="s">
        <v>925</v>
      </c>
    </row>
    <row r="147" spans="1:17" x14ac:dyDescent="0.25">
      <c r="A147" t="s">
        <v>19</v>
      </c>
      <c r="B147">
        <v>285.3</v>
      </c>
      <c r="C147">
        <v>100.00000000000001</v>
      </c>
      <c r="D147">
        <v>2.6999999999999997</v>
      </c>
      <c r="E147">
        <v>283.95</v>
      </c>
      <c r="F147">
        <v>100.00000000000001</v>
      </c>
      <c r="G147">
        <v>2.6999999999999997</v>
      </c>
      <c r="H147">
        <v>1.2</v>
      </c>
      <c r="I147">
        <v>470.20311383399996</v>
      </c>
      <c r="J147">
        <v>0.60616471357345714</v>
      </c>
      <c r="K147">
        <v>1000</v>
      </c>
      <c r="L147">
        <v>0</v>
      </c>
      <c r="N147">
        <v>23</v>
      </c>
      <c r="O147" s="60" t="s">
        <v>1171</v>
      </c>
      <c r="P147" t="s">
        <v>901</v>
      </c>
      <c r="Q147" t="s">
        <v>931</v>
      </c>
    </row>
    <row r="148" spans="1:17" x14ac:dyDescent="0.25">
      <c r="A148" t="s">
        <v>19</v>
      </c>
      <c r="B148">
        <v>283.95</v>
      </c>
      <c r="C148">
        <v>100.00000000000001</v>
      </c>
      <c r="D148">
        <v>2.6999999999999997</v>
      </c>
      <c r="E148">
        <v>283.95</v>
      </c>
      <c r="F148">
        <v>75.700000000000017</v>
      </c>
      <c r="G148">
        <v>2.6999999999999997</v>
      </c>
      <c r="H148">
        <v>1.2</v>
      </c>
      <c r="I148">
        <v>470.20311383399996</v>
      </c>
      <c r="J148">
        <v>10.910964844322043</v>
      </c>
      <c r="K148">
        <v>1250</v>
      </c>
      <c r="L148">
        <v>0</v>
      </c>
      <c r="N148">
        <v>23</v>
      </c>
      <c r="O148" s="60" t="s">
        <v>1172</v>
      </c>
      <c r="P148" t="s">
        <v>923</v>
      </c>
      <c r="Q148" t="s">
        <v>927</v>
      </c>
    </row>
    <row r="149" spans="1:17" x14ac:dyDescent="0.25">
      <c r="A149" t="s">
        <v>19</v>
      </c>
      <c r="B149">
        <v>283.95</v>
      </c>
      <c r="C149">
        <v>75.700000000000017</v>
      </c>
      <c r="D149">
        <v>2.6999999999999997</v>
      </c>
      <c r="E149">
        <v>282.59999999999997</v>
      </c>
      <c r="F149">
        <v>75.700000000000017</v>
      </c>
      <c r="G149">
        <v>2.6999999999999997</v>
      </c>
      <c r="H149">
        <v>1.2</v>
      </c>
      <c r="I149">
        <v>470.20311383399996</v>
      </c>
      <c r="J149">
        <v>0.60616471357345714</v>
      </c>
      <c r="K149">
        <v>1000</v>
      </c>
      <c r="L149">
        <v>0</v>
      </c>
      <c r="N149">
        <v>23</v>
      </c>
      <c r="O149" s="60" t="s">
        <v>1173</v>
      </c>
      <c r="P149" t="s">
        <v>924</v>
      </c>
      <c r="Q149" t="s">
        <v>932</v>
      </c>
    </row>
    <row r="150" spans="1:17" x14ac:dyDescent="0.25">
      <c r="A150" t="s">
        <v>19</v>
      </c>
      <c r="B150">
        <v>282.59999999999997</v>
      </c>
      <c r="C150">
        <v>75.700000000000017</v>
      </c>
      <c r="D150">
        <v>2.6999999999999997</v>
      </c>
      <c r="E150">
        <v>282.59999999999997</v>
      </c>
      <c r="F150">
        <v>100.00000000000001</v>
      </c>
      <c r="G150">
        <v>2.6999999999999997</v>
      </c>
      <c r="H150">
        <v>1.2</v>
      </c>
      <c r="I150">
        <v>470.20311383399996</v>
      </c>
      <c r="J150">
        <v>10.910964844322043</v>
      </c>
      <c r="K150">
        <v>1250</v>
      </c>
      <c r="L150">
        <v>0</v>
      </c>
      <c r="N150">
        <v>23</v>
      </c>
      <c r="O150" s="60" t="s">
        <v>1174</v>
      </c>
      <c r="P150" t="s">
        <v>900</v>
      </c>
      <c r="Q150" t="s">
        <v>925</v>
      </c>
    </row>
    <row r="151" spans="1:17" x14ac:dyDescent="0.25">
      <c r="A151" t="s">
        <v>19</v>
      </c>
      <c r="B151">
        <v>282.59999999999997</v>
      </c>
      <c r="C151">
        <v>100.00000000000001</v>
      </c>
      <c r="D151">
        <v>2.6999999999999997</v>
      </c>
      <c r="E151">
        <v>281.24999999999994</v>
      </c>
      <c r="F151">
        <v>100.00000000000001</v>
      </c>
      <c r="G151">
        <v>2.6999999999999997</v>
      </c>
      <c r="H151">
        <v>1.2</v>
      </c>
      <c r="I151">
        <v>470.20311383399996</v>
      </c>
      <c r="J151">
        <v>0.60616471357345714</v>
      </c>
      <c r="K151">
        <v>1000</v>
      </c>
      <c r="L151">
        <v>0</v>
      </c>
      <c r="N151">
        <v>23</v>
      </c>
      <c r="O151" s="60" t="s">
        <v>1175</v>
      </c>
      <c r="P151" t="s">
        <v>901</v>
      </c>
      <c r="Q151" t="s">
        <v>933</v>
      </c>
    </row>
    <row r="152" spans="1:17" x14ac:dyDescent="0.25">
      <c r="A152" t="s">
        <v>19</v>
      </c>
      <c r="B152">
        <v>281.24999999999994</v>
      </c>
      <c r="C152">
        <v>100.00000000000001</v>
      </c>
      <c r="D152">
        <v>2.6999999999999997</v>
      </c>
      <c r="E152">
        <v>281.24999999999994</v>
      </c>
      <c r="F152">
        <v>75.700000000000017</v>
      </c>
      <c r="G152">
        <v>2.6999999999999997</v>
      </c>
      <c r="H152">
        <v>1.2</v>
      </c>
      <c r="I152">
        <v>470.20311383399996</v>
      </c>
      <c r="J152">
        <v>10.910964844322043</v>
      </c>
      <c r="K152">
        <v>1250</v>
      </c>
      <c r="L152">
        <v>0</v>
      </c>
      <c r="N152">
        <v>23</v>
      </c>
      <c r="O152" s="60" t="s">
        <v>1176</v>
      </c>
      <c r="P152" t="s">
        <v>923</v>
      </c>
      <c r="Q152" t="s">
        <v>927</v>
      </c>
    </row>
    <row r="153" spans="1:17" x14ac:dyDescent="0.25">
      <c r="A153" t="s">
        <v>19</v>
      </c>
      <c r="B153">
        <v>281.24999999999994</v>
      </c>
      <c r="C153">
        <v>75.700000000000017</v>
      </c>
      <c r="D153">
        <v>2.6999999999999997</v>
      </c>
      <c r="E153">
        <v>279.89999999999992</v>
      </c>
      <c r="F153">
        <v>75.700000000000017</v>
      </c>
      <c r="G153">
        <v>2.6999999999999997</v>
      </c>
      <c r="H153">
        <v>1.2</v>
      </c>
      <c r="I153">
        <v>470.20311383399996</v>
      </c>
      <c r="J153">
        <v>0.60616471357345714</v>
      </c>
      <c r="K153">
        <v>1000</v>
      </c>
      <c r="L153">
        <v>0</v>
      </c>
      <c r="N153">
        <v>23</v>
      </c>
      <c r="O153" s="60" t="s">
        <v>1177</v>
      </c>
      <c r="P153" t="s">
        <v>924</v>
      </c>
      <c r="Q153" t="s">
        <v>934</v>
      </c>
    </row>
    <row r="154" spans="1:17" x14ac:dyDescent="0.25">
      <c r="A154" t="s">
        <v>19</v>
      </c>
      <c r="B154">
        <v>279.89999999999998</v>
      </c>
      <c r="C154">
        <v>75.700000000000017</v>
      </c>
      <c r="D154">
        <v>2.6999999999999997</v>
      </c>
      <c r="E154">
        <v>279.89999999999998</v>
      </c>
      <c r="F154">
        <v>100.00000000000001</v>
      </c>
      <c r="G154">
        <v>2.6999999999999997</v>
      </c>
      <c r="H154">
        <v>1.2</v>
      </c>
      <c r="I154">
        <v>470.20311383399996</v>
      </c>
      <c r="J154">
        <v>10.910964844322043</v>
      </c>
      <c r="K154">
        <v>1250</v>
      </c>
      <c r="L154">
        <v>0</v>
      </c>
      <c r="N154">
        <v>23</v>
      </c>
      <c r="O154" s="60" t="s">
        <v>1178</v>
      </c>
      <c r="P154" t="s">
        <v>900</v>
      </c>
      <c r="Q154" t="s">
        <v>925</v>
      </c>
    </row>
    <row r="155" spans="1:17" x14ac:dyDescent="0.25">
      <c r="A155" t="s">
        <v>19</v>
      </c>
      <c r="B155">
        <v>279.89999999999998</v>
      </c>
      <c r="C155">
        <v>100.00000000000001</v>
      </c>
      <c r="D155">
        <v>2.6999999999999997</v>
      </c>
      <c r="E155">
        <v>278.54999999999995</v>
      </c>
      <c r="F155">
        <v>100.00000000000001</v>
      </c>
      <c r="G155">
        <v>2.6999999999999997</v>
      </c>
      <c r="H155">
        <v>1.2</v>
      </c>
      <c r="I155">
        <v>470.20311383399996</v>
      </c>
      <c r="J155">
        <v>0.60616471357345714</v>
      </c>
      <c r="K155">
        <v>1000</v>
      </c>
      <c r="L155">
        <v>0</v>
      </c>
      <c r="N155">
        <v>23</v>
      </c>
      <c r="O155" s="60" t="s">
        <v>1179</v>
      </c>
      <c r="P155" t="s">
        <v>901</v>
      </c>
      <c r="Q155" t="s">
        <v>935</v>
      </c>
    </row>
    <row r="156" spans="1:17" x14ac:dyDescent="0.25">
      <c r="A156" t="s">
        <v>19</v>
      </c>
      <c r="B156">
        <v>278.54999999999995</v>
      </c>
      <c r="C156">
        <v>100.00000000000001</v>
      </c>
      <c r="D156">
        <v>2.6999999999999997</v>
      </c>
      <c r="E156">
        <v>278.54999999999995</v>
      </c>
      <c r="F156">
        <v>75.700000000000017</v>
      </c>
      <c r="G156">
        <v>2.6999999999999997</v>
      </c>
      <c r="H156">
        <v>1.2</v>
      </c>
      <c r="I156">
        <v>470.20311383399996</v>
      </c>
      <c r="J156">
        <v>10.910964844322043</v>
      </c>
      <c r="K156">
        <v>1250</v>
      </c>
      <c r="L156">
        <v>0</v>
      </c>
      <c r="N156">
        <v>23</v>
      </c>
      <c r="O156" s="60" t="s">
        <v>1180</v>
      </c>
      <c r="P156" t="s">
        <v>923</v>
      </c>
      <c r="Q156" t="s">
        <v>927</v>
      </c>
    </row>
    <row r="157" spans="1:17" x14ac:dyDescent="0.25">
      <c r="A157" t="s">
        <v>19</v>
      </c>
      <c r="B157">
        <v>278.54999999999995</v>
      </c>
      <c r="C157">
        <v>75.700000000000017</v>
      </c>
      <c r="D157">
        <v>2.6999999999999997</v>
      </c>
      <c r="E157">
        <v>277.19999999999993</v>
      </c>
      <c r="F157">
        <v>75.700000000000017</v>
      </c>
      <c r="G157">
        <v>2.6999999999999997</v>
      </c>
      <c r="H157">
        <v>1.2</v>
      </c>
      <c r="I157">
        <v>470.20311383399996</v>
      </c>
      <c r="J157">
        <v>0.60616471357345714</v>
      </c>
      <c r="K157">
        <v>1000</v>
      </c>
      <c r="L157">
        <v>0</v>
      </c>
      <c r="N157">
        <v>23</v>
      </c>
      <c r="O157" s="60" t="s">
        <v>1181</v>
      </c>
      <c r="P157" t="s">
        <v>924</v>
      </c>
      <c r="Q157" t="s">
        <v>936</v>
      </c>
    </row>
    <row r="158" spans="1:17" x14ac:dyDescent="0.25">
      <c r="A158" t="s">
        <v>19</v>
      </c>
      <c r="B158">
        <v>277.2</v>
      </c>
      <c r="C158">
        <v>75.700000000000017</v>
      </c>
      <c r="D158">
        <v>2.6999999999999997</v>
      </c>
      <c r="E158">
        <v>277.2</v>
      </c>
      <c r="F158">
        <v>100.00000000000001</v>
      </c>
      <c r="G158">
        <v>2.6999999999999997</v>
      </c>
      <c r="H158">
        <v>1.2</v>
      </c>
      <c r="I158">
        <v>470.20311383399996</v>
      </c>
      <c r="J158">
        <v>10.910964844322043</v>
      </c>
      <c r="K158">
        <v>1250</v>
      </c>
      <c r="L158">
        <v>0</v>
      </c>
      <c r="N158">
        <v>23</v>
      </c>
      <c r="O158" s="60" t="s">
        <v>1182</v>
      </c>
      <c r="P158" t="s">
        <v>900</v>
      </c>
      <c r="Q158" t="s">
        <v>925</v>
      </c>
    </row>
    <row r="159" spans="1:17" x14ac:dyDescent="0.25">
      <c r="A159" t="s">
        <v>19</v>
      </c>
      <c r="B159">
        <v>277.2</v>
      </c>
      <c r="C159">
        <v>100.00000000000001</v>
      </c>
      <c r="D159">
        <v>2.6999999999999997</v>
      </c>
      <c r="E159">
        <v>275.84999999999997</v>
      </c>
      <c r="F159">
        <v>100.00000000000001</v>
      </c>
      <c r="G159">
        <v>2.6999999999999997</v>
      </c>
      <c r="H159">
        <v>1.2</v>
      </c>
      <c r="I159">
        <v>470.20311383399996</v>
      </c>
      <c r="J159">
        <v>0.60616471357345714</v>
      </c>
      <c r="K159">
        <v>1000</v>
      </c>
      <c r="L159">
        <v>0</v>
      </c>
      <c r="N159">
        <v>23</v>
      </c>
      <c r="O159" s="60" t="s">
        <v>1183</v>
      </c>
      <c r="P159" t="s">
        <v>901</v>
      </c>
      <c r="Q159" t="s">
        <v>937</v>
      </c>
    </row>
    <row r="160" spans="1:17" x14ac:dyDescent="0.25">
      <c r="A160" t="s">
        <v>19</v>
      </c>
      <c r="B160">
        <v>275.84999999999997</v>
      </c>
      <c r="C160">
        <v>100.00000000000001</v>
      </c>
      <c r="D160">
        <v>2.6999999999999997</v>
      </c>
      <c r="E160">
        <v>275.84999999999997</v>
      </c>
      <c r="F160">
        <v>75.700000000000017</v>
      </c>
      <c r="G160">
        <v>2.6999999999999997</v>
      </c>
      <c r="H160">
        <v>1.2</v>
      </c>
      <c r="I160">
        <v>470.20311383399996</v>
      </c>
      <c r="J160">
        <v>10.910964844322043</v>
      </c>
      <c r="K160">
        <v>1250</v>
      </c>
      <c r="L160">
        <v>0</v>
      </c>
      <c r="N160">
        <v>23</v>
      </c>
      <c r="O160" s="60" t="s">
        <v>1184</v>
      </c>
      <c r="P160" t="s">
        <v>923</v>
      </c>
      <c r="Q160" t="s">
        <v>927</v>
      </c>
    </row>
    <row r="161" spans="1:17" x14ac:dyDescent="0.25">
      <c r="A161" t="s">
        <v>19</v>
      </c>
      <c r="B161">
        <v>275.84999999999997</v>
      </c>
      <c r="C161">
        <v>75.700000000000017</v>
      </c>
      <c r="D161">
        <v>2.6999999999999997</v>
      </c>
      <c r="E161">
        <v>274.49999999999994</v>
      </c>
      <c r="F161">
        <v>75.700000000000017</v>
      </c>
      <c r="G161">
        <v>2.6999999999999997</v>
      </c>
      <c r="H161">
        <v>1.2</v>
      </c>
      <c r="I161">
        <v>470.20311383399996</v>
      </c>
      <c r="J161">
        <v>0.60616471357345714</v>
      </c>
      <c r="K161">
        <v>1000</v>
      </c>
      <c r="L161">
        <v>0</v>
      </c>
      <c r="N161">
        <v>23</v>
      </c>
      <c r="O161" s="60" t="s">
        <v>1185</v>
      </c>
      <c r="P161" t="s">
        <v>924</v>
      </c>
      <c r="Q161" t="s">
        <v>938</v>
      </c>
    </row>
    <row r="162" spans="1:17" x14ac:dyDescent="0.25">
      <c r="A162" t="s">
        <v>19</v>
      </c>
      <c r="B162">
        <v>274.5</v>
      </c>
      <c r="C162">
        <v>75.700000000000017</v>
      </c>
      <c r="D162">
        <v>2.6999999999999997</v>
      </c>
      <c r="E162">
        <v>274.5</v>
      </c>
      <c r="F162">
        <v>100.00000000000001</v>
      </c>
      <c r="G162">
        <v>2.6999999999999997</v>
      </c>
      <c r="H162">
        <v>1.2</v>
      </c>
      <c r="I162">
        <v>470.20311383399996</v>
      </c>
      <c r="J162">
        <v>10.910964844322043</v>
      </c>
      <c r="K162">
        <v>1250</v>
      </c>
      <c r="L162">
        <v>0</v>
      </c>
      <c r="N162">
        <v>23</v>
      </c>
      <c r="O162" s="60" t="s">
        <v>1186</v>
      </c>
      <c r="P162" t="s">
        <v>900</v>
      </c>
      <c r="Q162" t="s">
        <v>925</v>
      </c>
    </row>
    <row r="163" spans="1:17" x14ac:dyDescent="0.25">
      <c r="A163" t="s">
        <v>19</v>
      </c>
      <c r="B163">
        <v>274.5</v>
      </c>
      <c r="C163">
        <v>100.00000000000001</v>
      </c>
      <c r="D163">
        <v>2.6999999999999997</v>
      </c>
      <c r="E163">
        <v>273.14999999999998</v>
      </c>
      <c r="F163">
        <v>100.00000000000001</v>
      </c>
      <c r="G163">
        <v>2.6999999999999997</v>
      </c>
      <c r="H163">
        <v>1.2</v>
      </c>
      <c r="I163">
        <v>470.20311383399996</v>
      </c>
      <c r="J163">
        <v>0.60616471357345714</v>
      </c>
      <c r="K163">
        <v>1000</v>
      </c>
      <c r="L163">
        <v>0</v>
      </c>
      <c r="N163">
        <v>23</v>
      </c>
      <c r="O163" s="60" t="s">
        <v>1187</v>
      </c>
      <c r="P163" t="s">
        <v>901</v>
      </c>
      <c r="Q163" t="s">
        <v>939</v>
      </c>
    </row>
    <row r="164" spans="1:17" x14ac:dyDescent="0.25">
      <c r="A164" t="s">
        <v>19</v>
      </c>
      <c r="B164">
        <v>273.14999999999998</v>
      </c>
      <c r="C164">
        <v>100.00000000000001</v>
      </c>
      <c r="D164">
        <v>2.6999999999999997</v>
      </c>
      <c r="E164">
        <v>273.14999999999998</v>
      </c>
      <c r="F164">
        <v>75.700000000000017</v>
      </c>
      <c r="G164">
        <v>2.6999999999999997</v>
      </c>
      <c r="H164">
        <v>1.2</v>
      </c>
      <c r="I164">
        <v>470.20311383399996</v>
      </c>
      <c r="J164">
        <v>10.910964844322043</v>
      </c>
      <c r="K164">
        <v>1250</v>
      </c>
      <c r="L164">
        <v>0</v>
      </c>
      <c r="N164">
        <v>23</v>
      </c>
      <c r="O164" s="60" t="s">
        <v>1188</v>
      </c>
      <c r="P164" t="s">
        <v>923</v>
      </c>
      <c r="Q164" t="s">
        <v>927</v>
      </c>
    </row>
    <row r="165" spans="1:17" x14ac:dyDescent="0.25">
      <c r="A165" t="s">
        <v>19</v>
      </c>
      <c r="B165">
        <v>273.14999999999998</v>
      </c>
      <c r="C165">
        <v>75.700000000000017</v>
      </c>
      <c r="D165">
        <v>2.6999999999999997</v>
      </c>
      <c r="E165">
        <v>271.79999999999995</v>
      </c>
      <c r="F165">
        <v>75.700000000000017</v>
      </c>
      <c r="G165">
        <v>2.6999999999999997</v>
      </c>
      <c r="H165">
        <v>1.2</v>
      </c>
      <c r="I165">
        <v>470.20311383399996</v>
      </c>
      <c r="J165">
        <v>0.60616471357345714</v>
      </c>
      <c r="K165">
        <v>1000</v>
      </c>
      <c r="L165">
        <v>0</v>
      </c>
      <c r="N165">
        <v>23</v>
      </c>
      <c r="O165" s="60" t="s">
        <v>1189</v>
      </c>
      <c r="P165" t="s">
        <v>924</v>
      </c>
      <c r="Q165" t="s">
        <v>940</v>
      </c>
    </row>
    <row r="166" spans="1:17" x14ac:dyDescent="0.25">
      <c r="A166" t="s">
        <v>19</v>
      </c>
      <c r="B166">
        <v>271.8</v>
      </c>
      <c r="C166">
        <v>75.700000000000017</v>
      </c>
      <c r="D166">
        <v>2.6999999999999997</v>
      </c>
      <c r="E166">
        <v>271.8</v>
      </c>
      <c r="F166">
        <v>100.00000000000001</v>
      </c>
      <c r="G166">
        <v>2.6999999999999997</v>
      </c>
      <c r="H166">
        <v>1.2</v>
      </c>
      <c r="I166">
        <v>470.20311383399996</v>
      </c>
      <c r="J166">
        <v>10.910964844322043</v>
      </c>
      <c r="K166">
        <v>1250</v>
      </c>
      <c r="L166">
        <v>0</v>
      </c>
      <c r="N166">
        <v>23</v>
      </c>
      <c r="O166" s="60" t="s">
        <v>1190</v>
      </c>
      <c r="P166" t="s">
        <v>900</v>
      </c>
      <c r="Q166" t="s">
        <v>925</v>
      </c>
    </row>
    <row r="167" spans="1:17" x14ac:dyDescent="0.25">
      <c r="A167" t="s">
        <v>19</v>
      </c>
      <c r="B167">
        <v>271.8</v>
      </c>
      <c r="C167">
        <v>100.00000000000001</v>
      </c>
      <c r="D167">
        <v>2.6999999999999997</v>
      </c>
      <c r="E167">
        <v>270.45</v>
      </c>
      <c r="F167">
        <v>100.00000000000001</v>
      </c>
      <c r="G167">
        <v>2.6999999999999997</v>
      </c>
      <c r="H167">
        <v>1.2</v>
      </c>
      <c r="I167">
        <v>470.20311383399996</v>
      </c>
      <c r="J167">
        <v>0.60616471357345714</v>
      </c>
      <c r="K167">
        <v>1000</v>
      </c>
      <c r="L167">
        <v>0</v>
      </c>
      <c r="N167">
        <v>23</v>
      </c>
      <c r="O167" s="60" t="s">
        <v>1191</v>
      </c>
      <c r="P167" t="s">
        <v>901</v>
      </c>
      <c r="Q167" t="s">
        <v>941</v>
      </c>
    </row>
    <row r="168" spans="1:17" x14ac:dyDescent="0.25">
      <c r="A168" t="s">
        <v>19</v>
      </c>
      <c r="B168">
        <v>270.45</v>
      </c>
      <c r="C168">
        <v>100.00000000000001</v>
      </c>
      <c r="D168">
        <v>2.6999999999999997</v>
      </c>
      <c r="E168">
        <v>270.45</v>
      </c>
      <c r="F168">
        <v>75.700000000000017</v>
      </c>
      <c r="G168">
        <v>2.6999999999999997</v>
      </c>
      <c r="H168">
        <v>1.2</v>
      </c>
      <c r="I168">
        <v>470.20311383399996</v>
      </c>
      <c r="J168">
        <v>10.910964844322043</v>
      </c>
      <c r="K168">
        <v>1250</v>
      </c>
      <c r="L168">
        <v>0</v>
      </c>
      <c r="N168">
        <v>23</v>
      </c>
      <c r="O168" s="60" t="s">
        <v>1192</v>
      </c>
      <c r="P168" t="s">
        <v>923</v>
      </c>
      <c r="Q168" t="s">
        <v>927</v>
      </c>
    </row>
    <row r="169" spans="1:17" x14ac:dyDescent="0.25">
      <c r="A169" t="s">
        <v>19</v>
      </c>
      <c r="B169">
        <v>270.45</v>
      </c>
      <c r="C169">
        <v>75.700000000000017</v>
      </c>
      <c r="D169">
        <v>2.6999999999999997</v>
      </c>
      <c r="E169">
        <v>269.09999999999997</v>
      </c>
      <c r="F169">
        <v>75.700000000000017</v>
      </c>
      <c r="G169">
        <v>2.6999999999999997</v>
      </c>
      <c r="H169">
        <v>1.2</v>
      </c>
      <c r="I169">
        <v>470.20311383399996</v>
      </c>
      <c r="J169">
        <v>0.60616471357345714</v>
      </c>
      <c r="K169">
        <v>1000</v>
      </c>
      <c r="L169">
        <v>0</v>
      </c>
      <c r="N169">
        <v>23</v>
      </c>
      <c r="O169" s="60" t="s">
        <v>1193</v>
      </c>
      <c r="P169" t="s">
        <v>924</v>
      </c>
      <c r="Q169" t="s">
        <v>942</v>
      </c>
    </row>
    <row r="170" spans="1:17" x14ac:dyDescent="0.25">
      <c r="A170" t="s">
        <v>19</v>
      </c>
      <c r="B170">
        <v>269.09999999999997</v>
      </c>
      <c r="C170">
        <v>75.700000000000017</v>
      </c>
      <c r="D170">
        <v>2.6999999999999997</v>
      </c>
      <c r="E170">
        <v>269.09999999999997</v>
      </c>
      <c r="F170">
        <v>100.00000000000001</v>
      </c>
      <c r="G170">
        <v>2.6999999999999997</v>
      </c>
      <c r="H170">
        <v>1.2</v>
      </c>
      <c r="I170">
        <v>470.20311383399996</v>
      </c>
      <c r="J170">
        <v>10.910964844322043</v>
      </c>
      <c r="K170">
        <v>1250</v>
      </c>
      <c r="L170">
        <v>0</v>
      </c>
      <c r="N170">
        <v>23</v>
      </c>
      <c r="O170" s="60" t="s">
        <v>1194</v>
      </c>
      <c r="P170" t="s">
        <v>900</v>
      </c>
      <c r="Q170" t="s">
        <v>925</v>
      </c>
    </row>
    <row r="171" spans="1:17" x14ac:dyDescent="0.25">
      <c r="A171" t="s">
        <v>19</v>
      </c>
      <c r="B171">
        <v>269.09999999999997</v>
      </c>
      <c r="C171">
        <v>100.00000000000001</v>
      </c>
      <c r="D171">
        <v>2.6999999999999997</v>
      </c>
      <c r="E171">
        <v>267.74999999999994</v>
      </c>
      <c r="F171">
        <v>100.00000000000001</v>
      </c>
      <c r="G171">
        <v>2.6999999999999997</v>
      </c>
      <c r="H171">
        <v>1.2</v>
      </c>
      <c r="I171">
        <v>470.20311383399996</v>
      </c>
      <c r="J171">
        <v>0.60616471357345714</v>
      </c>
      <c r="K171">
        <v>1000</v>
      </c>
      <c r="L171">
        <v>0</v>
      </c>
      <c r="N171">
        <v>23</v>
      </c>
      <c r="O171" s="60" t="s">
        <v>1195</v>
      </c>
      <c r="P171" t="s">
        <v>901</v>
      </c>
      <c r="Q171" t="s">
        <v>943</v>
      </c>
    </row>
    <row r="172" spans="1:17" x14ac:dyDescent="0.25">
      <c r="A172" t="s">
        <v>19</v>
      </c>
      <c r="B172">
        <v>267.74999999999994</v>
      </c>
      <c r="C172">
        <v>100.00000000000001</v>
      </c>
      <c r="D172">
        <v>2.6999999999999997</v>
      </c>
      <c r="E172">
        <v>267.74999999999994</v>
      </c>
      <c r="F172">
        <v>75.700000000000017</v>
      </c>
      <c r="G172">
        <v>2.6999999999999997</v>
      </c>
      <c r="H172">
        <v>1.2</v>
      </c>
      <c r="I172">
        <v>470.20311383399996</v>
      </c>
      <c r="J172">
        <v>10.910964844322043</v>
      </c>
      <c r="K172">
        <v>1250</v>
      </c>
      <c r="L172">
        <v>0</v>
      </c>
      <c r="N172">
        <v>23</v>
      </c>
      <c r="O172" s="60" t="s">
        <v>1196</v>
      </c>
      <c r="P172" t="s">
        <v>923</v>
      </c>
      <c r="Q172" t="s">
        <v>927</v>
      </c>
    </row>
    <row r="173" spans="1:17" x14ac:dyDescent="0.25">
      <c r="A173" t="s">
        <v>19</v>
      </c>
      <c r="B173">
        <v>267.74999999999994</v>
      </c>
      <c r="C173">
        <v>75.700000000000017</v>
      </c>
      <c r="D173">
        <v>2.6999999999999997</v>
      </c>
      <c r="E173">
        <v>266.39999999999992</v>
      </c>
      <c r="F173">
        <v>75.700000000000017</v>
      </c>
      <c r="G173">
        <v>2.6999999999999997</v>
      </c>
      <c r="H173">
        <v>1.2</v>
      </c>
      <c r="I173">
        <v>470.20311383399996</v>
      </c>
      <c r="J173">
        <v>0.60616471357345714</v>
      </c>
      <c r="K173">
        <v>1000</v>
      </c>
      <c r="L173">
        <v>0</v>
      </c>
      <c r="N173">
        <v>23</v>
      </c>
      <c r="O173" s="60" t="s">
        <v>1197</v>
      </c>
      <c r="P173" t="s">
        <v>924</v>
      </c>
      <c r="Q173" t="s">
        <v>944</v>
      </c>
    </row>
    <row r="174" spans="1:17" x14ac:dyDescent="0.25">
      <c r="A174" t="s">
        <v>19</v>
      </c>
      <c r="B174">
        <v>266.39999999999998</v>
      </c>
      <c r="C174">
        <v>75.700000000000017</v>
      </c>
      <c r="D174">
        <v>2.6999999999999997</v>
      </c>
      <c r="E174">
        <v>266.39999999999998</v>
      </c>
      <c r="F174">
        <v>100.00000000000001</v>
      </c>
      <c r="G174">
        <v>2.6999999999999997</v>
      </c>
      <c r="H174">
        <v>1.2</v>
      </c>
      <c r="I174">
        <v>470.20311383399996</v>
      </c>
      <c r="J174">
        <v>10.910964844322043</v>
      </c>
      <c r="K174">
        <v>1250</v>
      </c>
      <c r="L174">
        <v>0</v>
      </c>
      <c r="N174">
        <v>23</v>
      </c>
      <c r="O174" s="60" t="s">
        <v>1198</v>
      </c>
      <c r="P174" t="s">
        <v>900</v>
      </c>
      <c r="Q174" t="s">
        <v>925</v>
      </c>
    </row>
    <row r="175" spans="1:17" x14ac:dyDescent="0.25">
      <c r="A175" t="s">
        <v>19</v>
      </c>
      <c r="B175">
        <v>266.39999999999998</v>
      </c>
      <c r="C175">
        <v>100.00000000000001</v>
      </c>
      <c r="D175">
        <v>2.6999999999999997</v>
      </c>
      <c r="E175">
        <v>265.04999999999995</v>
      </c>
      <c r="F175">
        <v>100.00000000000001</v>
      </c>
      <c r="G175">
        <v>2.6999999999999997</v>
      </c>
      <c r="H175">
        <v>1.2</v>
      </c>
      <c r="I175">
        <v>470.20311383399996</v>
      </c>
      <c r="J175">
        <v>0.60616471357345714</v>
      </c>
      <c r="K175">
        <v>1000</v>
      </c>
      <c r="L175">
        <v>0</v>
      </c>
      <c r="N175">
        <v>23</v>
      </c>
      <c r="O175" s="60" t="s">
        <v>1199</v>
      </c>
      <c r="P175" t="s">
        <v>901</v>
      </c>
      <c r="Q175" t="s">
        <v>945</v>
      </c>
    </row>
    <row r="176" spans="1:17" x14ac:dyDescent="0.25">
      <c r="A176" t="s">
        <v>19</v>
      </c>
      <c r="B176">
        <v>265.04999999999995</v>
      </c>
      <c r="C176">
        <v>100.00000000000001</v>
      </c>
      <c r="D176">
        <v>2.6999999999999997</v>
      </c>
      <c r="E176">
        <v>265.04999999999995</v>
      </c>
      <c r="F176">
        <v>75.700000000000017</v>
      </c>
      <c r="G176">
        <v>2.6999999999999997</v>
      </c>
      <c r="H176">
        <v>1.2</v>
      </c>
      <c r="I176">
        <v>470.20311383399996</v>
      </c>
      <c r="J176">
        <v>10.910964844322043</v>
      </c>
      <c r="K176">
        <v>1250</v>
      </c>
      <c r="L176">
        <v>0</v>
      </c>
      <c r="N176">
        <v>23</v>
      </c>
      <c r="O176" s="60" t="s">
        <v>1200</v>
      </c>
      <c r="P176" t="s">
        <v>923</v>
      </c>
      <c r="Q176" t="s">
        <v>927</v>
      </c>
    </row>
    <row r="177" spans="1:17" x14ac:dyDescent="0.25">
      <c r="A177" t="s">
        <v>19</v>
      </c>
      <c r="B177">
        <v>265.04999999999995</v>
      </c>
      <c r="C177">
        <v>75.700000000000017</v>
      </c>
      <c r="D177">
        <v>2.6999999999999997</v>
      </c>
      <c r="E177">
        <v>263.69999999999993</v>
      </c>
      <c r="F177">
        <v>75.700000000000017</v>
      </c>
      <c r="G177">
        <v>2.6999999999999997</v>
      </c>
      <c r="H177">
        <v>1.2</v>
      </c>
      <c r="I177">
        <v>470.20311383399996</v>
      </c>
      <c r="J177">
        <v>0.60616471357345714</v>
      </c>
      <c r="K177">
        <v>1000</v>
      </c>
      <c r="L177">
        <v>0</v>
      </c>
      <c r="N177">
        <v>23</v>
      </c>
      <c r="O177" s="60" t="s">
        <v>1201</v>
      </c>
      <c r="P177" t="s">
        <v>924</v>
      </c>
      <c r="Q177" t="s">
        <v>946</v>
      </c>
    </row>
    <row r="178" spans="1:17" x14ac:dyDescent="0.25">
      <c r="A178" t="s">
        <v>19</v>
      </c>
      <c r="B178">
        <v>263.7</v>
      </c>
      <c r="C178">
        <v>75.700000000000017</v>
      </c>
      <c r="D178">
        <v>2.6999999999999997</v>
      </c>
      <c r="E178">
        <v>263.7</v>
      </c>
      <c r="F178">
        <v>100.00000000000001</v>
      </c>
      <c r="G178">
        <v>2.6999999999999997</v>
      </c>
      <c r="H178">
        <v>1.2</v>
      </c>
      <c r="I178">
        <v>470.20311383399996</v>
      </c>
      <c r="J178">
        <v>10.910964844322043</v>
      </c>
      <c r="K178">
        <v>1250</v>
      </c>
      <c r="L178">
        <v>0</v>
      </c>
      <c r="N178">
        <v>23</v>
      </c>
      <c r="O178" s="60" t="s">
        <v>1202</v>
      </c>
      <c r="P178" t="s">
        <v>900</v>
      </c>
      <c r="Q178" t="s">
        <v>925</v>
      </c>
    </row>
    <row r="179" spans="1:17" x14ac:dyDescent="0.25">
      <c r="A179" t="s">
        <v>19</v>
      </c>
      <c r="B179">
        <v>263.7</v>
      </c>
      <c r="C179">
        <v>100.00000000000001</v>
      </c>
      <c r="D179">
        <v>2.6999999999999997</v>
      </c>
      <c r="E179">
        <v>262.34999999999997</v>
      </c>
      <c r="F179">
        <v>100.00000000000001</v>
      </c>
      <c r="G179">
        <v>2.6999999999999997</v>
      </c>
      <c r="H179">
        <v>1.2</v>
      </c>
      <c r="I179">
        <v>470.20311383399996</v>
      </c>
      <c r="J179">
        <v>0.60616471357345714</v>
      </c>
      <c r="K179">
        <v>1000</v>
      </c>
      <c r="L179">
        <v>0</v>
      </c>
      <c r="N179">
        <v>23</v>
      </c>
      <c r="O179" s="60" t="s">
        <v>1203</v>
      </c>
      <c r="P179" t="s">
        <v>901</v>
      </c>
      <c r="Q179" t="s">
        <v>947</v>
      </c>
    </row>
    <row r="180" spans="1:17" x14ac:dyDescent="0.25">
      <c r="A180" t="s">
        <v>19</v>
      </c>
      <c r="B180">
        <v>262.34999999999997</v>
      </c>
      <c r="C180">
        <v>100.00000000000001</v>
      </c>
      <c r="D180">
        <v>2.6999999999999997</v>
      </c>
      <c r="E180">
        <v>262.34999999999997</v>
      </c>
      <c r="F180">
        <v>75.700000000000017</v>
      </c>
      <c r="G180">
        <v>2.6999999999999997</v>
      </c>
      <c r="H180">
        <v>1.2</v>
      </c>
      <c r="I180">
        <v>470.20311383399996</v>
      </c>
      <c r="J180">
        <v>10.910964844322043</v>
      </c>
      <c r="K180">
        <v>1250</v>
      </c>
      <c r="L180">
        <v>0</v>
      </c>
      <c r="N180">
        <v>23</v>
      </c>
      <c r="O180" s="60" t="s">
        <v>1204</v>
      </c>
      <c r="P180" t="s">
        <v>923</v>
      </c>
      <c r="Q180" t="s">
        <v>927</v>
      </c>
    </row>
    <row r="181" spans="1:17" x14ac:dyDescent="0.25">
      <c r="A181" t="s">
        <v>19</v>
      </c>
      <c r="B181">
        <v>262.34999999999997</v>
      </c>
      <c r="C181">
        <v>75.700000000000017</v>
      </c>
      <c r="D181">
        <v>2.6999999999999997</v>
      </c>
      <c r="E181">
        <v>260.99999999999994</v>
      </c>
      <c r="F181">
        <v>75.700000000000017</v>
      </c>
      <c r="G181">
        <v>2.6999999999999997</v>
      </c>
      <c r="H181">
        <v>1.2</v>
      </c>
      <c r="I181">
        <v>470.20311383399996</v>
      </c>
      <c r="J181">
        <v>0.60616471357345714</v>
      </c>
      <c r="K181">
        <v>1000</v>
      </c>
      <c r="L181">
        <v>0</v>
      </c>
      <c r="N181">
        <v>23</v>
      </c>
      <c r="O181" s="60" t="s">
        <v>1205</v>
      </c>
      <c r="P181" t="s">
        <v>924</v>
      </c>
      <c r="Q181" t="s">
        <v>948</v>
      </c>
    </row>
    <row r="182" spans="1:17" x14ac:dyDescent="0.25">
      <c r="A182" t="s">
        <v>19</v>
      </c>
      <c r="B182">
        <v>261</v>
      </c>
      <c r="C182">
        <v>75.700000000000017</v>
      </c>
      <c r="D182">
        <v>2.6999999999999997</v>
      </c>
      <c r="E182">
        <v>261</v>
      </c>
      <c r="F182">
        <v>100.00000000000001</v>
      </c>
      <c r="G182">
        <v>2.6999999999999997</v>
      </c>
      <c r="H182">
        <v>1.2</v>
      </c>
      <c r="I182">
        <v>470.20311383399996</v>
      </c>
      <c r="J182">
        <v>10.910964844322043</v>
      </c>
      <c r="K182">
        <v>1250</v>
      </c>
      <c r="L182">
        <v>0</v>
      </c>
      <c r="N182">
        <v>23</v>
      </c>
      <c r="O182" s="60" t="s">
        <v>1206</v>
      </c>
      <c r="P182" t="s">
        <v>900</v>
      </c>
      <c r="Q182" t="s">
        <v>925</v>
      </c>
    </row>
    <row r="183" spans="1:17" x14ac:dyDescent="0.25">
      <c r="A183" t="s">
        <v>19</v>
      </c>
      <c r="B183">
        <v>261</v>
      </c>
      <c r="C183">
        <v>100.00000000000001</v>
      </c>
      <c r="D183">
        <v>2.6999999999999997</v>
      </c>
      <c r="E183">
        <v>259.64999999999998</v>
      </c>
      <c r="F183">
        <v>100.00000000000001</v>
      </c>
      <c r="G183">
        <v>2.6999999999999997</v>
      </c>
      <c r="H183">
        <v>1.2</v>
      </c>
      <c r="I183">
        <v>470.20311383399996</v>
      </c>
      <c r="J183">
        <v>0.60616471357345714</v>
      </c>
      <c r="K183">
        <v>1000</v>
      </c>
      <c r="L183">
        <v>0</v>
      </c>
      <c r="N183">
        <v>23</v>
      </c>
      <c r="O183" s="60" t="s">
        <v>1207</v>
      </c>
      <c r="P183" t="s">
        <v>901</v>
      </c>
      <c r="Q183" t="s">
        <v>949</v>
      </c>
    </row>
    <row r="184" spans="1:17" x14ac:dyDescent="0.25">
      <c r="A184" t="s">
        <v>19</v>
      </c>
      <c r="B184">
        <v>259.64999999999998</v>
      </c>
      <c r="C184">
        <v>100.00000000000001</v>
      </c>
      <c r="D184">
        <v>2.6999999999999997</v>
      </c>
      <c r="E184">
        <v>259.64999999999998</v>
      </c>
      <c r="F184">
        <v>75.700000000000017</v>
      </c>
      <c r="G184">
        <v>2.6999999999999997</v>
      </c>
      <c r="H184">
        <v>1.2</v>
      </c>
      <c r="I184">
        <v>470.20311383399996</v>
      </c>
      <c r="J184">
        <v>10.910964844322043</v>
      </c>
      <c r="K184">
        <v>1250</v>
      </c>
      <c r="L184">
        <v>0</v>
      </c>
      <c r="N184">
        <v>23</v>
      </c>
      <c r="O184" s="60" t="s">
        <v>1208</v>
      </c>
      <c r="P184" t="s">
        <v>923</v>
      </c>
      <c r="Q184" t="s">
        <v>927</v>
      </c>
    </row>
    <row r="185" spans="1:17" x14ac:dyDescent="0.25">
      <c r="A185" t="s">
        <v>19</v>
      </c>
      <c r="B185">
        <v>259.64999999999998</v>
      </c>
      <c r="C185">
        <v>75.700000000000017</v>
      </c>
      <c r="D185">
        <v>2.6999999999999997</v>
      </c>
      <c r="E185">
        <v>258.29999999999995</v>
      </c>
      <c r="F185">
        <v>75.700000000000017</v>
      </c>
      <c r="G185">
        <v>2.6999999999999997</v>
      </c>
      <c r="H185">
        <v>1.2</v>
      </c>
      <c r="I185">
        <v>470.20311383399996</v>
      </c>
      <c r="J185">
        <v>0.60616471357345714</v>
      </c>
      <c r="K185">
        <v>1000</v>
      </c>
      <c r="L185">
        <v>0</v>
      </c>
      <c r="N185">
        <v>23</v>
      </c>
      <c r="O185" s="60" t="s">
        <v>1209</v>
      </c>
      <c r="P185" t="s">
        <v>924</v>
      </c>
      <c r="Q185" t="s">
        <v>950</v>
      </c>
    </row>
    <row r="186" spans="1:17" x14ac:dyDescent="0.25">
      <c r="A186" t="s">
        <v>19</v>
      </c>
      <c r="B186">
        <v>258.3</v>
      </c>
      <c r="C186">
        <v>75.700000000000017</v>
      </c>
      <c r="D186">
        <v>2.6999999999999997</v>
      </c>
      <c r="E186">
        <v>258.3</v>
      </c>
      <c r="F186">
        <v>100.00000000000001</v>
      </c>
      <c r="G186">
        <v>2.6999999999999997</v>
      </c>
      <c r="H186">
        <v>1.2</v>
      </c>
      <c r="I186">
        <v>470.20311383399996</v>
      </c>
      <c r="J186">
        <v>10.910964844322043</v>
      </c>
      <c r="K186">
        <v>1250</v>
      </c>
      <c r="L186">
        <v>0</v>
      </c>
      <c r="N186">
        <v>23</v>
      </c>
      <c r="O186" s="60" t="s">
        <v>1210</v>
      </c>
      <c r="P186" t="s">
        <v>900</v>
      </c>
      <c r="Q186" t="s">
        <v>925</v>
      </c>
    </row>
    <row r="187" spans="1:17" x14ac:dyDescent="0.25">
      <c r="A187" t="s">
        <v>19</v>
      </c>
      <c r="B187">
        <v>258.3</v>
      </c>
      <c r="C187">
        <v>100.00000000000001</v>
      </c>
      <c r="D187">
        <v>2.6999999999999997</v>
      </c>
      <c r="E187">
        <v>256.95</v>
      </c>
      <c r="F187">
        <v>100.00000000000001</v>
      </c>
      <c r="G187">
        <v>2.6999999999999997</v>
      </c>
      <c r="H187">
        <v>1.2</v>
      </c>
      <c r="I187">
        <v>470.20311383399996</v>
      </c>
      <c r="J187">
        <v>0.60616471357345714</v>
      </c>
      <c r="K187">
        <v>1000</v>
      </c>
      <c r="L187">
        <v>0</v>
      </c>
      <c r="N187">
        <v>23</v>
      </c>
      <c r="O187" s="60" t="s">
        <v>1211</v>
      </c>
      <c r="P187" t="s">
        <v>901</v>
      </c>
      <c r="Q187" t="s">
        <v>951</v>
      </c>
    </row>
    <row r="188" spans="1:17" x14ac:dyDescent="0.25">
      <c r="A188" t="s">
        <v>19</v>
      </c>
      <c r="B188">
        <v>256.95</v>
      </c>
      <c r="C188">
        <v>100.00000000000001</v>
      </c>
      <c r="D188">
        <v>2.6999999999999997</v>
      </c>
      <c r="E188">
        <v>256.95</v>
      </c>
      <c r="F188">
        <v>75.700000000000017</v>
      </c>
      <c r="G188">
        <v>2.6999999999999997</v>
      </c>
      <c r="H188">
        <v>1.2</v>
      </c>
      <c r="I188">
        <v>470.20311383399996</v>
      </c>
      <c r="J188">
        <v>10.910964844322043</v>
      </c>
      <c r="K188">
        <v>1250</v>
      </c>
      <c r="L188">
        <v>0</v>
      </c>
      <c r="N188">
        <v>23</v>
      </c>
      <c r="O188" s="60" t="s">
        <v>1212</v>
      </c>
      <c r="P188" t="s">
        <v>923</v>
      </c>
      <c r="Q188" t="s">
        <v>927</v>
      </c>
    </row>
    <row r="189" spans="1:17" x14ac:dyDescent="0.25">
      <c r="A189" t="s">
        <v>19</v>
      </c>
      <c r="B189">
        <v>256.95</v>
      </c>
      <c r="C189">
        <v>75.700000000000017</v>
      </c>
      <c r="D189">
        <v>2.6999999999999997</v>
      </c>
      <c r="E189">
        <v>255.59999999999994</v>
      </c>
      <c r="F189">
        <v>75.700000000000017</v>
      </c>
      <c r="G189">
        <v>2.6999999999999997</v>
      </c>
      <c r="H189">
        <v>1.2</v>
      </c>
      <c r="I189">
        <v>470.20311383399996</v>
      </c>
      <c r="J189">
        <v>0.60616471357345714</v>
      </c>
      <c r="K189">
        <v>1000</v>
      </c>
      <c r="L189">
        <v>0</v>
      </c>
      <c r="N189">
        <v>23</v>
      </c>
      <c r="O189" s="60" t="s">
        <v>1213</v>
      </c>
      <c r="P189" t="s">
        <v>924</v>
      </c>
      <c r="Q189" t="s">
        <v>952</v>
      </c>
    </row>
    <row r="190" spans="1:17" x14ac:dyDescent="0.25">
      <c r="A190" t="s">
        <v>19</v>
      </c>
      <c r="B190">
        <v>255.6</v>
      </c>
      <c r="C190">
        <v>75.700000000000017</v>
      </c>
      <c r="D190">
        <v>2.6999999999999997</v>
      </c>
      <c r="E190">
        <v>255.6</v>
      </c>
      <c r="F190">
        <v>100.00000000000001</v>
      </c>
      <c r="G190">
        <v>2.6999999999999997</v>
      </c>
      <c r="H190">
        <v>1.2</v>
      </c>
      <c r="I190">
        <v>470.20311383399996</v>
      </c>
      <c r="J190">
        <v>10.910964844322043</v>
      </c>
      <c r="K190">
        <v>1250</v>
      </c>
      <c r="L190">
        <v>0</v>
      </c>
      <c r="N190">
        <v>23</v>
      </c>
      <c r="O190" s="60" t="s">
        <v>1214</v>
      </c>
      <c r="P190" t="s">
        <v>900</v>
      </c>
      <c r="Q190" t="s">
        <v>925</v>
      </c>
    </row>
    <row r="191" spans="1:17" x14ac:dyDescent="0.25">
      <c r="A191" t="s">
        <v>19</v>
      </c>
      <c r="B191">
        <v>255.6</v>
      </c>
      <c r="C191">
        <v>100.00000000000001</v>
      </c>
      <c r="D191">
        <v>2.6999999999999997</v>
      </c>
      <c r="E191">
        <v>254.24999999999997</v>
      </c>
      <c r="F191">
        <v>100.00000000000001</v>
      </c>
      <c r="G191">
        <v>2.6999999999999997</v>
      </c>
      <c r="H191">
        <v>1.2</v>
      </c>
      <c r="I191">
        <v>470.20311383399996</v>
      </c>
      <c r="J191">
        <v>0.60616471357345714</v>
      </c>
      <c r="K191">
        <v>1000</v>
      </c>
      <c r="L191">
        <v>0</v>
      </c>
      <c r="N191">
        <v>23</v>
      </c>
      <c r="O191" s="60" t="s">
        <v>1215</v>
      </c>
      <c r="P191" t="s">
        <v>901</v>
      </c>
      <c r="Q191" t="s">
        <v>953</v>
      </c>
    </row>
    <row r="192" spans="1:17" x14ac:dyDescent="0.25">
      <c r="A192" t="s">
        <v>19</v>
      </c>
      <c r="B192">
        <v>254.24999999999997</v>
      </c>
      <c r="C192">
        <v>100.00000000000001</v>
      </c>
      <c r="D192">
        <v>2.6999999999999997</v>
      </c>
      <c r="E192">
        <v>254.24999999999997</v>
      </c>
      <c r="F192">
        <v>75.700000000000017</v>
      </c>
      <c r="G192">
        <v>2.6999999999999997</v>
      </c>
      <c r="H192">
        <v>1.2</v>
      </c>
      <c r="I192">
        <v>470.20311383399996</v>
      </c>
      <c r="J192">
        <v>10.910964844322043</v>
      </c>
      <c r="K192">
        <v>1250</v>
      </c>
      <c r="L192">
        <v>0</v>
      </c>
      <c r="N192">
        <v>23</v>
      </c>
      <c r="O192" s="60" t="s">
        <v>1216</v>
      </c>
      <c r="P192" t="s">
        <v>923</v>
      </c>
      <c r="Q192" t="s">
        <v>927</v>
      </c>
    </row>
    <row r="193" spans="1:17" x14ac:dyDescent="0.25">
      <c r="A193" t="s">
        <v>19</v>
      </c>
      <c r="B193">
        <v>254.24999999999997</v>
      </c>
      <c r="C193">
        <v>75.700000000000017</v>
      </c>
      <c r="D193">
        <v>2.6999999999999997</v>
      </c>
      <c r="E193">
        <v>252.89999999999995</v>
      </c>
      <c r="F193">
        <v>75.700000000000017</v>
      </c>
      <c r="G193">
        <v>2.6999999999999997</v>
      </c>
      <c r="H193">
        <v>1.2</v>
      </c>
      <c r="I193">
        <v>470.20311383399996</v>
      </c>
      <c r="J193">
        <v>0.60616471357345714</v>
      </c>
      <c r="K193">
        <v>1000</v>
      </c>
      <c r="L193">
        <v>0</v>
      </c>
      <c r="N193">
        <v>23</v>
      </c>
      <c r="O193" s="60" t="s">
        <v>1217</v>
      </c>
      <c r="P193" t="s">
        <v>924</v>
      </c>
      <c r="Q193" t="s">
        <v>954</v>
      </c>
    </row>
    <row r="194" spans="1:17" x14ac:dyDescent="0.25">
      <c r="A194" t="s">
        <v>19</v>
      </c>
      <c r="B194">
        <v>252.89999999999998</v>
      </c>
      <c r="C194">
        <v>75.700000000000017</v>
      </c>
      <c r="D194">
        <v>2.6999999999999997</v>
      </c>
      <c r="E194">
        <v>252.89999999999998</v>
      </c>
      <c r="F194">
        <v>100.00000000000001</v>
      </c>
      <c r="G194">
        <v>2.6999999999999997</v>
      </c>
      <c r="H194">
        <v>1.2</v>
      </c>
      <c r="I194">
        <v>470.20311383399996</v>
      </c>
      <c r="J194">
        <v>10.910964844322043</v>
      </c>
      <c r="K194">
        <v>1250</v>
      </c>
      <c r="L194">
        <v>0</v>
      </c>
      <c r="N194">
        <v>23</v>
      </c>
      <c r="O194" s="60" t="s">
        <v>1218</v>
      </c>
      <c r="P194" t="s">
        <v>900</v>
      </c>
      <c r="Q194" t="s">
        <v>925</v>
      </c>
    </row>
    <row r="195" spans="1:17" x14ac:dyDescent="0.25">
      <c r="A195" t="s">
        <v>19</v>
      </c>
      <c r="B195">
        <v>252.89999999999998</v>
      </c>
      <c r="C195">
        <v>100.00000000000001</v>
      </c>
      <c r="D195">
        <v>2.6999999999999997</v>
      </c>
      <c r="E195">
        <v>251.54999999999995</v>
      </c>
      <c r="F195">
        <v>100.00000000000001</v>
      </c>
      <c r="G195">
        <v>2.6999999999999997</v>
      </c>
      <c r="H195">
        <v>1.2</v>
      </c>
      <c r="I195">
        <v>470.20311383399996</v>
      </c>
      <c r="J195">
        <v>0.60616471357345714</v>
      </c>
      <c r="K195">
        <v>1000</v>
      </c>
      <c r="L195">
        <v>0</v>
      </c>
      <c r="N195">
        <v>23</v>
      </c>
      <c r="O195" s="60" t="s">
        <v>1219</v>
      </c>
      <c r="P195" t="s">
        <v>901</v>
      </c>
      <c r="Q195" t="s">
        <v>955</v>
      </c>
    </row>
    <row r="196" spans="1:17" x14ac:dyDescent="0.25">
      <c r="A196" t="s">
        <v>19</v>
      </c>
      <c r="B196">
        <v>251.54999999999995</v>
      </c>
      <c r="C196">
        <v>100.00000000000001</v>
      </c>
      <c r="D196">
        <v>2.6999999999999997</v>
      </c>
      <c r="E196">
        <v>251.54999999999995</v>
      </c>
      <c r="F196">
        <v>75.700000000000017</v>
      </c>
      <c r="G196">
        <v>2.6999999999999997</v>
      </c>
      <c r="H196">
        <v>1.2</v>
      </c>
      <c r="I196">
        <v>470.20311383399996</v>
      </c>
      <c r="J196">
        <v>10.910964844322043</v>
      </c>
      <c r="K196">
        <v>1250</v>
      </c>
      <c r="L196">
        <v>0</v>
      </c>
      <c r="N196">
        <v>23</v>
      </c>
      <c r="O196" s="60" t="s">
        <v>1220</v>
      </c>
      <c r="P196" t="s">
        <v>923</v>
      </c>
      <c r="Q196" t="s">
        <v>927</v>
      </c>
    </row>
    <row r="197" spans="1:17" x14ac:dyDescent="0.25">
      <c r="A197" t="s">
        <v>19</v>
      </c>
      <c r="B197">
        <v>251.54999999999995</v>
      </c>
      <c r="C197">
        <v>75.700000000000017</v>
      </c>
      <c r="D197">
        <v>2.6999999999999997</v>
      </c>
      <c r="E197">
        <v>250.19999999999993</v>
      </c>
      <c r="F197">
        <v>75.700000000000017</v>
      </c>
      <c r="G197">
        <v>2.6999999999999997</v>
      </c>
      <c r="H197">
        <v>1.2</v>
      </c>
      <c r="I197">
        <v>470.20311383399996</v>
      </c>
      <c r="J197">
        <v>0.60616471357345714</v>
      </c>
      <c r="K197">
        <v>1000</v>
      </c>
      <c r="L197">
        <v>0</v>
      </c>
      <c r="N197">
        <v>23</v>
      </c>
      <c r="O197" s="60" t="s">
        <v>1221</v>
      </c>
      <c r="P197" t="s">
        <v>924</v>
      </c>
      <c r="Q197" t="s">
        <v>956</v>
      </c>
    </row>
    <row r="198" spans="1:17" x14ac:dyDescent="0.25">
      <c r="A198" t="s">
        <v>19</v>
      </c>
      <c r="B198">
        <v>250.2</v>
      </c>
      <c r="C198">
        <v>75.700000000000017</v>
      </c>
      <c r="D198">
        <v>2.6999999999999997</v>
      </c>
      <c r="E198">
        <v>250.2</v>
      </c>
      <c r="F198">
        <v>100.00000000000001</v>
      </c>
      <c r="G198">
        <v>2.6999999999999997</v>
      </c>
      <c r="H198">
        <v>1.2</v>
      </c>
      <c r="I198">
        <v>470.20311383399996</v>
      </c>
      <c r="J198">
        <v>10.910964844322043</v>
      </c>
      <c r="K198">
        <v>1250</v>
      </c>
      <c r="L198">
        <v>0</v>
      </c>
      <c r="N198">
        <v>23</v>
      </c>
      <c r="O198" s="60" t="s">
        <v>1222</v>
      </c>
      <c r="P198" t="s">
        <v>900</v>
      </c>
      <c r="Q198" t="s">
        <v>925</v>
      </c>
    </row>
    <row r="199" spans="1:17" x14ac:dyDescent="0.25">
      <c r="A199" t="s">
        <v>19</v>
      </c>
      <c r="B199">
        <v>250.2</v>
      </c>
      <c r="C199">
        <v>100.00000000000001</v>
      </c>
      <c r="D199">
        <v>2.6999999999999997</v>
      </c>
      <c r="E199">
        <v>248.84999999999997</v>
      </c>
      <c r="F199">
        <v>100.00000000000001</v>
      </c>
      <c r="G199">
        <v>2.6999999999999997</v>
      </c>
      <c r="H199">
        <v>1.2</v>
      </c>
      <c r="I199">
        <v>470.20311383399996</v>
      </c>
      <c r="J199">
        <v>0.60616471357345714</v>
      </c>
      <c r="K199">
        <v>1000</v>
      </c>
      <c r="L199">
        <v>0</v>
      </c>
      <c r="N199">
        <v>23</v>
      </c>
      <c r="O199" s="60" t="s">
        <v>1223</v>
      </c>
      <c r="P199" t="s">
        <v>901</v>
      </c>
      <c r="Q199" t="s">
        <v>957</v>
      </c>
    </row>
    <row r="200" spans="1:17" x14ac:dyDescent="0.25">
      <c r="A200" t="s">
        <v>19</v>
      </c>
      <c r="B200">
        <v>248.84999999999997</v>
      </c>
      <c r="C200">
        <v>100.00000000000001</v>
      </c>
      <c r="D200">
        <v>2.6999999999999997</v>
      </c>
      <c r="E200">
        <v>248.84999999999997</v>
      </c>
      <c r="F200">
        <v>75.700000000000017</v>
      </c>
      <c r="G200">
        <v>2.6999999999999997</v>
      </c>
      <c r="H200">
        <v>1.2</v>
      </c>
      <c r="I200">
        <v>470.20311383399996</v>
      </c>
      <c r="J200">
        <v>10.910964844322043</v>
      </c>
      <c r="K200">
        <v>1250</v>
      </c>
      <c r="L200">
        <v>0</v>
      </c>
      <c r="N200">
        <v>23</v>
      </c>
      <c r="O200" s="60" t="s">
        <v>1224</v>
      </c>
      <c r="P200" t="s">
        <v>923</v>
      </c>
      <c r="Q200" t="s">
        <v>927</v>
      </c>
    </row>
    <row r="201" spans="1:17" x14ac:dyDescent="0.25">
      <c r="A201" t="s">
        <v>19</v>
      </c>
      <c r="B201">
        <v>248.84999999999997</v>
      </c>
      <c r="C201">
        <v>75.700000000000017</v>
      </c>
      <c r="D201">
        <v>2.6999999999999997</v>
      </c>
      <c r="E201">
        <v>247.49999999999994</v>
      </c>
      <c r="F201">
        <v>75.700000000000017</v>
      </c>
      <c r="G201">
        <v>2.6999999999999997</v>
      </c>
      <c r="H201">
        <v>1.2</v>
      </c>
      <c r="I201">
        <v>470.20311383399996</v>
      </c>
      <c r="J201">
        <v>0.60616471357345714</v>
      </c>
      <c r="K201">
        <v>1000</v>
      </c>
      <c r="L201">
        <v>0</v>
      </c>
      <c r="N201">
        <v>23</v>
      </c>
      <c r="O201" s="60" t="s">
        <v>1225</v>
      </c>
      <c r="P201" t="s">
        <v>924</v>
      </c>
      <c r="Q201" t="s">
        <v>958</v>
      </c>
    </row>
    <row r="202" spans="1:17" x14ac:dyDescent="0.25">
      <c r="A202" t="s">
        <v>19</v>
      </c>
      <c r="B202">
        <v>247.5</v>
      </c>
      <c r="C202">
        <v>75.700000000000017</v>
      </c>
      <c r="D202">
        <v>2.6999999999999997</v>
      </c>
      <c r="E202">
        <v>247.5</v>
      </c>
      <c r="F202">
        <v>100.00000000000001</v>
      </c>
      <c r="G202">
        <v>2.6999999999999997</v>
      </c>
      <c r="H202">
        <v>1.2</v>
      </c>
      <c r="I202">
        <v>470.20311383399996</v>
      </c>
      <c r="J202">
        <v>10.910964844322043</v>
      </c>
      <c r="K202">
        <v>1250</v>
      </c>
      <c r="L202">
        <v>0</v>
      </c>
      <c r="N202">
        <v>23</v>
      </c>
      <c r="O202" s="60" t="s">
        <v>1226</v>
      </c>
      <c r="P202" t="s">
        <v>900</v>
      </c>
      <c r="Q202" t="s">
        <v>925</v>
      </c>
    </row>
    <row r="203" spans="1:17" x14ac:dyDescent="0.25">
      <c r="A203" t="s">
        <v>19</v>
      </c>
      <c r="B203">
        <v>247.5</v>
      </c>
      <c r="C203">
        <v>100.00000000000001</v>
      </c>
      <c r="D203">
        <v>2.6999999999999997</v>
      </c>
      <c r="E203">
        <v>246.14999999999998</v>
      </c>
      <c r="F203">
        <v>100.00000000000001</v>
      </c>
      <c r="G203">
        <v>2.6999999999999997</v>
      </c>
      <c r="H203">
        <v>1.2</v>
      </c>
      <c r="I203">
        <v>470.20311383399996</v>
      </c>
      <c r="J203">
        <v>0.60616471357345714</v>
      </c>
      <c r="K203">
        <v>1000</v>
      </c>
      <c r="L203">
        <v>0</v>
      </c>
      <c r="N203">
        <v>23</v>
      </c>
      <c r="O203" s="60" t="s">
        <v>1227</v>
      </c>
      <c r="P203" t="s">
        <v>901</v>
      </c>
      <c r="Q203" t="s">
        <v>959</v>
      </c>
    </row>
    <row r="204" spans="1:17" x14ac:dyDescent="0.25">
      <c r="A204" t="s">
        <v>19</v>
      </c>
      <c r="B204">
        <v>246.14999999999998</v>
      </c>
      <c r="C204">
        <v>100.00000000000001</v>
      </c>
      <c r="D204">
        <v>2.6999999999999997</v>
      </c>
      <c r="E204">
        <v>246.14999999999998</v>
      </c>
      <c r="F204">
        <v>75.700000000000017</v>
      </c>
      <c r="G204">
        <v>2.6999999999999997</v>
      </c>
      <c r="H204">
        <v>1.2</v>
      </c>
      <c r="I204">
        <v>470.20311383399996</v>
      </c>
      <c r="J204">
        <v>10.910964844322043</v>
      </c>
      <c r="K204">
        <v>1250</v>
      </c>
      <c r="L204">
        <v>0</v>
      </c>
      <c r="N204">
        <v>23</v>
      </c>
      <c r="O204" s="60" t="s">
        <v>1228</v>
      </c>
      <c r="P204" t="s">
        <v>923</v>
      </c>
      <c r="Q204" t="s">
        <v>927</v>
      </c>
    </row>
    <row r="205" spans="1:17" x14ac:dyDescent="0.25">
      <c r="A205" t="s">
        <v>19</v>
      </c>
      <c r="B205">
        <v>246.14999999999998</v>
      </c>
      <c r="C205">
        <v>75.700000000000017</v>
      </c>
      <c r="D205">
        <v>2.6999999999999997</v>
      </c>
      <c r="E205">
        <v>244.79999999999995</v>
      </c>
      <c r="F205">
        <v>75.700000000000017</v>
      </c>
      <c r="G205">
        <v>2.6999999999999997</v>
      </c>
      <c r="H205">
        <v>1.2</v>
      </c>
      <c r="I205">
        <v>470.20311383399996</v>
      </c>
      <c r="J205">
        <v>0.60616471357345714</v>
      </c>
      <c r="K205">
        <v>1000</v>
      </c>
      <c r="L205">
        <v>0</v>
      </c>
      <c r="N205">
        <v>23</v>
      </c>
      <c r="O205" s="60" t="s">
        <v>1229</v>
      </c>
      <c r="P205" t="s">
        <v>924</v>
      </c>
      <c r="Q205" t="s">
        <v>960</v>
      </c>
    </row>
    <row r="206" spans="1:17" x14ac:dyDescent="0.25">
      <c r="A206" t="s">
        <v>19</v>
      </c>
      <c r="B206">
        <v>244.79999999999998</v>
      </c>
      <c r="C206">
        <v>75.700000000000017</v>
      </c>
      <c r="D206">
        <v>2.6999999999999997</v>
      </c>
      <c r="E206">
        <v>244.79999999999998</v>
      </c>
      <c r="F206">
        <v>100.00000000000001</v>
      </c>
      <c r="G206">
        <v>2.6999999999999997</v>
      </c>
      <c r="H206">
        <v>1.2</v>
      </c>
      <c r="I206">
        <v>470.20311383399996</v>
      </c>
      <c r="J206">
        <v>10.910964844322043</v>
      </c>
      <c r="K206">
        <v>1250</v>
      </c>
      <c r="L206">
        <v>0</v>
      </c>
      <c r="N206">
        <v>23</v>
      </c>
      <c r="O206" s="60" t="s">
        <v>1230</v>
      </c>
      <c r="P206" t="s">
        <v>900</v>
      </c>
      <c r="Q206" t="s">
        <v>925</v>
      </c>
    </row>
    <row r="207" spans="1:17" x14ac:dyDescent="0.25">
      <c r="A207" t="s">
        <v>19</v>
      </c>
      <c r="B207">
        <v>244.79999999999998</v>
      </c>
      <c r="C207">
        <v>100.00000000000001</v>
      </c>
      <c r="D207">
        <v>2.6999999999999997</v>
      </c>
      <c r="E207">
        <v>243.44999999999996</v>
      </c>
      <c r="F207">
        <v>100.00000000000001</v>
      </c>
      <c r="G207">
        <v>2.6999999999999997</v>
      </c>
      <c r="H207">
        <v>1.2</v>
      </c>
      <c r="I207">
        <v>470.20311383399996</v>
      </c>
      <c r="J207">
        <v>0.60616471357345714</v>
      </c>
      <c r="K207">
        <v>1000</v>
      </c>
      <c r="L207">
        <v>0</v>
      </c>
      <c r="N207">
        <v>23</v>
      </c>
      <c r="O207" s="60" t="s">
        <v>1231</v>
      </c>
      <c r="P207" t="s">
        <v>901</v>
      </c>
      <c r="Q207" t="s">
        <v>961</v>
      </c>
    </row>
    <row r="208" spans="1:17" x14ac:dyDescent="0.25">
      <c r="A208" t="s">
        <v>19</v>
      </c>
      <c r="B208">
        <v>243.44999999999996</v>
      </c>
      <c r="C208">
        <v>100.00000000000001</v>
      </c>
      <c r="D208">
        <v>2.6999999999999997</v>
      </c>
      <c r="E208">
        <v>243.44999999999996</v>
      </c>
      <c r="F208">
        <v>75.700000000000017</v>
      </c>
      <c r="G208">
        <v>2.6999999999999997</v>
      </c>
      <c r="H208">
        <v>1.2</v>
      </c>
      <c r="I208">
        <v>470.20311383399996</v>
      </c>
      <c r="J208">
        <v>10.910964844322043</v>
      </c>
      <c r="K208">
        <v>1250</v>
      </c>
      <c r="L208">
        <v>0</v>
      </c>
      <c r="N208">
        <v>23</v>
      </c>
      <c r="O208" s="60" t="s">
        <v>1232</v>
      </c>
      <c r="P208" t="s">
        <v>923</v>
      </c>
      <c r="Q208" t="s">
        <v>927</v>
      </c>
    </row>
    <row r="209" spans="1:17" x14ac:dyDescent="0.25">
      <c r="A209" t="s">
        <v>19</v>
      </c>
      <c r="B209">
        <v>243.44999999999996</v>
      </c>
      <c r="C209">
        <v>75.700000000000017</v>
      </c>
      <c r="D209">
        <v>2.6999999999999997</v>
      </c>
      <c r="E209">
        <v>242.09999999999994</v>
      </c>
      <c r="F209">
        <v>75.700000000000017</v>
      </c>
      <c r="G209">
        <v>2.6999999999999997</v>
      </c>
      <c r="H209">
        <v>1.2</v>
      </c>
      <c r="I209">
        <v>470.20311383399996</v>
      </c>
      <c r="J209">
        <v>0.60616471357345714</v>
      </c>
      <c r="K209">
        <v>1000</v>
      </c>
      <c r="L209">
        <v>0</v>
      </c>
      <c r="N209">
        <v>23</v>
      </c>
      <c r="O209" s="60" t="s">
        <v>1233</v>
      </c>
      <c r="P209" t="s">
        <v>924</v>
      </c>
      <c r="Q209" t="s">
        <v>962</v>
      </c>
    </row>
    <row r="210" spans="1:17" x14ac:dyDescent="0.25">
      <c r="A210" t="s">
        <v>19</v>
      </c>
      <c r="B210">
        <v>242.1</v>
      </c>
      <c r="C210">
        <v>75.700000000000017</v>
      </c>
      <c r="D210">
        <v>2.6999999999999997</v>
      </c>
      <c r="E210">
        <v>242.1</v>
      </c>
      <c r="F210">
        <v>100.00000000000001</v>
      </c>
      <c r="G210">
        <v>2.6999999999999997</v>
      </c>
      <c r="H210">
        <v>1.2</v>
      </c>
      <c r="I210">
        <v>470.20311383399996</v>
      </c>
      <c r="J210">
        <v>10.910964844322043</v>
      </c>
      <c r="K210">
        <v>1250</v>
      </c>
      <c r="L210">
        <v>0</v>
      </c>
      <c r="N210">
        <v>23</v>
      </c>
      <c r="O210" s="60" t="s">
        <v>1234</v>
      </c>
      <c r="P210" t="s">
        <v>900</v>
      </c>
      <c r="Q210" t="s">
        <v>925</v>
      </c>
    </row>
    <row r="211" spans="1:17" x14ac:dyDescent="0.25">
      <c r="A211" t="s">
        <v>19</v>
      </c>
      <c r="B211">
        <v>242.1</v>
      </c>
      <c r="C211">
        <v>100.00000000000001</v>
      </c>
      <c r="D211">
        <v>2.6999999999999997</v>
      </c>
      <c r="E211">
        <v>240.74999999999997</v>
      </c>
      <c r="F211">
        <v>100.00000000000001</v>
      </c>
      <c r="G211">
        <v>2.6999999999999997</v>
      </c>
      <c r="H211">
        <v>1.2</v>
      </c>
      <c r="I211">
        <v>470.20311383399996</v>
      </c>
      <c r="J211">
        <v>0.60616471357345714</v>
      </c>
      <c r="K211">
        <v>1000</v>
      </c>
      <c r="L211">
        <v>0</v>
      </c>
      <c r="N211">
        <v>23</v>
      </c>
      <c r="O211" s="60" t="s">
        <v>1235</v>
      </c>
      <c r="P211" t="s">
        <v>901</v>
      </c>
      <c r="Q211" t="s">
        <v>963</v>
      </c>
    </row>
    <row r="212" spans="1:17" x14ac:dyDescent="0.25">
      <c r="A212" t="s">
        <v>19</v>
      </c>
      <c r="B212">
        <v>240.74999999999997</v>
      </c>
      <c r="C212">
        <v>100.00000000000001</v>
      </c>
      <c r="D212">
        <v>2.6999999999999997</v>
      </c>
      <c r="E212">
        <v>240.74999999999997</v>
      </c>
      <c r="F212">
        <v>75.700000000000017</v>
      </c>
      <c r="G212">
        <v>2.6999999999999997</v>
      </c>
      <c r="H212">
        <v>1.2</v>
      </c>
      <c r="I212">
        <v>470.20311383399996</v>
      </c>
      <c r="J212">
        <v>10.910964844322043</v>
      </c>
      <c r="K212">
        <v>1250</v>
      </c>
      <c r="L212">
        <v>0</v>
      </c>
      <c r="N212">
        <v>23</v>
      </c>
      <c r="O212" s="60" t="s">
        <v>1236</v>
      </c>
      <c r="P212" t="s">
        <v>923</v>
      </c>
      <c r="Q212" t="s">
        <v>927</v>
      </c>
    </row>
    <row r="213" spans="1:17" x14ac:dyDescent="0.25">
      <c r="A213" t="s">
        <v>19</v>
      </c>
      <c r="B213">
        <v>240.74999999999997</v>
      </c>
      <c r="C213">
        <v>75.700000000000017</v>
      </c>
      <c r="D213">
        <v>2.6999999999999997</v>
      </c>
      <c r="E213">
        <v>239.39999999999995</v>
      </c>
      <c r="F213">
        <v>75.700000000000017</v>
      </c>
      <c r="G213">
        <v>2.6999999999999997</v>
      </c>
      <c r="H213">
        <v>1.2</v>
      </c>
      <c r="I213">
        <v>470.20311383399996</v>
      </c>
      <c r="J213">
        <v>0.60616471357345714</v>
      </c>
      <c r="K213">
        <v>1000</v>
      </c>
      <c r="L213">
        <v>0</v>
      </c>
      <c r="N213">
        <v>23</v>
      </c>
      <c r="O213" s="60" t="s">
        <v>1237</v>
      </c>
      <c r="P213" t="s">
        <v>924</v>
      </c>
      <c r="Q213" t="s">
        <v>964</v>
      </c>
    </row>
    <row r="214" spans="1:17" x14ac:dyDescent="0.25">
      <c r="A214" t="s">
        <v>19</v>
      </c>
      <c r="B214">
        <v>239.39999999999998</v>
      </c>
      <c r="C214">
        <v>75.700000000000017</v>
      </c>
      <c r="D214">
        <v>2.6999999999999997</v>
      </c>
      <c r="E214">
        <v>239.39999999999998</v>
      </c>
      <c r="F214">
        <v>100.00000000000001</v>
      </c>
      <c r="G214">
        <v>2.6999999999999997</v>
      </c>
      <c r="H214">
        <v>1.2</v>
      </c>
      <c r="I214">
        <v>470.20311383399996</v>
      </c>
      <c r="J214">
        <v>10.910964844322043</v>
      </c>
      <c r="K214">
        <v>1250</v>
      </c>
      <c r="L214">
        <v>0</v>
      </c>
      <c r="N214">
        <v>23</v>
      </c>
      <c r="O214" s="60" t="s">
        <v>1238</v>
      </c>
      <c r="P214" t="s">
        <v>900</v>
      </c>
      <c r="Q214" t="s">
        <v>925</v>
      </c>
    </row>
    <row r="215" spans="1:17" x14ac:dyDescent="0.25">
      <c r="A215" t="s">
        <v>19</v>
      </c>
      <c r="B215">
        <v>239.39999999999998</v>
      </c>
      <c r="C215">
        <v>100.00000000000001</v>
      </c>
      <c r="D215">
        <v>2.6999999999999997</v>
      </c>
      <c r="E215">
        <v>238.04999999999995</v>
      </c>
      <c r="F215">
        <v>100.00000000000001</v>
      </c>
      <c r="G215">
        <v>2.6999999999999997</v>
      </c>
      <c r="H215">
        <v>1.2</v>
      </c>
      <c r="I215">
        <v>470.20311383399996</v>
      </c>
      <c r="J215">
        <v>0.60616471357345714</v>
      </c>
      <c r="K215">
        <v>1000</v>
      </c>
      <c r="L215">
        <v>0</v>
      </c>
      <c r="N215">
        <v>23</v>
      </c>
      <c r="O215" s="60" t="s">
        <v>1239</v>
      </c>
      <c r="P215" t="s">
        <v>901</v>
      </c>
      <c r="Q215" t="s">
        <v>965</v>
      </c>
    </row>
    <row r="216" spans="1:17" x14ac:dyDescent="0.25">
      <c r="A216" t="s">
        <v>19</v>
      </c>
      <c r="B216">
        <v>238.04999999999995</v>
      </c>
      <c r="C216">
        <v>100.00000000000001</v>
      </c>
      <c r="D216">
        <v>2.6999999999999997</v>
      </c>
      <c r="E216">
        <v>238.04999999999995</v>
      </c>
      <c r="F216">
        <v>75.700000000000017</v>
      </c>
      <c r="G216">
        <v>2.6999999999999997</v>
      </c>
      <c r="H216">
        <v>1.2</v>
      </c>
      <c r="I216">
        <v>470.20311383399996</v>
      </c>
      <c r="J216">
        <v>10.910964844322043</v>
      </c>
      <c r="K216">
        <v>1250</v>
      </c>
      <c r="L216">
        <v>0</v>
      </c>
      <c r="N216">
        <v>23</v>
      </c>
      <c r="O216" s="60" t="s">
        <v>1240</v>
      </c>
      <c r="P216" t="s">
        <v>923</v>
      </c>
      <c r="Q216" t="s">
        <v>927</v>
      </c>
    </row>
    <row r="217" spans="1:17" x14ac:dyDescent="0.25">
      <c r="A217" t="s">
        <v>19</v>
      </c>
      <c r="B217">
        <v>238.04999999999995</v>
      </c>
      <c r="C217">
        <v>75.700000000000017</v>
      </c>
      <c r="D217">
        <v>2.6999999999999997</v>
      </c>
      <c r="E217">
        <v>236.69999999999993</v>
      </c>
      <c r="F217">
        <v>75.700000000000017</v>
      </c>
      <c r="G217">
        <v>2.6999999999999997</v>
      </c>
      <c r="H217">
        <v>1.2</v>
      </c>
      <c r="I217">
        <v>470.20311383399996</v>
      </c>
      <c r="J217">
        <v>0.60616471357345714</v>
      </c>
      <c r="K217">
        <v>1000</v>
      </c>
      <c r="L217">
        <v>0</v>
      </c>
      <c r="N217">
        <v>23</v>
      </c>
      <c r="O217" s="60" t="s">
        <v>1241</v>
      </c>
      <c r="P217" t="s">
        <v>924</v>
      </c>
      <c r="Q217" t="s">
        <v>966</v>
      </c>
    </row>
    <row r="218" spans="1:17" x14ac:dyDescent="0.25">
      <c r="A218" t="s">
        <v>19</v>
      </c>
      <c r="B218">
        <v>236.7</v>
      </c>
      <c r="C218">
        <v>75.700000000000017</v>
      </c>
      <c r="D218">
        <v>2.6999999999999997</v>
      </c>
      <c r="E218">
        <v>236.7</v>
      </c>
      <c r="F218">
        <v>100.00000000000001</v>
      </c>
      <c r="G218">
        <v>2.6999999999999997</v>
      </c>
      <c r="H218">
        <v>1.2</v>
      </c>
      <c r="I218">
        <v>470.20311383399996</v>
      </c>
      <c r="J218">
        <v>10.910964844322043</v>
      </c>
      <c r="K218">
        <v>1250</v>
      </c>
      <c r="L218">
        <v>0</v>
      </c>
      <c r="N218">
        <v>23</v>
      </c>
      <c r="O218" s="60" t="s">
        <v>1242</v>
      </c>
      <c r="P218" t="s">
        <v>900</v>
      </c>
      <c r="Q218" t="s">
        <v>925</v>
      </c>
    </row>
    <row r="219" spans="1:17" x14ac:dyDescent="0.25">
      <c r="A219" t="s">
        <v>19</v>
      </c>
      <c r="B219">
        <v>236.7</v>
      </c>
      <c r="C219">
        <v>100.00000000000001</v>
      </c>
      <c r="D219">
        <v>2.6999999999999997</v>
      </c>
      <c r="E219">
        <v>235.34999999999997</v>
      </c>
      <c r="F219">
        <v>100.00000000000001</v>
      </c>
      <c r="G219">
        <v>2.6999999999999997</v>
      </c>
      <c r="H219">
        <v>1.2</v>
      </c>
      <c r="I219">
        <v>470.20311383399996</v>
      </c>
      <c r="J219">
        <v>0.60616471357345714</v>
      </c>
      <c r="K219">
        <v>1000</v>
      </c>
      <c r="L219">
        <v>0</v>
      </c>
      <c r="N219">
        <v>23</v>
      </c>
      <c r="O219" s="60" t="s">
        <v>1243</v>
      </c>
      <c r="P219" t="s">
        <v>901</v>
      </c>
      <c r="Q219" t="s">
        <v>967</v>
      </c>
    </row>
    <row r="220" spans="1:17" x14ac:dyDescent="0.25">
      <c r="A220" t="s">
        <v>19</v>
      </c>
      <c r="B220">
        <v>235.34999999999997</v>
      </c>
      <c r="C220">
        <v>100.00000000000001</v>
      </c>
      <c r="D220">
        <v>2.6999999999999997</v>
      </c>
      <c r="E220">
        <v>235.34999999999997</v>
      </c>
      <c r="F220">
        <v>75.700000000000017</v>
      </c>
      <c r="G220">
        <v>2.6999999999999997</v>
      </c>
      <c r="H220">
        <v>1.2</v>
      </c>
      <c r="I220">
        <v>470.20311383399996</v>
      </c>
      <c r="J220">
        <v>10.910964844322043</v>
      </c>
      <c r="K220">
        <v>1250</v>
      </c>
      <c r="L220">
        <v>0</v>
      </c>
      <c r="N220">
        <v>23</v>
      </c>
      <c r="O220" s="60" t="s">
        <v>1244</v>
      </c>
      <c r="P220" t="s">
        <v>923</v>
      </c>
      <c r="Q220" t="s">
        <v>927</v>
      </c>
    </row>
    <row r="221" spans="1:17" x14ac:dyDescent="0.25">
      <c r="A221" t="s">
        <v>19</v>
      </c>
      <c r="B221">
        <v>235.34999999999997</v>
      </c>
      <c r="C221">
        <v>75.700000000000017</v>
      </c>
      <c r="D221">
        <v>2.6999999999999997</v>
      </c>
      <c r="E221">
        <v>233.99999999999994</v>
      </c>
      <c r="F221">
        <v>75.700000000000017</v>
      </c>
      <c r="G221">
        <v>2.6999999999999997</v>
      </c>
      <c r="H221">
        <v>1.2</v>
      </c>
      <c r="I221">
        <v>470.20311383399996</v>
      </c>
      <c r="J221">
        <v>0.60616471357345714</v>
      </c>
      <c r="K221">
        <v>1000</v>
      </c>
      <c r="L221">
        <v>0</v>
      </c>
      <c r="N221">
        <v>23</v>
      </c>
      <c r="O221" s="60" t="s">
        <v>1245</v>
      </c>
      <c r="P221" t="s">
        <v>924</v>
      </c>
      <c r="Q221" t="s">
        <v>968</v>
      </c>
    </row>
    <row r="222" spans="1:17" x14ac:dyDescent="0.25">
      <c r="A222" t="s">
        <v>19</v>
      </c>
      <c r="B222">
        <v>233.99999999999997</v>
      </c>
      <c r="C222">
        <v>75.700000000000017</v>
      </c>
      <c r="D222">
        <v>2.6999999999999997</v>
      </c>
      <c r="E222">
        <v>233.99999999999997</v>
      </c>
      <c r="F222">
        <v>100.00000000000001</v>
      </c>
      <c r="G222">
        <v>2.6999999999999997</v>
      </c>
      <c r="H222">
        <v>1.2</v>
      </c>
      <c r="I222">
        <v>470.20311383399996</v>
      </c>
      <c r="J222">
        <v>10.910964844322043</v>
      </c>
      <c r="K222">
        <v>1250</v>
      </c>
      <c r="L222">
        <v>0</v>
      </c>
      <c r="N222">
        <v>23</v>
      </c>
      <c r="O222" s="60" t="s">
        <v>1246</v>
      </c>
      <c r="P222" t="s">
        <v>900</v>
      </c>
      <c r="Q222" t="s">
        <v>925</v>
      </c>
    </row>
    <row r="223" spans="1:17" x14ac:dyDescent="0.25">
      <c r="A223" t="s">
        <v>19</v>
      </c>
      <c r="B223">
        <v>233.99999999999997</v>
      </c>
      <c r="C223">
        <v>100.00000000000001</v>
      </c>
      <c r="D223">
        <v>2.6999999999999997</v>
      </c>
      <c r="E223">
        <v>232.64999999999995</v>
      </c>
      <c r="F223">
        <v>100.00000000000001</v>
      </c>
      <c r="G223">
        <v>2.6999999999999997</v>
      </c>
      <c r="H223">
        <v>1.2</v>
      </c>
      <c r="I223">
        <v>470.20311383399996</v>
      </c>
      <c r="J223">
        <v>0.60616471357345714</v>
      </c>
      <c r="K223">
        <v>1000</v>
      </c>
      <c r="L223">
        <v>0</v>
      </c>
      <c r="N223">
        <v>23</v>
      </c>
      <c r="O223" s="60" t="s">
        <v>1247</v>
      </c>
      <c r="P223" t="s">
        <v>901</v>
      </c>
      <c r="Q223" t="s">
        <v>969</v>
      </c>
    </row>
    <row r="224" spans="1:17" x14ac:dyDescent="0.25">
      <c r="A224" t="s">
        <v>19</v>
      </c>
      <c r="B224">
        <v>232.64999999999995</v>
      </c>
      <c r="C224">
        <v>100.00000000000001</v>
      </c>
      <c r="D224">
        <v>2.6999999999999997</v>
      </c>
      <c r="E224">
        <v>232.64999999999995</v>
      </c>
      <c r="F224">
        <v>75.700000000000017</v>
      </c>
      <c r="G224">
        <v>2.6999999999999997</v>
      </c>
      <c r="H224">
        <v>1.2</v>
      </c>
      <c r="I224">
        <v>470.20311383399996</v>
      </c>
      <c r="J224">
        <v>10.910964844322043</v>
      </c>
      <c r="K224">
        <v>1250</v>
      </c>
      <c r="L224">
        <v>0</v>
      </c>
      <c r="N224">
        <v>23</v>
      </c>
      <c r="O224" s="60" t="s">
        <v>1248</v>
      </c>
      <c r="P224" t="s">
        <v>923</v>
      </c>
      <c r="Q224" t="s">
        <v>927</v>
      </c>
    </row>
    <row r="225" spans="1:17" x14ac:dyDescent="0.25">
      <c r="A225" t="s">
        <v>19</v>
      </c>
      <c r="B225">
        <v>232.64999999999995</v>
      </c>
      <c r="C225">
        <v>75.700000000000017</v>
      </c>
      <c r="D225">
        <v>2.6999999999999997</v>
      </c>
      <c r="E225">
        <v>231.29999999999993</v>
      </c>
      <c r="F225">
        <v>75.700000000000017</v>
      </c>
      <c r="G225">
        <v>2.6999999999999997</v>
      </c>
      <c r="H225">
        <v>1.2</v>
      </c>
      <c r="I225">
        <v>470.20311383399996</v>
      </c>
      <c r="J225">
        <v>0.60616471357345714</v>
      </c>
      <c r="K225">
        <v>1000</v>
      </c>
      <c r="L225">
        <v>0</v>
      </c>
      <c r="N225">
        <v>23</v>
      </c>
      <c r="O225" s="60" t="s">
        <v>1249</v>
      </c>
      <c r="P225" t="s">
        <v>924</v>
      </c>
      <c r="Q225" t="s">
        <v>970</v>
      </c>
    </row>
    <row r="226" spans="1:17" x14ac:dyDescent="0.25">
      <c r="A226" t="s">
        <v>19</v>
      </c>
      <c r="B226">
        <v>231.29999999999998</v>
      </c>
      <c r="C226">
        <v>75.700000000000017</v>
      </c>
      <c r="D226">
        <v>2.6999999999999997</v>
      </c>
      <c r="E226">
        <v>231.29999999999998</v>
      </c>
      <c r="F226">
        <v>100.00000000000001</v>
      </c>
      <c r="G226">
        <v>2.6999999999999997</v>
      </c>
      <c r="H226">
        <v>1.2</v>
      </c>
      <c r="I226">
        <v>470.20311383399996</v>
      </c>
      <c r="J226">
        <v>10.910964844322043</v>
      </c>
      <c r="K226">
        <v>1250</v>
      </c>
      <c r="L226">
        <v>0</v>
      </c>
      <c r="N226">
        <v>23</v>
      </c>
      <c r="O226" s="60" t="s">
        <v>1250</v>
      </c>
      <c r="P226" t="s">
        <v>900</v>
      </c>
      <c r="Q226" t="s">
        <v>925</v>
      </c>
    </row>
    <row r="227" spans="1:17" x14ac:dyDescent="0.25">
      <c r="A227" t="s">
        <v>19</v>
      </c>
      <c r="B227">
        <v>231.29999999999998</v>
      </c>
      <c r="C227">
        <v>100.00000000000001</v>
      </c>
      <c r="D227">
        <v>2.6999999999999997</v>
      </c>
      <c r="E227">
        <v>229.94999999999996</v>
      </c>
      <c r="F227">
        <v>100.00000000000001</v>
      </c>
      <c r="G227">
        <v>2.6999999999999997</v>
      </c>
      <c r="H227">
        <v>1.2</v>
      </c>
      <c r="I227">
        <v>470.20311383399996</v>
      </c>
      <c r="J227">
        <v>0.60616471357345714</v>
      </c>
      <c r="K227">
        <v>1000</v>
      </c>
      <c r="L227">
        <v>0</v>
      </c>
      <c r="N227">
        <v>23</v>
      </c>
      <c r="O227" s="60" t="s">
        <v>1251</v>
      </c>
      <c r="P227" t="s">
        <v>901</v>
      </c>
      <c r="Q227" t="s">
        <v>971</v>
      </c>
    </row>
    <row r="228" spans="1:17" x14ac:dyDescent="0.25">
      <c r="A228" t="s">
        <v>19</v>
      </c>
      <c r="B228">
        <v>229.94999999999996</v>
      </c>
      <c r="C228">
        <v>100.00000000000001</v>
      </c>
      <c r="D228">
        <v>2.6999999999999997</v>
      </c>
      <c r="E228">
        <v>229.94999999999996</v>
      </c>
      <c r="F228">
        <v>75.700000000000017</v>
      </c>
      <c r="G228">
        <v>2.6999999999999997</v>
      </c>
      <c r="H228">
        <v>1.2</v>
      </c>
      <c r="I228">
        <v>470.20311383399996</v>
      </c>
      <c r="J228">
        <v>10.910964844322043</v>
      </c>
      <c r="K228">
        <v>1250</v>
      </c>
      <c r="L228">
        <v>0</v>
      </c>
      <c r="N228">
        <v>23</v>
      </c>
      <c r="O228" s="60" t="s">
        <v>1252</v>
      </c>
      <c r="P228" t="s">
        <v>923</v>
      </c>
      <c r="Q228" t="s">
        <v>927</v>
      </c>
    </row>
    <row r="229" spans="1:17" x14ac:dyDescent="0.25">
      <c r="A229" t="s">
        <v>19</v>
      </c>
      <c r="B229">
        <v>229.94999999999996</v>
      </c>
      <c r="C229">
        <v>75.700000000000017</v>
      </c>
      <c r="D229">
        <v>2.6999999999999997</v>
      </c>
      <c r="E229">
        <v>228.59999999999994</v>
      </c>
      <c r="F229">
        <v>75.700000000000017</v>
      </c>
      <c r="G229">
        <v>2.6999999999999997</v>
      </c>
      <c r="H229">
        <v>1.2</v>
      </c>
      <c r="I229">
        <v>470.20311383399996</v>
      </c>
      <c r="J229">
        <v>0.60616471357345714</v>
      </c>
      <c r="K229">
        <v>1000</v>
      </c>
      <c r="L229">
        <v>0</v>
      </c>
      <c r="N229">
        <v>23</v>
      </c>
      <c r="O229" s="60" t="s">
        <v>1253</v>
      </c>
      <c r="P229" t="s">
        <v>924</v>
      </c>
      <c r="Q229" t="s">
        <v>972</v>
      </c>
    </row>
    <row r="230" spans="1:17" x14ac:dyDescent="0.25">
      <c r="A230" t="s">
        <v>19</v>
      </c>
      <c r="B230">
        <v>228.6</v>
      </c>
      <c r="C230">
        <v>75.700000000000017</v>
      </c>
      <c r="D230">
        <v>2.6999999999999997</v>
      </c>
      <c r="E230">
        <v>228.6</v>
      </c>
      <c r="F230">
        <v>100.00000000000001</v>
      </c>
      <c r="G230">
        <v>2.6999999999999997</v>
      </c>
      <c r="H230">
        <v>1.2</v>
      </c>
      <c r="I230">
        <v>470.20311383399996</v>
      </c>
      <c r="J230">
        <v>10.910964844322043</v>
      </c>
      <c r="K230">
        <v>1250</v>
      </c>
      <c r="L230">
        <v>0</v>
      </c>
      <c r="N230">
        <v>23</v>
      </c>
      <c r="O230" s="60" t="s">
        <v>1254</v>
      </c>
      <c r="P230" t="s">
        <v>900</v>
      </c>
      <c r="Q230" t="s">
        <v>925</v>
      </c>
    </row>
    <row r="231" spans="1:17" x14ac:dyDescent="0.25">
      <c r="A231" t="s">
        <v>19</v>
      </c>
      <c r="B231">
        <v>228.6</v>
      </c>
      <c r="C231">
        <v>100.00000000000001</v>
      </c>
      <c r="D231">
        <v>2.6999999999999997</v>
      </c>
      <c r="E231">
        <v>227.24999999999997</v>
      </c>
      <c r="F231">
        <v>100.00000000000001</v>
      </c>
      <c r="G231">
        <v>2.6999999999999997</v>
      </c>
      <c r="H231">
        <v>1.2</v>
      </c>
      <c r="I231">
        <v>470.20311383399996</v>
      </c>
      <c r="J231">
        <v>0.60616471357345714</v>
      </c>
      <c r="K231">
        <v>1000</v>
      </c>
      <c r="L231">
        <v>0</v>
      </c>
      <c r="N231">
        <v>23</v>
      </c>
      <c r="O231" s="60" t="s">
        <v>1255</v>
      </c>
      <c r="P231" t="s">
        <v>901</v>
      </c>
      <c r="Q231" t="s">
        <v>973</v>
      </c>
    </row>
    <row r="232" spans="1:17" x14ac:dyDescent="0.25">
      <c r="A232" t="s">
        <v>19</v>
      </c>
      <c r="B232">
        <v>227.24999999999997</v>
      </c>
      <c r="C232">
        <v>100.00000000000001</v>
      </c>
      <c r="D232">
        <v>2.6999999999999997</v>
      </c>
      <c r="E232">
        <v>227.24999999999997</v>
      </c>
      <c r="F232">
        <v>75.700000000000017</v>
      </c>
      <c r="G232">
        <v>2.6999999999999997</v>
      </c>
      <c r="H232">
        <v>1.2</v>
      </c>
      <c r="I232">
        <v>470.20311383399996</v>
      </c>
      <c r="J232">
        <v>10.910964844322043</v>
      </c>
      <c r="K232">
        <v>1250</v>
      </c>
      <c r="L232">
        <v>0</v>
      </c>
      <c r="N232">
        <v>23</v>
      </c>
      <c r="O232" s="60" t="s">
        <v>1256</v>
      </c>
      <c r="P232" t="s">
        <v>923</v>
      </c>
      <c r="Q232" t="s">
        <v>927</v>
      </c>
    </row>
    <row r="233" spans="1:17" x14ac:dyDescent="0.25">
      <c r="A233" t="s">
        <v>19</v>
      </c>
      <c r="B233">
        <v>227.24999999999997</v>
      </c>
      <c r="C233">
        <v>75.700000000000017</v>
      </c>
      <c r="D233">
        <v>2.6999999999999997</v>
      </c>
      <c r="E233">
        <v>225.89999999999995</v>
      </c>
      <c r="F233">
        <v>75.700000000000017</v>
      </c>
      <c r="G233">
        <v>2.6999999999999997</v>
      </c>
      <c r="H233">
        <v>1.2</v>
      </c>
      <c r="I233">
        <v>470.20311383399996</v>
      </c>
      <c r="J233">
        <v>0.60616471357345714</v>
      </c>
      <c r="K233">
        <v>1000</v>
      </c>
      <c r="L233">
        <v>0</v>
      </c>
      <c r="N233">
        <v>23</v>
      </c>
      <c r="O233" s="60" t="s">
        <v>1257</v>
      </c>
      <c r="P233" t="s">
        <v>924</v>
      </c>
      <c r="Q233" t="s">
        <v>974</v>
      </c>
    </row>
    <row r="234" spans="1:17" x14ac:dyDescent="0.25">
      <c r="A234" t="s">
        <v>19</v>
      </c>
      <c r="B234">
        <v>225.89999999999998</v>
      </c>
      <c r="C234">
        <v>75.700000000000017</v>
      </c>
      <c r="D234">
        <v>2.6999999999999997</v>
      </c>
      <c r="E234">
        <v>225.89999999999998</v>
      </c>
      <c r="F234">
        <v>100.00000000000001</v>
      </c>
      <c r="G234">
        <v>2.6999999999999997</v>
      </c>
      <c r="H234">
        <v>1.2</v>
      </c>
      <c r="I234">
        <v>470.20311383399996</v>
      </c>
      <c r="J234">
        <v>10.910964844322043</v>
      </c>
      <c r="K234">
        <v>1250</v>
      </c>
      <c r="L234">
        <v>0</v>
      </c>
      <c r="N234">
        <v>23</v>
      </c>
      <c r="O234" s="60" t="s">
        <v>1258</v>
      </c>
      <c r="P234" t="s">
        <v>900</v>
      </c>
      <c r="Q234" t="s">
        <v>925</v>
      </c>
    </row>
    <row r="235" spans="1:17" x14ac:dyDescent="0.25">
      <c r="A235" t="s">
        <v>19</v>
      </c>
      <c r="B235">
        <v>225.89999999999998</v>
      </c>
      <c r="C235">
        <v>100.00000000000001</v>
      </c>
      <c r="D235">
        <v>2.6999999999999997</v>
      </c>
      <c r="E235">
        <v>224.54999999999995</v>
      </c>
      <c r="F235">
        <v>100.00000000000001</v>
      </c>
      <c r="G235">
        <v>2.6999999999999997</v>
      </c>
      <c r="H235">
        <v>1.2</v>
      </c>
      <c r="I235">
        <v>470.20311383399996</v>
      </c>
      <c r="J235">
        <v>0.60616471357345714</v>
      </c>
      <c r="K235">
        <v>1000</v>
      </c>
      <c r="L235">
        <v>0</v>
      </c>
      <c r="N235">
        <v>23</v>
      </c>
      <c r="O235" s="60" t="s">
        <v>1259</v>
      </c>
      <c r="P235" t="s">
        <v>901</v>
      </c>
      <c r="Q235" t="s">
        <v>975</v>
      </c>
    </row>
    <row r="236" spans="1:17" x14ac:dyDescent="0.25">
      <c r="A236" t="s">
        <v>19</v>
      </c>
      <c r="B236">
        <v>224.54999999999995</v>
      </c>
      <c r="C236">
        <v>100.00000000000001</v>
      </c>
      <c r="D236">
        <v>2.6999999999999997</v>
      </c>
      <c r="E236">
        <v>224.54999999999995</v>
      </c>
      <c r="F236">
        <v>75.700000000000017</v>
      </c>
      <c r="G236">
        <v>2.6999999999999997</v>
      </c>
      <c r="H236">
        <v>1.2</v>
      </c>
      <c r="I236">
        <v>470.20311383399996</v>
      </c>
      <c r="J236">
        <v>10.910964844322043</v>
      </c>
      <c r="K236">
        <v>1250</v>
      </c>
      <c r="L236">
        <v>0</v>
      </c>
      <c r="N236">
        <v>23</v>
      </c>
      <c r="O236" s="60" t="s">
        <v>1260</v>
      </c>
      <c r="P236" t="s">
        <v>923</v>
      </c>
      <c r="Q236" t="s">
        <v>927</v>
      </c>
    </row>
    <row r="237" spans="1:17" x14ac:dyDescent="0.25">
      <c r="A237" t="s">
        <v>19</v>
      </c>
      <c r="B237">
        <v>224.54999999999995</v>
      </c>
      <c r="C237">
        <v>75.700000000000017</v>
      </c>
      <c r="D237">
        <v>2.6999999999999997</v>
      </c>
      <c r="E237">
        <v>223.19999999999993</v>
      </c>
      <c r="F237">
        <v>75.700000000000017</v>
      </c>
      <c r="G237">
        <v>2.6999999999999997</v>
      </c>
      <c r="H237">
        <v>1.2</v>
      </c>
      <c r="I237">
        <v>470.20311383399996</v>
      </c>
      <c r="J237">
        <v>0.60616471357345714</v>
      </c>
      <c r="K237">
        <v>1000</v>
      </c>
      <c r="L237">
        <v>0</v>
      </c>
      <c r="N237">
        <v>23</v>
      </c>
      <c r="O237" s="60" t="s">
        <v>1261</v>
      </c>
      <c r="P237" t="s">
        <v>924</v>
      </c>
      <c r="Q237" t="s">
        <v>976</v>
      </c>
    </row>
    <row r="238" spans="1:17" x14ac:dyDescent="0.25">
      <c r="A238" t="s">
        <v>19</v>
      </c>
      <c r="B238">
        <v>223.2</v>
      </c>
      <c r="C238">
        <v>75.700000000000017</v>
      </c>
      <c r="D238">
        <v>2.6999999999999997</v>
      </c>
      <c r="E238">
        <v>223.2</v>
      </c>
      <c r="F238">
        <v>100.00000000000001</v>
      </c>
      <c r="G238">
        <v>2.6999999999999997</v>
      </c>
      <c r="H238">
        <v>1.2</v>
      </c>
      <c r="I238">
        <v>470.20311383399996</v>
      </c>
      <c r="J238">
        <v>10.910964844322043</v>
      </c>
      <c r="K238">
        <v>1250</v>
      </c>
      <c r="L238">
        <v>0</v>
      </c>
      <c r="N238">
        <v>23</v>
      </c>
      <c r="O238" s="60" t="s">
        <v>1262</v>
      </c>
      <c r="P238" t="s">
        <v>900</v>
      </c>
      <c r="Q238" t="s">
        <v>925</v>
      </c>
    </row>
    <row r="239" spans="1:17" x14ac:dyDescent="0.25">
      <c r="A239" t="s">
        <v>19</v>
      </c>
      <c r="B239">
        <v>223.2</v>
      </c>
      <c r="C239">
        <v>100.00000000000001</v>
      </c>
      <c r="D239">
        <v>2.6999999999999997</v>
      </c>
      <c r="E239">
        <v>221.84999999999997</v>
      </c>
      <c r="F239">
        <v>100.00000000000001</v>
      </c>
      <c r="G239">
        <v>2.6999999999999997</v>
      </c>
      <c r="H239">
        <v>1.2</v>
      </c>
      <c r="I239">
        <v>470.20311383399996</v>
      </c>
      <c r="J239">
        <v>0.60616471357345714</v>
      </c>
      <c r="K239">
        <v>1000</v>
      </c>
      <c r="L239">
        <v>0</v>
      </c>
      <c r="N239">
        <v>23</v>
      </c>
      <c r="O239" s="60" t="s">
        <v>1263</v>
      </c>
      <c r="P239" t="s">
        <v>901</v>
      </c>
      <c r="Q239" t="s">
        <v>977</v>
      </c>
    </row>
    <row r="240" spans="1:17" x14ac:dyDescent="0.25">
      <c r="A240" t="s">
        <v>19</v>
      </c>
      <c r="B240">
        <v>221.84999999999997</v>
      </c>
      <c r="C240">
        <v>100.00000000000001</v>
      </c>
      <c r="D240">
        <v>2.6999999999999997</v>
      </c>
      <c r="E240">
        <v>221.84999999999997</v>
      </c>
      <c r="F240">
        <v>75.700000000000017</v>
      </c>
      <c r="G240">
        <v>2.6999999999999997</v>
      </c>
      <c r="H240">
        <v>1.2</v>
      </c>
      <c r="I240">
        <v>470.20311383399996</v>
      </c>
      <c r="J240">
        <v>10.910964844322043</v>
      </c>
      <c r="K240">
        <v>1250</v>
      </c>
      <c r="L240">
        <v>0</v>
      </c>
      <c r="N240">
        <v>23</v>
      </c>
      <c r="O240" s="60" t="s">
        <v>1264</v>
      </c>
      <c r="P240" t="s">
        <v>923</v>
      </c>
      <c r="Q240" t="s">
        <v>927</v>
      </c>
    </row>
    <row r="241" spans="1:17" x14ac:dyDescent="0.25">
      <c r="A241" t="s">
        <v>19</v>
      </c>
      <c r="B241">
        <v>221.84999999999997</v>
      </c>
      <c r="C241">
        <v>75.700000000000017</v>
      </c>
      <c r="D241">
        <v>2.6999999999999997</v>
      </c>
      <c r="E241">
        <v>220.49999999999994</v>
      </c>
      <c r="F241">
        <v>75.700000000000017</v>
      </c>
      <c r="G241">
        <v>2.6999999999999997</v>
      </c>
      <c r="H241">
        <v>1.2</v>
      </c>
      <c r="I241">
        <v>470.20311383399996</v>
      </c>
      <c r="J241">
        <v>0.60616471357345714</v>
      </c>
      <c r="K241">
        <v>1000</v>
      </c>
      <c r="L241">
        <v>0</v>
      </c>
      <c r="N241">
        <v>23</v>
      </c>
      <c r="O241" s="60" t="s">
        <v>1265</v>
      </c>
      <c r="P241" t="s">
        <v>924</v>
      </c>
      <c r="Q241" t="s">
        <v>978</v>
      </c>
    </row>
    <row r="242" spans="1:17" x14ac:dyDescent="0.25">
      <c r="A242" t="s">
        <v>19</v>
      </c>
      <c r="B242">
        <v>220.49999999999997</v>
      </c>
      <c r="C242">
        <v>75.700000000000017</v>
      </c>
      <c r="D242">
        <v>2.6999999999999997</v>
      </c>
      <c r="E242">
        <v>220.49999999999997</v>
      </c>
      <c r="F242">
        <v>100.00000000000001</v>
      </c>
      <c r="G242">
        <v>2.6999999999999997</v>
      </c>
      <c r="H242">
        <v>1.2</v>
      </c>
      <c r="I242">
        <v>470.20311383399996</v>
      </c>
      <c r="J242">
        <v>10.910964844322043</v>
      </c>
      <c r="K242">
        <v>1250</v>
      </c>
      <c r="L242">
        <v>0</v>
      </c>
      <c r="N242">
        <v>23</v>
      </c>
      <c r="O242" s="60" t="s">
        <v>1266</v>
      </c>
      <c r="P242" t="s">
        <v>900</v>
      </c>
      <c r="Q242" t="s">
        <v>925</v>
      </c>
    </row>
    <row r="243" spans="1:17" x14ac:dyDescent="0.25">
      <c r="A243" t="s">
        <v>19</v>
      </c>
      <c r="B243">
        <v>220.49999999999997</v>
      </c>
      <c r="C243">
        <v>100.00000000000001</v>
      </c>
      <c r="D243">
        <v>2.6999999999999997</v>
      </c>
      <c r="E243">
        <v>219.14999999999995</v>
      </c>
      <c r="F243">
        <v>100.00000000000001</v>
      </c>
      <c r="G243">
        <v>2.6999999999999997</v>
      </c>
      <c r="H243">
        <v>1.2</v>
      </c>
      <c r="I243">
        <v>470.20311383399996</v>
      </c>
      <c r="J243">
        <v>0.60616471357345714</v>
      </c>
      <c r="K243">
        <v>1000</v>
      </c>
      <c r="L243">
        <v>0</v>
      </c>
      <c r="N243">
        <v>23</v>
      </c>
      <c r="O243" s="60" t="s">
        <v>1267</v>
      </c>
      <c r="P243" t="s">
        <v>901</v>
      </c>
      <c r="Q243" t="s">
        <v>979</v>
      </c>
    </row>
    <row r="244" spans="1:17" x14ac:dyDescent="0.25">
      <c r="A244" t="s">
        <v>19</v>
      </c>
      <c r="B244">
        <v>219.14999999999995</v>
      </c>
      <c r="C244">
        <v>100.00000000000001</v>
      </c>
      <c r="D244">
        <v>2.6999999999999997</v>
      </c>
      <c r="E244">
        <v>219.14999999999995</v>
      </c>
      <c r="F244">
        <v>75.700000000000017</v>
      </c>
      <c r="G244">
        <v>2.6999999999999997</v>
      </c>
      <c r="H244">
        <v>1.2</v>
      </c>
      <c r="I244">
        <v>470.20311383399996</v>
      </c>
      <c r="J244">
        <v>10.910964844322043</v>
      </c>
      <c r="K244">
        <v>1250</v>
      </c>
      <c r="L244">
        <v>0</v>
      </c>
      <c r="N244">
        <v>23</v>
      </c>
      <c r="O244" s="60" t="s">
        <v>1268</v>
      </c>
      <c r="P244" t="s">
        <v>923</v>
      </c>
      <c r="Q244" t="s">
        <v>927</v>
      </c>
    </row>
    <row r="245" spans="1:17" x14ac:dyDescent="0.25">
      <c r="A245" t="s">
        <v>19</v>
      </c>
      <c r="B245">
        <v>219.14999999999995</v>
      </c>
      <c r="C245">
        <v>75.700000000000017</v>
      </c>
      <c r="D245">
        <v>2.6999999999999997</v>
      </c>
      <c r="E245">
        <v>217.79999999999993</v>
      </c>
      <c r="F245">
        <v>75.700000000000017</v>
      </c>
      <c r="G245">
        <v>2.6999999999999997</v>
      </c>
      <c r="H245">
        <v>1.2</v>
      </c>
      <c r="I245">
        <v>470.20311383399996</v>
      </c>
      <c r="J245">
        <v>0.60616471357345714</v>
      </c>
      <c r="K245">
        <v>1000</v>
      </c>
      <c r="L245">
        <v>0</v>
      </c>
      <c r="N245">
        <v>23</v>
      </c>
      <c r="O245" s="60" t="s">
        <v>1269</v>
      </c>
      <c r="P245" t="s">
        <v>924</v>
      </c>
      <c r="Q245" t="s">
        <v>980</v>
      </c>
    </row>
    <row r="246" spans="1:17" x14ac:dyDescent="0.25">
      <c r="A246" t="s">
        <v>19</v>
      </c>
      <c r="B246">
        <v>217.79999999999998</v>
      </c>
      <c r="C246">
        <v>75.700000000000017</v>
      </c>
      <c r="D246">
        <v>2.6999999999999997</v>
      </c>
      <c r="E246">
        <v>217.79999999999998</v>
      </c>
      <c r="F246">
        <v>100.00000000000001</v>
      </c>
      <c r="G246">
        <v>2.6999999999999997</v>
      </c>
      <c r="H246">
        <v>1.2</v>
      </c>
      <c r="I246">
        <v>470.20311383399996</v>
      </c>
      <c r="J246">
        <v>10.910964844322043</v>
      </c>
      <c r="K246">
        <v>1250</v>
      </c>
      <c r="L246">
        <v>0</v>
      </c>
      <c r="N246">
        <v>23</v>
      </c>
      <c r="O246" s="60" t="s">
        <v>1270</v>
      </c>
      <c r="P246" t="s">
        <v>900</v>
      </c>
      <c r="Q246" t="s">
        <v>925</v>
      </c>
    </row>
    <row r="247" spans="1:17" x14ac:dyDescent="0.25">
      <c r="A247" t="s">
        <v>19</v>
      </c>
      <c r="B247">
        <v>217.79999999999998</v>
      </c>
      <c r="C247">
        <v>100.00000000000001</v>
      </c>
      <c r="D247">
        <v>2.6999999999999997</v>
      </c>
      <c r="E247">
        <v>216.44999999999996</v>
      </c>
      <c r="F247">
        <v>100.00000000000001</v>
      </c>
      <c r="G247">
        <v>2.6999999999999997</v>
      </c>
      <c r="H247">
        <v>1.2</v>
      </c>
      <c r="I247">
        <v>470.20311383399996</v>
      </c>
      <c r="J247">
        <v>0.60616471357345714</v>
      </c>
      <c r="K247">
        <v>1000</v>
      </c>
      <c r="L247">
        <v>0</v>
      </c>
      <c r="N247">
        <v>23</v>
      </c>
      <c r="O247" s="60" t="s">
        <v>1271</v>
      </c>
      <c r="P247" t="s">
        <v>901</v>
      </c>
      <c r="Q247" t="s">
        <v>981</v>
      </c>
    </row>
    <row r="248" spans="1:17" x14ac:dyDescent="0.25">
      <c r="A248" t="s">
        <v>19</v>
      </c>
      <c r="B248">
        <v>216.44999999999996</v>
      </c>
      <c r="C248">
        <v>100.00000000000001</v>
      </c>
      <c r="D248">
        <v>2.6999999999999997</v>
      </c>
      <c r="E248">
        <v>216.44999999999996</v>
      </c>
      <c r="F248">
        <v>75.700000000000017</v>
      </c>
      <c r="G248">
        <v>2.6999999999999997</v>
      </c>
      <c r="H248">
        <v>1.2</v>
      </c>
      <c r="I248">
        <v>470.20311383399996</v>
      </c>
      <c r="J248">
        <v>10.910964844322043</v>
      </c>
      <c r="K248">
        <v>1250</v>
      </c>
      <c r="L248">
        <v>0</v>
      </c>
      <c r="N248">
        <v>23</v>
      </c>
      <c r="O248" s="60" t="s">
        <v>1272</v>
      </c>
      <c r="P248" t="s">
        <v>923</v>
      </c>
      <c r="Q248" t="s">
        <v>927</v>
      </c>
    </row>
    <row r="249" spans="1:17" x14ac:dyDescent="0.25">
      <c r="A249" t="s">
        <v>19</v>
      </c>
      <c r="B249">
        <v>216.44999999999996</v>
      </c>
      <c r="C249">
        <v>75.700000000000017</v>
      </c>
      <c r="D249">
        <v>2.6999999999999997</v>
      </c>
      <c r="E249">
        <v>215.09999999999994</v>
      </c>
      <c r="F249">
        <v>75.700000000000017</v>
      </c>
      <c r="G249">
        <v>2.6999999999999997</v>
      </c>
      <c r="H249">
        <v>1.2</v>
      </c>
      <c r="I249">
        <v>470.20311383399996</v>
      </c>
      <c r="J249">
        <v>0.60616471357345714</v>
      </c>
      <c r="K249">
        <v>1000</v>
      </c>
      <c r="L249">
        <v>0</v>
      </c>
      <c r="N249">
        <v>23</v>
      </c>
      <c r="O249" s="60" t="s">
        <v>1273</v>
      </c>
      <c r="P249" t="s">
        <v>924</v>
      </c>
      <c r="Q249" t="s">
        <v>982</v>
      </c>
    </row>
    <row r="250" spans="1:17" x14ac:dyDescent="0.25">
      <c r="A250" t="s">
        <v>19</v>
      </c>
      <c r="B250">
        <v>215.1</v>
      </c>
      <c r="C250">
        <v>75.700000000000017</v>
      </c>
      <c r="D250">
        <v>2.6999999999999997</v>
      </c>
      <c r="E250">
        <v>215.1</v>
      </c>
      <c r="F250">
        <v>100.00000000000001</v>
      </c>
      <c r="G250">
        <v>2.6999999999999997</v>
      </c>
      <c r="H250">
        <v>1.2</v>
      </c>
      <c r="I250">
        <v>470.20311383399996</v>
      </c>
      <c r="J250">
        <v>10.910964844322043</v>
      </c>
      <c r="K250">
        <v>1250</v>
      </c>
      <c r="L250">
        <v>0</v>
      </c>
      <c r="N250">
        <v>23</v>
      </c>
      <c r="O250" s="60" t="s">
        <v>1274</v>
      </c>
      <c r="P250" t="s">
        <v>900</v>
      </c>
      <c r="Q250" t="s">
        <v>925</v>
      </c>
    </row>
    <row r="251" spans="1:17" x14ac:dyDescent="0.25">
      <c r="A251" t="s">
        <v>19</v>
      </c>
      <c r="B251">
        <v>215.1</v>
      </c>
      <c r="C251">
        <v>100.00000000000001</v>
      </c>
      <c r="D251">
        <v>2.6999999999999997</v>
      </c>
      <c r="E251">
        <v>213.74999999999997</v>
      </c>
      <c r="F251">
        <v>100.00000000000001</v>
      </c>
      <c r="G251">
        <v>2.6999999999999997</v>
      </c>
      <c r="H251">
        <v>1.2</v>
      </c>
      <c r="I251">
        <v>470.20311383399996</v>
      </c>
      <c r="J251">
        <v>0.60616471357345714</v>
      </c>
      <c r="K251">
        <v>1000</v>
      </c>
      <c r="L251">
        <v>0</v>
      </c>
      <c r="N251">
        <v>23</v>
      </c>
      <c r="O251" s="60" t="s">
        <v>1275</v>
      </c>
      <c r="P251" t="s">
        <v>901</v>
      </c>
      <c r="Q251" t="s">
        <v>983</v>
      </c>
    </row>
    <row r="252" spans="1:17" x14ac:dyDescent="0.25">
      <c r="A252" t="s">
        <v>19</v>
      </c>
      <c r="B252">
        <v>213.74999999999997</v>
      </c>
      <c r="C252">
        <v>100.00000000000001</v>
      </c>
      <c r="D252">
        <v>2.6999999999999997</v>
      </c>
      <c r="E252">
        <v>213.74999999999997</v>
      </c>
      <c r="F252">
        <v>75.700000000000017</v>
      </c>
      <c r="G252">
        <v>2.6999999999999997</v>
      </c>
      <c r="H252">
        <v>1.2</v>
      </c>
      <c r="I252">
        <v>470.20311383399996</v>
      </c>
      <c r="J252">
        <v>10.910964844322043</v>
      </c>
      <c r="K252">
        <v>1250</v>
      </c>
      <c r="L252">
        <v>0</v>
      </c>
      <c r="N252">
        <v>23</v>
      </c>
      <c r="O252" s="60" t="s">
        <v>1276</v>
      </c>
      <c r="P252" t="s">
        <v>923</v>
      </c>
      <c r="Q252" t="s">
        <v>927</v>
      </c>
    </row>
    <row r="253" spans="1:17" x14ac:dyDescent="0.25">
      <c r="A253" t="s">
        <v>19</v>
      </c>
      <c r="B253">
        <v>213.74999999999997</v>
      </c>
      <c r="C253">
        <v>75.700000000000017</v>
      </c>
      <c r="D253">
        <v>2.6999999999999997</v>
      </c>
      <c r="E253">
        <v>212.39999999999995</v>
      </c>
      <c r="F253">
        <v>75.700000000000017</v>
      </c>
      <c r="G253">
        <v>2.6999999999999997</v>
      </c>
      <c r="H253">
        <v>1.2</v>
      </c>
      <c r="I253">
        <v>470.20311383399996</v>
      </c>
      <c r="J253">
        <v>0.60616471357345714</v>
      </c>
      <c r="K253">
        <v>1000</v>
      </c>
      <c r="L253">
        <v>0</v>
      </c>
      <c r="N253">
        <v>23</v>
      </c>
      <c r="O253" s="60" t="s">
        <v>1277</v>
      </c>
      <c r="P253" t="s">
        <v>924</v>
      </c>
      <c r="Q253" t="s">
        <v>984</v>
      </c>
    </row>
    <row r="254" spans="1:17" x14ac:dyDescent="0.25">
      <c r="A254" t="s">
        <v>19</v>
      </c>
      <c r="B254">
        <v>212.39999999999998</v>
      </c>
      <c r="C254">
        <v>75.700000000000017</v>
      </c>
      <c r="D254">
        <v>2.6999999999999997</v>
      </c>
      <c r="E254">
        <v>212.39999999999998</v>
      </c>
      <c r="F254">
        <v>100.00000000000001</v>
      </c>
      <c r="G254">
        <v>2.6999999999999997</v>
      </c>
      <c r="H254">
        <v>1.2</v>
      </c>
      <c r="I254">
        <v>470.20311383399996</v>
      </c>
      <c r="J254">
        <v>10.910964844322043</v>
      </c>
      <c r="K254">
        <v>1250</v>
      </c>
      <c r="L254">
        <v>0</v>
      </c>
      <c r="N254">
        <v>23</v>
      </c>
      <c r="O254" s="60" t="s">
        <v>1278</v>
      </c>
      <c r="P254" t="s">
        <v>900</v>
      </c>
      <c r="Q254" t="s">
        <v>925</v>
      </c>
    </row>
    <row r="255" spans="1:17" x14ac:dyDescent="0.25">
      <c r="A255" t="s">
        <v>19</v>
      </c>
      <c r="B255">
        <v>212.39999999999998</v>
      </c>
      <c r="C255">
        <v>100.00000000000001</v>
      </c>
      <c r="D255">
        <v>2.6999999999999997</v>
      </c>
      <c r="E255">
        <v>211.04999999999995</v>
      </c>
      <c r="F255">
        <v>100.00000000000001</v>
      </c>
      <c r="G255">
        <v>2.6999999999999997</v>
      </c>
      <c r="H255">
        <v>1.2</v>
      </c>
      <c r="I255">
        <v>470.20311383399996</v>
      </c>
      <c r="J255">
        <v>0.60616471357345714</v>
      </c>
      <c r="K255">
        <v>1000</v>
      </c>
      <c r="L255">
        <v>0</v>
      </c>
      <c r="N255">
        <v>23</v>
      </c>
      <c r="O255" s="60" t="s">
        <v>1279</v>
      </c>
      <c r="P255" t="s">
        <v>901</v>
      </c>
      <c r="Q255" t="s">
        <v>985</v>
      </c>
    </row>
    <row r="256" spans="1:17" x14ac:dyDescent="0.25">
      <c r="A256" t="s">
        <v>19</v>
      </c>
      <c r="B256">
        <v>211.04999999999995</v>
      </c>
      <c r="C256">
        <v>100.00000000000001</v>
      </c>
      <c r="D256">
        <v>2.6999999999999997</v>
      </c>
      <c r="E256">
        <v>211.04999999999995</v>
      </c>
      <c r="F256">
        <v>75.700000000000017</v>
      </c>
      <c r="G256">
        <v>2.6999999999999997</v>
      </c>
      <c r="H256">
        <v>1.2</v>
      </c>
      <c r="I256">
        <v>470.20311383399996</v>
      </c>
      <c r="J256">
        <v>10.910964844322043</v>
      </c>
      <c r="K256">
        <v>1250</v>
      </c>
      <c r="L256">
        <v>0</v>
      </c>
      <c r="N256">
        <v>23</v>
      </c>
      <c r="O256" s="60" t="s">
        <v>1280</v>
      </c>
      <c r="P256" t="s">
        <v>923</v>
      </c>
      <c r="Q256" t="s">
        <v>927</v>
      </c>
    </row>
    <row r="257" spans="1:17" x14ac:dyDescent="0.25">
      <c r="A257" t="s">
        <v>19</v>
      </c>
      <c r="B257">
        <v>211.04999999999995</v>
      </c>
      <c r="C257">
        <v>75.700000000000017</v>
      </c>
      <c r="D257">
        <v>2.6999999999999997</v>
      </c>
      <c r="E257">
        <v>209.69999999999993</v>
      </c>
      <c r="F257">
        <v>75.700000000000017</v>
      </c>
      <c r="G257">
        <v>2.6999999999999997</v>
      </c>
      <c r="H257">
        <v>1.2</v>
      </c>
      <c r="I257">
        <v>470.20311383399996</v>
      </c>
      <c r="J257">
        <v>0.60616471357345714</v>
      </c>
      <c r="K257">
        <v>1000</v>
      </c>
      <c r="L257">
        <v>0</v>
      </c>
      <c r="N257">
        <v>23</v>
      </c>
      <c r="O257" s="60" t="s">
        <v>1281</v>
      </c>
      <c r="P257" t="s">
        <v>924</v>
      </c>
      <c r="Q257" t="s">
        <v>986</v>
      </c>
    </row>
    <row r="258" spans="1:17" x14ac:dyDescent="0.25">
      <c r="A258" t="s">
        <v>19</v>
      </c>
      <c r="B258">
        <v>209.7</v>
      </c>
      <c r="C258">
        <v>75.700000000000017</v>
      </c>
      <c r="D258">
        <v>2.6999999999999997</v>
      </c>
      <c r="E258">
        <v>209.7</v>
      </c>
      <c r="F258">
        <v>100.00000000000001</v>
      </c>
      <c r="G258">
        <v>2.6999999999999997</v>
      </c>
      <c r="H258">
        <v>1.2</v>
      </c>
      <c r="I258">
        <v>470.20311383399996</v>
      </c>
      <c r="J258">
        <v>10.910964844322043</v>
      </c>
      <c r="K258">
        <v>1250</v>
      </c>
      <c r="L258">
        <v>0</v>
      </c>
      <c r="N258">
        <v>23</v>
      </c>
      <c r="O258" s="60" t="s">
        <v>1282</v>
      </c>
      <c r="P258" t="s">
        <v>900</v>
      </c>
      <c r="Q258" t="s">
        <v>925</v>
      </c>
    </row>
    <row r="259" spans="1:17" x14ac:dyDescent="0.25">
      <c r="A259" t="s">
        <v>19</v>
      </c>
      <c r="B259">
        <v>209.7</v>
      </c>
      <c r="C259">
        <v>100.00000000000001</v>
      </c>
      <c r="D259">
        <v>2.6999999999999997</v>
      </c>
      <c r="E259">
        <v>208.34999999999997</v>
      </c>
      <c r="F259">
        <v>100.00000000000001</v>
      </c>
      <c r="G259">
        <v>2.6999999999999997</v>
      </c>
      <c r="H259">
        <v>1.2</v>
      </c>
      <c r="I259">
        <v>470.20311383399996</v>
      </c>
      <c r="J259">
        <v>0.60616471357345714</v>
      </c>
      <c r="K259">
        <v>1000</v>
      </c>
      <c r="L259">
        <v>0</v>
      </c>
      <c r="N259">
        <v>23</v>
      </c>
      <c r="O259" s="60" t="s">
        <v>1283</v>
      </c>
      <c r="P259" t="s">
        <v>901</v>
      </c>
      <c r="Q259" t="s">
        <v>987</v>
      </c>
    </row>
    <row r="260" spans="1:17" x14ac:dyDescent="0.25">
      <c r="A260" t="s">
        <v>19</v>
      </c>
      <c r="B260">
        <v>208.34999999999997</v>
      </c>
      <c r="C260">
        <v>100.00000000000001</v>
      </c>
      <c r="D260">
        <v>2.6999999999999997</v>
      </c>
      <c r="E260">
        <v>208.34999999999997</v>
      </c>
      <c r="F260">
        <v>75.700000000000017</v>
      </c>
      <c r="G260">
        <v>2.6999999999999997</v>
      </c>
      <c r="H260">
        <v>1.2</v>
      </c>
      <c r="I260">
        <v>470.20311383399996</v>
      </c>
      <c r="J260">
        <v>10.910964844322043</v>
      </c>
      <c r="K260">
        <v>1250</v>
      </c>
      <c r="L260">
        <v>0</v>
      </c>
      <c r="N260">
        <v>23</v>
      </c>
      <c r="O260" s="60" t="s">
        <v>1284</v>
      </c>
      <c r="P260" t="s">
        <v>923</v>
      </c>
      <c r="Q260" t="s">
        <v>927</v>
      </c>
    </row>
    <row r="261" spans="1:17" x14ac:dyDescent="0.25">
      <c r="A261" t="s">
        <v>19</v>
      </c>
      <c r="B261">
        <v>208.34999999999997</v>
      </c>
      <c r="C261">
        <v>75.700000000000017</v>
      </c>
      <c r="D261">
        <v>2.6999999999999997</v>
      </c>
      <c r="E261">
        <v>206.99999999999994</v>
      </c>
      <c r="F261">
        <v>75.700000000000017</v>
      </c>
      <c r="G261">
        <v>2.6999999999999997</v>
      </c>
      <c r="H261">
        <v>1.2</v>
      </c>
      <c r="I261">
        <v>470.20311383399996</v>
      </c>
      <c r="J261">
        <v>0.60616471357345714</v>
      </c>
      <c r="K261">
        <v>1000</v>
      </c>
      <c r="L261">
        <v>0</v>
      </c>
      <c r="N261">
        <v>23</v>
      </c>
      <c r="O261" s="60" t="s">
        <v>1285</v>
      </c>
      <c r="P261" t="s">
        <v>924</v>
      </c>
      <c r="Q261" t="s">
        <v>988</v>
      </c>
    </row>
    <row r="262" spans="1:17" x14ac:dyDescent="0.25">
      <c r="A262" t="s">
        <v>19</v>
      </c>
      <c r="B262">
        <v>206.99999999999997</v>
      </c>
      <c r="C262">
        <v>75.700000000000017</v>
      </c>
      <c r="D262">
        <v>2.6999999999999997</v>
      </c>
      <c r="E262">
        <v>206.99999999999997</v>
      </c>
      <c r="F262">
        <v>100.00000000000001</v>
      </c>
      <c r="G262">
        <v>2.6999999999999997</v>
      </c>
      <c r="H262">
        <v>1.2</v>
      </c>
      <c r="I262">
        <v>470.20311383399996</v>
      </c>
      <c r="J262">
        <v>10.910964844322043</v>
      </c>
      <c r="K262">
        <v>1250</v>
      </c>
      <c r="L262">
        <v>0</v>
      </c>
      <c r="N262">
        <v>23</v>
      </c>
      <c r="O262" s="60" t="s">
        <v>1286</v>
      </c>
      <c r="P262" t="s">
        <v>900</v>
      </c>
      <c r="Q262" t="s">
        <v>925</v>
      </c>
    </row>
    <row r="263" spans="1:17" x14ac:dyDescent="0.25">
      <c r="A263" t="s">
        <v>19</v>
      </c>
      <c r="B263">
        <v>206.99999999999997</v>
      </c>
      <c r="C263">
        <v>100.00000000000001</v>
      </c>
      <c r="D263">
        <v>2.6999999999999997</v>
      </c>
      <c r="E263">
        <v>205.64999999999995</v>
      </c>
      <c r="F263">
        <v>100.00000000000001</v>
      </c>
      <c r="G263">
        <v>2.6999999999999997</v>
      </c>
      <c r="H263">
        <v>1.2</v>
      </c>
      <c r="I263">
        <v>470.20311383399996</v>
      </c>
      <c r="J263">
        <v>0.60616471357345714</v>
      </c>
      <c r="K263">
        <v>1000</v>
      </c>
      <c r="L263">
        <v>0</v>
      </c>
      <c r="N263">
        <v>23</v>
      </c>
      <c r="O263" s="60" t="s">
        <v>1287</v>
      </c>
      <c r="P263" t="s">
        <v>901</v>
      </c>
      <c r="Q263" t="s">
        <v>989</v>
      </c>
    </row>
    <row r="264" spans="1:17" x14ac:dyDescent="0.25">
      <c r="A264" t="s">
        <v>19</v>
      </c>
      <c r="B264">
        <v>205.64999999999995</v>
      </c>
      <c r="C264">
        <v>100.00000000000001</v>
      </c>
      <c r="D264">
        <v>2.6999999999999997</v>
      </c>
      <c r="E264">
        <v>205.64999999999995</v>
      </c>
      <c r="F264">
        <v>75.700000000000017</v>
      </c>
      <c r="G264">
        <v>2.6999999999999997</v>
      </c>
      <c r="H264">
        <v>1.2</v>
      </c>
      <c r="I264">
        <v>470.20311383399996</v>
      </c>
      <c r="J264">
        <v>10.910964844322043</v>
      </c>
      <c r="K264">
        <v>1250</v>
      </c>
      <c r="L264">
        <v>0</v>
      </c>
      <c r="N264">
        <v>23</v>
      </c>
      <c r="O264" s="60" t="s">
        <v>1288</v>
      </c>
      <c r="P264" t="s">
        <v>923</v>
      </c>
      <c r="Q264" t="s">
        <v>927</v>
      </c>
    </row>
    <row r="265" spans="1:17" x14ac:dyDescent="0.25">
      <c r="A265" t="s">
        <v>19</v>
      </c>
      <c r="B265">
        <v>205.64999999999995</v>
      </c>
      <c r="C265">
        <v>75.700000000000017</v>
      </c>
      <c r="D265">
        <v>2.6999999999999997</v>
      </c>
      <c r="E265">
        <v>204.29999999999993</v>
      </c>
      <c r="F265">
        <v>75.700000000000017</v>
      </c>
      <c r="G265">
        <v>2.6999999999999997</v>
      </c>
      <c r="H265">
        <v>1.2</v>
      </c>
      <c r="I265">
        <v>470.20311383399996</v>
      </c>
      <c r="J265">
        <v>0.60616471357345714</v>
      </c>
      <c r="K265">
        <v>1000</v>
      </c>
      <c r="L265">
        <v>0</v>
      </c>
      <c r="N265">
        <v>23</v>
      </c>
      <c r="O265" s="60" t="s">
        <v>1289</v>
      </c>
      <c r="P265" t="s">
        <v>924</v>
      </c>
      <c r="Q265" t="s">
        <v>990</v>
      </c>
    </row>
    <row r="266" spans="1:17" x14ac:dyDescent="0.25">
      <c r="A266" t="s">
        <v>19</v>
      </c>
      <c r="B266">
        <v>204.29999999999998</v>
      </c>
      <c r="C266">
        <v>75.700000000000017</v>
      </c>
      <c r="D266">
        <v>2.6999999999999997</v>
      </c>
      <c r="E266">
        <v>204.29999999999998</v>
      </c>
      <c r="F266">
        <v>100.00000000000001</v>
      </c>
      <c r="G266">
        <v>2.6999999999999997</v>
      </c>
      <c r="H266">
        <v>1.2</v>
      </c>
      <c r="I266">
        <v>470.20311383399996</v>
      </c>
      <c r="J266">
        <v>10.910964844322043</v>
      </c>
      <c r="K266">
        <v>1250</v>
      </c>
      <c r="L266">
        <v>0</v>
      </c>
      <c r="N266">
        <v>23</v>
      </c>
      <c r="O266" s="60" t="s">
        <v>1290</v>
      </c>
      <c r="P266" t="s">
        <v>900</v>
      </c>
      <c r="Q266" t="s">
        <v>925</v>
      </c>
    </row>
    <row r="267" spans="1:17" x14ac:dyDescent="0.25">
      <c r="A267" t="s">
        <v>19</v>
      </c>
      <c r="B267">
        <v>204.29999999999998</v>
      </c>
      <c r="C267">
        <v>100.00000000000001</v>
      </c>
      <c r="D267">
        <v>2.6999999999999997</v>
      </c>
      <c r="E267">
        <v>202.94999999999996</v>
      </c>
      <c r="F267">
        <v>100.00000000000001</v>
      </c>
      <c r="G267">
        <v>2.6999999999999997</v>
      </c>
      <c r="H267">
        <v>1.2</v>
      </c>
      <c r="I267">
        <v>470.20311383399996</v>
      </c>
      <c r="J267">
        <v>0.60616471357345714</v>
      </c>
      <c r="K267">
        <v>1000</v>
      </c>
      <c r="L267">
        <v>0</v>
      </c>
      <c r="N267">
        <v>23</v>
      </c>
      <c r="O267" s="60" t="s">
        <v>1291</v>
      </c>
      <c r="P267" t="s">
        <v>901</v>
      </c>
      <c r="Q267" t="s">
        <v>991</v>
      </c>
    </row>
    <row r="268" spans="1:17" x14ac:dyDescent="0.25">
      <c r="A268" t="s">
        <v>19</v>
      </c>
      <c r="B268">
        <v>202.94999999999996</v>
      </c>
      <c r="C268">
        <v>100.00000000000001</v>
      </c>
      <c r="D268">
        <v>2.6999999999999997</v>
      </c>
      <c r="E268">
        <v>202.94999999999996</v>
      </c>
      <c r="F268">
        <v>75.700000000000017</v>
      </c>
      <c r="G268">
        <v>2.6999999999999997</v>
      </c>
      <c r="H268">
        <v>1.2</v>
      </c>
      <c r="I268">
        <v>470.20311383399996</v>
      </c>
      <c r="J268">
        <v>10.910964844322043</v>
      </c>
      <c r="K268">
        <v>1250</v>
      </c>
      <c r="L268">
        <v>0</v>
      </c>
      <c r="N268">
        <v>23</v>
      </c>
      <c r="O268" s="60" t="s">
        <v>1292</v>
      </c>
      <c r="P268" t="s">
        <v>923</v>
      </c>
      <c r="Q268" t="s">
        <v>927</v>
      </c>
    </row>
    <row r="269" spans="1:17" x14ac:dyDescent="0.25">
      <c r="A269" t="s">
        <v>19</v>
      </c>
      <c r="B269">
        <v>202.94999999999996</v>
      </c>
      <c r="C269">
        <v>75.700000000000017</v>
      </c>
      <c r="D269">
        <v>2.6999999999999997</v>
      </c>
      <c r="E269">
        <v>201.59999999999994</v>
      </c>
      <c r="F269">
        <v>75.700000000000017</v>
      </c>
      <c r="G269">
        <v>2.6999999999999997</v>
      </c>
      <c r="H269">
        <v>1.2</v>
      </c>
      <c r="I269">
        <v>470.20311383399996</v>
      </c>
      <c r="J269">
        <v>0.60616471357345714</v>
      </c>
      <c r="K269">
        <v>1000</v>
      </c>
      <c r="L269">
        <v>0</v>
      </c>
      <c r="N269">
        <v>23</v>
      </c>
      <c r="O269" s="60" t="s">
        <v>1293</v>
      </c>
      <c r="P269" t="s">
        <v>924</v>
      </c>
      <c r="Q269" t="s">
        <v>992</v>
      </c>
    </row>
    <row r="270" spans="1:17" x14ac:dyDescent="0.25">
      <c r="A270" t="s">
        <v>19</v>
      </c>
      <c r="B270">
        <v>201.6</v>
      </c>
      <c r="C270">
        <v>75.700000000000017</v>
      </c>
      <c r="D270">
        <v>2.6999999999999997</v>
      </c>
      <c r="E270">
        <v>201.6</v>
      </c>
      <c r="F270">
        <v>100.00000000000001</v>
      </c>
      <c r="G270">
        <v>2.6999999999999997</v>
      </c>
      <c r="H270">
        <v>1.2</v>
      </c>
      <c r="I270">
        <v>470.20311383399996</v>
      </c>
      <c r="J270">
        <v>10.910964844322043</v>
      </c>
      <c r="K270">
        <v>1250</v>
      </c>
      <c r="L270">
        <v>0</v>
      </c>
      <c r="N270">
        <v>23</v>
      </c>
      <c r="O270" s="60" t="s">
        <v>1294</v>
      </c>
      <c r="P270" t="s">
        <v>900</v>
      </c>
      <c r="Q270" t="s">
        <v>925</v>
      </c>
    </row>
    <row r="271" spans="1:17" x14ac:dyDescent="0.25">
      <c r="A271" t="s">
        <v>19</v>
      </c>
      <c r="B271">
        <v>201.6</v>
      </c>
      <c r="C271">
        <v>100.00000000000001</v>
      </c>
      <c r="D271">
        <v>2.6999999999999997</v>
      </c>
      <c r="E271">
        <v>200.24999999999997</v>
      </c>
      <c r="F271">
        <v>100.00000000000001</v>
      </c>
      <c r="G271">
        <v>2.6999999999999997</v>
      </c>
      <c r="H271">
        <v>1.2</v>
      </c>
      <c r="I271">
        <v>470.20311383399996</v>
      </c>
      <c r="J271">
        <v>0.60616471357345714</v>
      </c>
      <c r="K271">
        <v>1000</v>
      </c>
      <c r="L271">
        <v>0</v>
      </c>
      <c r="N271">
        <v>23</v>
      </c>
      <c r="O271" s="60" t="s">
        <v>1295</v>
      </c>
      <c r="P271" t="s">
        <v>901</v>
      </c>
      <c r="Q271" t="s">
        <v>993</v>
      </c>
    </row>
    <row r="272" spans="1:17" x14ac:dyDescent="0.25">
      <c r="A272" t="s">
        <v>19</v>
      </c>
      <c r="B272">
        <v>200.24999999999997</v>
      </c>
      <c r="C272">
        <v>100.00000000000001</v>
      </c>
      <c r="D272">
        <v>2.6999999999999997</v>
      </c>
      <c r="E272">
        <v>200.24999999999997</v>
      </c>
      <c r="F272">
        <v>75.700000000000017</v>
      </c>
      <c r="G272">
        <v>2.6999999999999997</v>
      </c>
      <c r="H272">
        <v>1.2</v>
      </c>
      <c r="I272">
        <v>470.20311383399996</v>
      </c>
      <c r="J272">
        <v>10.910964844322043</v>
      </c>
      <c r="K272">
        <v>1250</v>
      </c>
      <c r="L272">
        <v>0</v>
      </c>
      <c r="N272">
        <v>23</v>
      </c>
      <c r="O272" s="60" t="s">
        <v>1296</v>
      </c>
      <c r="P272" t="s">
        <v>923</v>
      </c>
      <c r="Q272" t="s">
        <v>927</v>
      </c>
    </row>
    <row r="273" spans="1:17" x14ac:dyDescent="0.25">
      <c r="A273" t="s">
        <v>19</v>
      </c>
      <c r="B273">
        <v>200.24999999999997</v>
      </c>
      <c r="C273">
        <v>75.700000000000017</v>
      </c>
      <c r="D273">
        <v>2.6999999999999997</v>
      </c>
      <c r="E273">
        <v>198.89999999999995</v>
      </c>
      <c r="F273">
        <v>75.700000000000017</v>
      </c>
      <c r="G273">
        <v>2.6999999999999997</v>
      </c>
      <c r="H273">
        <v>1.2</v>
      </c>
      <c r="I273">
        <v>470.20311383399996</v>
      </c>
      <c r="J273">
        <v>0.60616471357345714</v>
      </c>
      <c r="K273">
        <v>1000</v>
      </c>
      <c r="L273">
        <v>0</v>
      </c>
      <c r="N273">
        <v>23</v>
      </c>
      <c r="O273" s="60" t="s">
        <v>1297</v>
      </c>
      <c r="P273" t="s">
        <v>924</v>
      </c>
      <c r="Q273" t="s">
        <v>994</v>
      </c>
    </row>
    <row r="274" spans="1:17" x14ac:dyDescent="0.25">
      <c r="A274" t="s">
        <v>19</v>
      </c>
      <c r="B274">
        <v>198.89999999999998</v>
      </c>
      <c r="C274">
        <v>75.700000000000017</v>
      </c>
      <c r="D274">
        <v>2.6999999999999997</v>
      </c>
      <c r="E274">
        <v>198.89999999999998</v>
      </c>
      <c r="F274">
        <v>100.00000000000001</v>
      </c>
      <c r="G274">
        <v>2.6999999999999997</v>
      </c>
      <c r="H274">
        <v>1.2</v>
      </c>
      <c r="I274">
        <v>470.20311383399996</v>
      </c>
      <c r="J274">
        <v>10.910964844322043</v>
      </c>
      <c r="K274">
        <v>1250</v>
      </c>
      <c r="L274">
        <v>0</v>
      </c>
      <c r="N274">
        <v>23</v>
      </c>
      <c r="O274" s="60" t="s">
        <v>1298</v>
      </c>
      <c r="P274" t="s">
        <v>900</v>
      </c>
      <c r="Q274" t="s">
        <v>925</v>
      </c>
    </row>
    <row r="275" spans="1:17" x14ac:dyDescent="0.25">
      <c r="A275" t="s">
        <v>19</v>
      </c>
      <c r="B275">
        <v>198.89999999999998</v>
      </c>
      <c r="C275">
        <v>100.00000000000001</v>
      </c>
      <c r="D275">
        <v>2.6999999999999997</v>
      </c>
      <c r="E275">
        <v>197.54999999999995</v>
      </c>
      <c r="F275">
        <v>100.00000000000001</v>
      </c>
      <c r="G275">
        <v>2.6999999999999997</v>
      </c>
      <c r="H275">
        <v>1.2</v>
      </c>
      <c r="I275">
        <v>470.20311383399996</v>
      </c>
      <c r="J275">
        <v>0.60616471357345714</v>
      </c>
      <c r="K275">
        <v>1000</v>
      </c>
      <c r="L275">
        <v>0</v>
      </c>
      <c r="N275">
        <v>23</v>
      </c>
      <c r="O275" s="60" t="s">
        <v>1299</v>
      </c>
      <c r="P275" t="s">
        <v>901</v>
      </c>
      <c r="Q275" t="s">
        <v>995</v>
      </c>
    </row>
    <row r="276" spans="1:17" x14ac:dyDescent="0.25">
      <c r="A276" t="s">
        <v>19</v>
      </c>
      <c r="B276">
        <v>197.54999999999995</v>
      </c>
      <c r="C276">
        <v>100.00000000000001</v>
      </c>
      <c r="D276">
        <v>2.6999999999999997</v>
      </c>
      <c r="E276">
        <v>197.54999999999995</v>
      </c>
      <c r="F276">
        <v>75.700000000000017</v>
      </c>
      <c r="G276">
        <v>2.6999999999999997</v>
      </c>
      <c r="H276">
        <v>1.2</v>
      </c>
      <c r="I276">
        <v>470.20311383399996</v>
      </c>
      <c r="J276">
        <v>10.910964844322043</v>
      </c>
      <c r="K276">
        <v>1250</v>
      </c>
      <c r="L276">
        <v>0</v>
      </c>
      <c r="N276">
        <v>23</v>
      </c>
      <c r="O276" s="60" t="s">
        <v>1300</v>
      </c>
      <c r="P276" t="s">
        <v>923</v>
      </c>
      <c r="Q276" t="s">
        <v>927</v>
      </c>
    </row>
    <row r="277" spans="1:17" x14ac:dyDescent="0.25">
      <c r="A277" t="s">
        <v>19</v>
      </c>
      <c r="B277">
        <v>197.54999999999995</v>
      </c>
      <c r="C277">
        <v>75.700000000000017</v>
      </c>
      <c r="D277">
        <v>2.6999999999999997</v>
      </c>
      <c r="E277">
        <v>196.19999999999993</v>
      </c>
      <c r="F277">
        <v>75.700000000000017</v>
      </c>
      <c r="G277">
        <v>2.6999999999999997</v>
      </c>
      <c r="H277">
        <v>1.2</v>
      </c>
      <c r="I277">
        <v>470.20311383399996</v>
      </c>
      <c r="J277">
        <v>0.60616471357345714</v>
      </c>
      <c r="K277">
        <v>1000</v>
      </c>
      <c r="L277">
        <v>0</v>
      </c>
      <c r="N277">
        <v>23</v>
      </c>
      <c r="O277" s="60" t="s">
        <v>1301</v>
      </c>
      <c r="P277" t="s">
        <v>924</v>
      </c>
      <c r="Q277" t="s">
        <v>996</v>
      </c>
    </row>
    <row r="278" spans="1:17" x14ac:dyDescent="0.25">
      <c r="A278" t="s">
        <v>19</v>
      </c>
      <c r="B278">
        <v>196.2</v>
      </c>
      <c r="C278">
        <v>75.700000000000017</v>
      </c>
      <c r="D278">
        <v>2.6999999999999997</v>
      </c>
      <c r="E278">
        <v>196.2</v>
      </c>
      <c r="F278">
        <v>100.00000000000001</v>
      </c>
      <c r="G278">
        <v>2.6999999999999997</v>
      </c>
      <c r="H278">
        <v>1.2</v>
      </c>
      <c r="I278">
        <v>470.20311383399996</v>
      </c>
      <c r="J278">
        <v>10.910964844322043</v>
      </c>
      <c r="K278">
        <v>1250</v>
      </c>
      <c r="L278">
        <v>0</v>
      </c>
      <c r="N278">
        <v>23</v>
      </c>
      <c r="O278" s="60" t="s">
        <v>1302</v>
      </c>
      <c r="P278" t="s">
        <v>900</v>
      </c>
      <c r="Q278" t="s">
        <v>925</v>
      </c>
    </row>
    <row r="279" spans="1:17" x14ac:dyDescent="0.25">
      <c r="A279" t="s">
        <v>19</v>
      </c>
      <c r="B279">
        <v>196.2</v>
      </c>
      <c r="C279">
        <v>100.00000000000001</v>
      </c>
      <c r="D279">
        <v>2.6999999999999997</v>
      </c>
      <c r="E279">
        <v>194.84999999999997</v>
      </c>
      <c r="F279">
        <v>100.00000000000001</v>
      </c>
      <c r="G279">
        <v>2.6999999999999997</v>
      </c>
      <c r="H279">
        <v>1.2</v>
      </c>
      <c r="I279">
        <v>470.20311383399996</v>
      </c>
      <c r="J279">
        <v>0.60616471357345714</v>
      </c>
      <c r="K279">
        <v>1000</v>
      </c>
      <c r="L279">
        <v>0</v>
      </c>
      <c r="N279">
        <v>23</v>
      </c>
      <c r="O279" s="60" t="s">
        <v>1303</v>
      </c>
      <c r="P279" t="s">
        <v>901</v>
      </c>
      <c r="Q279" t="s">
        <v>997</v>
      </c>
    </row>
    <row r="280" spans="1:17" x14ac:dyDescent="0.25">
      <c r="A280" t="s">
        <v>19</v>
      </c>
      <c r="B280">
        <v>194.84999999999997</v>
      </c>
      <c r="C280">
        <v>100.00000000000001</v>
      </c>
      <c r="D280">
        <v>2.6999999999999997</v>
      </c>
      <c r="E280">
        <v>194.84999999999997</v>
      </c>
      <c r="F280">
        <v>75.700000000000017</v>
      </c>
      <c r="G280">
        <v>2.6999999999999997</v>
      </c>
      <c r="H280">
        <v>1.2</v>
      </c>
      <c r="I280">
        <v>470.20311383399996</v>
      </c>
      <c r="J280">
        <v>10.910964844322043</v>
      </c>
      <c r="K280">
        <v>1250</v>
      </c>
      <c r="L280">
        <v>0</v>
      </c>
      <c r="N280">
        <v>23</v>
      </c>
      <c r="O280" s="60" t="s">
        <v>1304</v>
      </c>
      <c r="P280" t="s">
        <v>923</v>
      </c>
      <c r="Q280" t="s">
        <v>927</v>
      </c>
    </row>
    <row r="281" spans="1:17" x14ac:dyDescent="0.25">
      <c r="A281" t="s">
        <v>19</v>
      </c>
      <c r="B281">
        <v>194.84999999999997</v>
      </c>
      <c r="C281">
        <v>75.700000000000017</v>
      </c>
      <c r="D281">
        <v>2.6999999999999997</v>
      </c>
      <c r="E281">
        <v>193.49999999999994</v>
      </c>
      <c r="F281">
        <v>75.700000000000017</v>
      </c>
      <c r="G281">
        <v>2.6999999999999997</v>
      </c>
      <c r="H281">
        <v>1.2</v>
      </c>
      <c r="I281">
        <v>470.20311383399996</v>
      </c>
      <c r="J281">
        <v>0.60616471357345714</v>
      </c>
      <c r="K281">
        <v>1000</v>
      </c>
      <c r="L281">
        <v>0</v>
      </c>
      <c r="N281">
        <v>23</v>
      </c>
      <c r="O281" s="60" t="s">
        <v>1305</v>
      </c>
      <c r="P281" t="s">
        <v>924</v>
      </c>
      <c r="Q281" t="s">
        <v>998</v>
      </c>
    </row>
    <row r="282" spans="1:17" x14ac:dyDescent="0.25">
      <c r="A282" t="s">
        <v>19</v>
      </c>
      <c r="B282">
        <v>193.49999999999997</v>
      </c>
      <c r="C282">
        <v>75.700000000000017</v>
      </c>
      <c r="D282">
        <v>2.6999999999999997</v>
      </c>
      <c r="E282">
        <v>193.49999999999997</v>
      </c>
      <c r="F282">
        <v>100.00000000000001</v>
      </c>
      <c r="G282">
        <v>2.6999999999999997</v>
      </c>
      <c r="H282">
        <v>1.2</v>
      </c>
      <c r="I282">
        <v>470.20311383399996</v>
      </c>
      <c r="J282">
        <v>10.910964844322043</v>
      </c>
      <c r="K282">
        <v>1250</v>
      </c>
      <c r="L282">
        <v>0</v>
      </c>
      <c r="N282">
        <v>23</v>
      </c>
      <c r="O282" s="60" t="s">
        <v>1306</v>
      </c>
      <c r="P282" t="s">
        <v>900</v>
      </c>
      <c r="Q282" t="s">
        <v>925</v>
      </c>
    </row>
    <row r="283" spans="1:17" x14ac:dyDescent="0.25">
      <c r="A283" t="s">
        <v>19</v>
      </c>
      <c r="B283">
        <v>193.49999999999997</v>
      </c>
      <c r="C283">
        <v>100.00000000000001</v>
      </c>
      <c r="D283">
        <v>2.6999999999999997</v>
      </c>
      <c r="E283">
        <v>192.14999999999995</v>
      </c>
      <c r="F283">
        <v>100.00000000000001</v>
      </c>
      <c r="G283">
        <v>2.6999999999999997</v>
      </c>
      <c r="H283">
        <v>1.2</v>
      </c>
      <c r="I283">
        <v>470.20311383399996</v>
      </c>
      <c r="J283">
        <v>0.60616471357345714</v>
      </c>
      <c r="K283">
        <v>1000</v>
      </c>
      <c r="L283">
        <v>0</v>
      </c>
      <c r="N283">
        <v>23</v>
      </c>
      <c r="O283" s="60" t="s">
        <v>1307</v>
      </c>
      <c r="P283" t="s">
        <v>901</v>
      </c>
      <c r="Q283" t="s">
        <v>999</v>
      </c>
    </row>
    <row r="284" spans="1:17" x14ac:dyDescent="0.25">
      <c r="A284" t="s">
        <v>19</v>
      </c>
      <c r="B284">
        <v>192.14999999999995</v>
      </c>
      <c r="C284">
        <v>100.00000000000001</v>
      </c>
      <c r="D284">
        <v>2.6999999999999997</v>
      </c>
      <c r="E284">
        <v>192.14999999999995</v>
      </c>
      <c r="F284">
        <v>75.700000000000017</v>
      </c>
      <c r="G284">
        <v>2.6999999999999997</v>
      </c>
      <c r="H284">
        <v>1.2</v>
      </c>
      <c r="I284">
        <v>470.20311383399996</v>
      </c>
      <c r="J284">
        <v>10.910964844322043</v>
      </c>
      <c r="K284">
        <v>1250</v>
      </c>
      <c r="L284">
        <v>0</v>
      </c>
      <c r="N284">
        <v>23</v>
      </c>
      <c r="O284" s="60" t="s">
        <v>1308</v>
      </c>
      <c r="P284" t="s">
        <v>923</v>
      </c>
      <c r="Q284" t="s">
        <v>927</v>
      </c>
    </row>
    <row r="285" spans="1:17" x14ac:dyDescent="0.25">
      <c r="A285" t="s">
        <v>19</v>
      </c>
      <c r="B285">
        <v>192.14999999999995</v>
      </c>
      <c r="C285">
        <v>75.700000000000017</v>
      </c>
      <c r="D285">
        <v>2.6999999999999997</v>
      </c>
      <c r="E285">
        <v>190.79999999999993</v>
      </c>
      <c r="F285">
        <v>75.700000000000017</v>
      </c>
      <c r="G285">
        <v>2.6999999999999997</v>
      </c>
      <c r="H285">
        <v>1.2</v>
      </c>
      <c r="I285">
        <v>470.20311383399996</v>
      </c>
      <c r="J285">
        <v>0.60616471357345714</v>
      </c>
      <c r="K285">
        <v>1000</v>
      </c>
      <c r="L285">
        <v>0</v>
      </c>
      <c r="N285">
        <v>23</v>
      </c>
      <c r="O285" s="60" t="s">
        <v>1309</v>
      </c>
      <c r="P285" t="s">
        <v>924</v>
      </c>
      <c r="Q285" t="s">
        <v>1000</v>
      </c>
    </row>
    <row r="286" spans="1:17" x14ac:dyDescent="0.25">
      <c r="A286" t="s">
        <v>19</v>
      </c>
      <c r="B286">
        <v>190.79999999999998</v>
      </c>
      <c r="C286">
        <v>75.700000000000017</v>
      </c>
      <c r="D286">
        <v>2.6999999999999997</v>
      </c>
      <c r="E286">
        <v>190.79999999999998</v>
      </c>
      <c r="F286">
        <v>100.00000000000001</v>
      </c>
      <c r="G286">
        <v>2.6999999999999997</v>
      </c>
      <c r="H286">
        <v>1.2</v>
      </c>
      <c r="I286">
        <v>470.20311383399996</v>
      </c>
      <c r="J286">
        <v>10.910964844322043</v>
      </c>
      <c r="K286">
        <v>1250</v>
      </c>
      <c r="L286">
        <v>0</v>
      </c>
      <c r="N286">
        <v>23</v>
      </c>
      <c r="O286" s="60" t="s">
        <v>1310</v>
      </c>
      <c r="P286" t="s">
        <v>900</v>
      </c>
      <c r="Q286" t="s">
        <v>925</v>
      </c>
    </row>
    <row r="287" spans="1:17" x14ac:dyDescent="0.25">
      <c r="A287" t="s">
        <v>19</v>
      </c>
      <c r="B287">
        <v>190.79999999999998</v>
      </c>
      <c r="C287">
        <v>100.00000000000001</v>
      </c>
      <c r="D287">
        <v>2.6999999999999997</v>
      </c>
      <c r="E287">
        <v>189.44999999999996</v>
      </c>
      <c r="F287">
        <v>100.00000000000001</v>
      </c>
      <c r="G287">
        <v>2.6999999999999997</v>
      </c>
      <c r="H287">
        <v>1.2</v>
      </c>
      <c r="I287">
        <v>470.20311383399996</v>
      </c>
      <c r="J287">
        <v>0.60616471357345714</v>
      </c>
      <c r="K287">
        <v>1000</v>
      </c>
      <c r="L287">
        <v>0</v>
      </c>
      <c r="N287">
        <v>23</v>
      </c>
      <c r="O287" s="60" t="s">
        <v>1311</v>
      </c>
      <c r="P287" t="s">
        <v>901</v>
      </c>
      <c r="Q287" t="s">
        <v>1001</v>
      </c>
    </row>
    <row r="288" spans="1:17" x14ac:dyDescent="0.25">
      <c r="A288" t="s">
        <v>19</v>
      </c>
      <c r="B288">
        <v>189.44999999999996</v>
      </c>
      <c r="C288">
        <v>100.00000000000001</v>
      </c>
      <c r="D288">
        <v>2.6999999999999997</v>
      </c>
      <c r="E288">
        <v>189.44999999999996</v>
      </c>
      <c r="F288">
        <v>75.700000000000017</v>
      </c>
      <c r="G288">
        <v>2.6999999999999997</v>
      </c>
      <c r="H288">
        <v>1.2</v>
      </c>
      <c r="I288">
        <v>470.20311383399996</v>
      </c>
      <c r="J288">
        <v>10.910964844322043</v>
      </c>
      <c r="K288">
        <v>1250</v>
      </c>
      <c r="L288">
        <v>0</v>
      </c>
      <c r="N288">
        <v>23</v>
      </c>
      <c r="O288" s="60" t="s">
        <v>1312</v>
      </c>
      <c r="P288" t="s">
        <v>923</v>
      </c>
      <c r="Q288" t="s">
        <v>927</v>
      </c>
    </row>
    <row r="289" spans="1:17" x14ac:dyDescent="0.25">
      <c r="A289" t="s">
        <v>19</v>
      </c>
      <c r="B289">
        <v>189.44999999999996</v>
      </c>
      <c r="C289">
        <v>75.700000000000017</v>
      </c>
      <c r="D289">
        <v>2.6999999999999997</v>
      </c>
      <c r="E289">
        <v>188.09999999999994</v>
      </c>
      <c r="F289">
        <v>75.700000000000017</v>
      </c>
      <c r="G289">
        <v>2.6999999999999997</v>
      </c>
      <c r="H289">
        <v>1.2</v>
      </c>
      <c r="I289">
        <v>470.20311383399996</v>
      </c>
      <c r="J289">
        <v>0.60616471357345714</v>
      </c>
      <c r="K289">
        <v>1000</v>
      </c>
      <c r="L289">
        <v>0</v>
      </c>
      <c r="N289">
        <v>23</v>
      </c>
      <c r="O289" s="60" t="s">
        <v>1313</v>
      </c>
      <c r="P289" t="s">
        <v>924</v>
      </c>
      <c r="Q289" t="s">
        <v>1002</v>
      </c>
    </row>
    <row r="290" spans="1:17" x14ac:dyDescent="0.25">
      <c r="A290" t="s">
        <v>19</v>
      </c>
      <c r="B290">
        <v>188.1</v>
      </c>
      <c r="C290">
        <v>75.700000000000017</v>
      </c>
      <c r="D290">
        <v>2.6999999999999997</v>
      </c>
      <c r="E290">
        <v>188.1</v>
      </c>
      <c r="F290">
        <v>100.00000000000001</v>
      </c>
      <c r="G290">
        <v>2.6999999999999997</v>
      </c>
      <c r="H290">
        <v>1.2</v>
      </c>
      <c r="I290">
        <v>470.20311383399996</v>
      </c>
      <c r="J290">
        <v>10.910964844322043</v>
      </c>
      <c r="K290">
        <v>1250</v>
      </c>
      <c r="L290">
        <v>0</v>
      </c>
      <c r="N290">
        <v>23</v>
      </c>
      <c r="O290" s="60" t="s">
        <v>1314</v>
      </c>
      <c r="P290" t="s">
        <v>900</v>
      </c>
      <c r="Q290" t="s">
        <v>925</v>
      </c>
    </row>
    <row r="291" spans="1:17" x14ac:dyDescent="0.25">
      <c r="A291" t="s">
        <v>19</v>
      </c>
      <c r="B291">
        <v>188.1</v>
      </c>
      <c r="C291">
        <v>100.00000000000001</v>
      </c>
      <c r="D291">
        <v>2.6999999999999997</v>
      </c>
      <c r="E291">
        <v>186.74999999999997</v>
      </c>
      <c r="F291">
        <v>100.00000000000001</v>
      </c>
      <c r="G291">
        <v>2.6999999999999997</v>
      </c>
      <c r="H291">
        <v>1.2</v>
      </c>
      <c r="I291">
        <v>470.20311383399996</v>
      </c>
      <c r="J291">
        <v>0.60616471357345714</v>
      </c>
      <c r="K291">
        <v>1000</v>
      </c>
      <c r="L291">
        <v>0</v>
      </c>
      <c r="N291">
        <v>23</v>
      </c>
      <c r="O291" s="60" t="s">
        <v>1315</v>
      </c>
      <c r="P291" t="s">
        <v>901</v>
      </c>
      <c r="Q291" t="s">
        <v>1003</v>
      </c>
    </row>
    <row r="292" spans="1:17" x14ac:dyDescent="0.25">
      <c r="A292" t="s">
        <v>19</v>
      </c>
      <c r="B292">
        <v>186.74999999999997</v>
      </c>
      <c r="C292">
        <v>100.00000000000001</v>
      </c>
      <c r="D292">
        <v>2.6999999999999997</v>
      </c>
      <c r="E292">
        <v>186.74999999999997</v>
      </c>
      <c r="F292">
        <v>75.700000000000017</v>
      </c>
      <c r="G292">
        <v>2.6999999999999997</v>
      </c>
      <c r="H292">
        <v>1.2</v>
      </c>
      <c r="I292">
        <v>470.20311383399996</v>
      </c>
      <c r="J292">
        <v>10.910964844322043</v>
      </c>
      <c r="K292">
        <v>1250</v>
      </c>
      <c r="L292">
        <v>0</v>
      </c>
      <c r="N292">
        <v>23</v>
      </c>
      <c r="O292" s="60" t="s">
        <v>1316</v>
      </c>
      <c r="P292" t="s">
        <v>923</v>
      </c>
      <c r="Q292" t="s">
        <v>927</v>
      </c>
    </row>
    <row r="293" spans="1:17" x14ac:dyDescent="0.25">
      <c r="A293" t="s">
        <v>19</v>
      </c>
      <c r="B293">
        <v>186.74999999999997</v>
      </c>
      <c r="C293">
        <v>75.700000000000017</v>
      </c>
      <c r="D293">
        <v>2.6999999999999997</v>
      </c>
      <c r="E293">
        <v>185.39999999999995</v>
      </c>
      <c r="F293">
        <v>75.700000000000017</v>
      </c>
      <c r="G293">
        <v>2.6999999999999997</v>
      </c>
      <c r="H293">
        <v>1.2</v>
      </c>
      <c r="I293">
        <v>470.20311383399996</v>
      </c>
      <c r="J293">
        <v>0.60616471357345714</v>
      </c>
      <c r="K293">
        <v>1000</v>
      </c>
      <c r="L293">
        <v>0</v>
      </c>
      <c r="N293">
        <v>23</v>
      </c>
      <c r="O293" s="60" t="s">
        <v>1317</v>
      </c>
      <c r="P293" t="s">
        <v>924</v>
      </c>
      <c r="Q293" t="s">
        <v>1004</v>
      </c>
    </row>
    <row r="294" spans="1:17" x14ac:dyDescent="0.25">
      <c r="A294" t="s">
        <v>19</v>
      </c>
      <c r="B294">
        <v>185.39999999999998</v>
      </c>
      <c r="C294">
        <v>75.700000000000017</v>
      </c>
      <c r="D294">
        <v>2.6999999999999997</v>
      </c>
      <c r="E294">
        <v>185.39999999999998</v>
      </c>
      <c r="F294">
        <v>100.00000000000001</v>
      </c>
      <c r="G294">
        <v>2.6999999999999997</v>
      </c>
      <c r="H294">
        <v>1.2</v>
      </c>
      <c r="I294">
        <v>470.20311383399996</v>
      </c>
      <c r="J294">
        <v>10.910964844322043</v>
      </c>
      <c r="K294">
        <v>1250</v>
      </c>
      <c r="L294">
        <v>0</v>
      </c>
      <c r="N294">
        <v>23</v>
      </c>
      <c r="O294" s="60" t="s">
        <v>1318</v>
      </c>
      <c r="P294" t="s">
        <v>900</v>
      </c>
      <c r="Q294" t="s">
        <v>925</v>
      </c>
    </row>
    <row r="295" spans="1:17" x14ac:dyDescent="0.25">
      <c r="A295" t="s">
        <v>19</v>
      </c>
      <c r="B295">
        <v>185.39999999999998</v>
      </c>
      <c r="C295">
        <v>100.00000000000001</v>
      </c>
      <c r="D295">
        <v>2.6999999999999997</v>
      </c>
      <c r="E295">
        <v>184.04999999999995</v>
      </c>
      <c r="F295">
        <v>100.00000000000001</v>
      </c>
      <c r="G295">
        <v>2.6999999999999997</v>
      </c>
      <c r="H295">
        <v>1.2</v>
      </c>
      <c r="I295">
        <v>470.20311383399996</v>
      </c>
      <c r="J295">
        <v>0.60616471357345714</v>
      </c>
      <c r="K295">
        <v>1000</v>
      </c>
      <c r="L295">
        <v>0</v>
      </c>
      <c r="N295">
        <v>23</v>
      </c>
      <c r="O295" s="60" t="s">
        <v>1319</v>
      </c>
      <c r="P295" t="s">
        <v>901</v>
      </c>
      <c r="Q295" t="s">
        <v>1005</v>
      </c>
    </row>
    <row r="296" spans="1:17" x14ac:dyDescent="0.25">
      <c r="A296" t="s">
        <v>19</v>
      </c>
      <c r="B296">
        <v>184.04999999999995</v>
      </c>
      <c r="C296">
        <v>100.00000000000001</v>
      </c>
      <c r="D296">
        <v>2.6999999999999997</v>
      </c>
      <c r="E296">
        <v>184.04999999999995</v>
      </c>
      <c r="F296">
        <v>75.700000000000017</v>
      </c>
      <c r="G296">
        <v>2.6999999999999997</v>
      </c>
      <c r="H296">
        <v>1.2</v>
      </c>
      <c r="I296">
        <v>470.20311383399996</v>
      </c>
      <c r="J296">
        <v>10.910964844322043</v>
      </c>
      <c r="K296">
        <v>1250</v>
      </c>
      <c r="L296">
        <v>0</v>
      </c>
      <c r="N296">
        <v>23</v>
      </c>
      <c r="O296" s="60" t="s">
        <v>1320</v>
      </c>
      <c r="P296" t="s">
        <v>923</v>
      </c>
      <c r="Q296" t="s">
        <v>927</v>
      </c>
    </row>
    <row r="297" spans="1:17" x14ac:dyDescent="0.25">
      <c r="A297" t="s">
        <v>19</v>
      </c>
      <c r="B297">
        <v>184.04999999999995</v>
      </c>
      <c r="C297">
        <v>75.700000000000017</v>
      </c>
      <c r="D297">
        <v>2.6999999999999997</v>
      </c>
      <c r="E297">
        <v>182.69999999999993</v>
      </c>
      <c r="F297">
        <v>75.700000000000017</v>
      </c>
      <c r="G297">
        <v>2.6999999999999997</v>
      </c>
      <c r="H297">
        <v>1.2</v>
      </c>
      <c r="I297">
        <v>470.20311383399996</v>
      </c>
      <c r="J297">
        <v>0.60616471357345714</v>
      </c>
      <c r="K297">
        <v>1000</v>
      </c>
      <c r="L297">
        <v>0</v>
      </c>
      <c r="N297">
        <v>23</v>
      </c>
      <c r="O297" s="60" t="s">
        <v>1321</v>
      </c>
      <c r="P297" t="s">
        <v>924</v>
      </c>
      <c r="Q297" t="s">
        <v>1006</v>
      </c>
    </row>
    <row r="298" spans="1:17" x14ac:dyDescent="0.25">
      <c r="A298" t="s">
        <v>19</v>
      </c>
      <c r="B298">
        <v>182.7</v>
      </c>
      <c r="C298">
        <v>75.700000000000017</v>
      </c>
      <c r="D298">
        <v>2.6999999999999997</v>
      </c>
      <c r="E298">
        <v>182.7</v>
      </c>
      <c r="F298">
        <v>100.00000000000001</v>
      </c>
      <c r="G298">
        <v>2.6999999999999997</v>
      </c>
      <c r="H298">
        <v>1.2</v>
      </c>
      <c r="I298">
        <v>470.20311383399996</v>
      </c>
      <c r="J298">
        <v>10.910964844322043</v>
      </c>
      <c r="K298">
        <v>1250</v>
      </c>
      <c r="L298">
        <v>0</v>
      </c>
      <c r="N298">
        <v>23</v>
      </c>
      <c r="O298" s="60" t="s">
        <v>1322</v>
      </c>
      <c r="P298" t="s">
        <v>900</v>
      </c>
      <c r="Q298" t="s">
        <v>925</v>
      </c>
    </row>
    <row r="299" spans="1:17" x14ac:dyDescent="0.25">
      <c r="A299" t="s">
        <v>19</v>
      </c>
      <c r="B299">
        <v>182.7</v>
      </c>
      <c r="C299">
        <v>100.00000000000001</v>
      </c>
      <c r="D299">
        <v>2.6999999999999997</v>
      </c>
      <c r="E299">
        <v>181.34999999999997</v>
      </c>
      <c r="F299">
        <v>100.00000000000001</v>
      </c>
      <c r="G299">
        <v>2.6999999999999997</v>
      </c>
      <c r="H299">
        <v>1.2</v>
      </c>
      <c r="I299">
        <v>470.20311383399996</v>
      </c>
      <c r="J299">
        <v>0.60616471357345714</v>
      </c>
      <c r="K299">
        <v>1000</v>
      </c>
      <c r="L299">
        <v>0</v>
      </c>
      <c r="N299">
        <v>23</v>
      </c>
      <c r="O299" s="60" t="s">
        <v>1323</v>
      </c>
      <c r="P299" t="s">
        <v>901</v>
      </c>
      <c r="Q299" t="s">
        <v>1007</v>
      </c>
    </row>
    <row r="300" spans="1:17" x14ac:dyDescent="0.25">
      <c r="A300" t="s">
        <v>19</v>
      </c>
      <c r="B300">
        <v>181.34999999999997</v>
      </c>
      <c r="C300">
        <v>100.00000000000001</v>
      </c>
      <c r="D300">
        <v>2.6999999999999997</v>
      </c>
      <c r="E300">
        <v>181.34999999999997</v>
      </c>
      <c r="F300">
        <v>75.700000000000017</v>
      </c>
      <c r="G300">
        <v>2.6999999999999997</v>
      </c>
      <c r="H300">
        <v>1.2</v>
      </c>
      <c r="I300">
        <v>470.20311383399996</v>
      </c>
      <c r="J300">
        <v>10.910964844322043</v>
      </c>
      <c r="K300">
        <v>1250</v>
      </c>
      <c r="L300">
        <v>0</v>
      </c>
      <c r="N300">
        <v>23</v>
      </c>
      <c r="O300" s="60" t="s">
        <v>1324</v>
      </c>
      <c r="P300" t="s">
        <v>923</v>
      </c>
      <c r="Q300" t="s">
        <v>927</v>
      </c>
    </row>
    <row r="301" spans="1:17" x14ac:dyDescent="0.25">
      <c r="A301" t="s">
        <v>19</v>
      </c>
      <c r="B301">
        <v>181.34999999999997</v>
      </c>
      <c r="C301">
        <v>75.700000000000017</v>
      </c>
      <c r="D301">
        <v>2.6999999999999997</v>
      </c>
      <c r="E301">
        <v>179.99999999999994</v>
      </c>
      <c r="F301">
        <v>75.700000000000017</v>
      </c>
      <c r="G301">
        <v>2.6999999999999997</v>
      </c>
      <c r="H301">
        <v>1.2</v>
      </c>
      <c r="I301">
        <v>470.20311383399996</v>
      </c>
      <c r="J301">
        <v>0.60616471357345714</v>
      </c>
      <c r="K301">
        <v>1000</v>
      </c>
      <c r="L301">
        <v>0</v>
      </c>
      <c r="N301">
        <v>23</v>
      </c>
      <c r="O301" s="60" t="s">
        <v>1325</v>
      </c>
      <c r="P301" t="s">
        <v>924</v>
      </c>
      <c r="Q301" t="s">
        <v>1008</v>
      </c>
    </row>
    <row r="302" spans="1:17" x14ac:dyDescent="0.25">
      <c r="A302" t="s">
        <v>19</v>
      </c>
      <c r="B302">
        <v>179.99999999999997</v>
      </c>
      <c r="C302">
        <v>75.700000000000017</v>
      </c>
      <c r="D302">
        <v>2.6999999999999997</v>
      </c>
      <c r="E302">
        <v>179.99999999999997</v>
      </c>
      <c r="F302">
        <v>100.00000000000001</v>
      </c>
      <c r="G302">
        <v>2.6999999999999997</v>
      </c>
      <c r="H302">
        <v>1.2</v>
      </c>
      <c r="I302">
        <v>470.20311383399996</v>
      </c>
      <c r="J302">
        <v>10.910964844322043</v>
      </c>
      <c r="K302">
        <v>1250</v>
      </c>
      <c r="L302">
        <v>0</v>
      </c>
      <c r="N302">
        <v>23</v>
      </c>
      <c r="O302" s="60" t="s">
        <v>1326</v>
      </c>
      <c r="P302" t="s">
        <v>900</v>
      </c>
      <c r="Q302" t="s">
        <v>925</v>
      </c>
    </row>
    <row r="303" spans="1:17" x14ac:dyDescent="0.25">
      <c r="A303" t="s">
        <v>19</v>
      </c>
      <c r="B303">
        <v>179.99999999999997</v>
      </c>
      <c r="C303">
        <v>100.00000000000001</v>
      </c>
      <c r="D303">
        <v>2.6999999999999997</v>
      </c>
      <c r="E303">
        <v>178.64999999999995</v>
      </c>
      <c r="F303">
        <v>100.00000000000001</v>
      </c>
      <c r="G303">
        <v>2.6999999999999997</v>
      </c>
      <c r="H303">
        <v>1.2</v>
      </c>
      <c r="I303">
        <v>470.20311383399996</v>
      </c>
      <c r="J303">
        <v>0.60616471357345714</v>
      </c>
      <c r="K303">
        <v>1000</v>
      </c>
      <c r="L303">
        <v>0</v>
      </c>
      <c r="N303">
        <v>23</v>
      </c>
      <c r="O303" s="60" t="s">
        <v>1327</v>
      </c>
      <c r="P303" t="s">
        <v>901</v>
      </c>
      <c r="Q303" t="s">
        <v>1009</v>
      </c>
    </row>
    <row r="304" spans="1:17" x14ac:dyDescent="0.25">
      <c r="A304" t="s">
        <v>19</v>
      </c>
      <c r="B304">
        <v>178.64999999999995</v>
      </c>
      <c r="C304">
        <v>100.00000000000001</v>
      </c>
      <c r="D304">
        <v>2.6999999999999997</v>
      </c>
      <c r="E304">
        <v>178.64999999999995</v>
      </c>
      <c r="F304">
        <v>75.700000000000017</v>
      </c>
      <c r="G304">
        <v>2.6999999999999997</v>
      </c>
      <c r="H304">
        <v>1.2</v>
      </c>
      <c r="I304">
        <v>470.20311383399996</v>
      </c>
      <c r="J304">
        <v>10.910964844322043</v>
      </c>
      <c r="K304">
        <v>1250</v>
      </c>
      <c r="L304">
        <v>0</v>
      </c>
      <c r="N304">
        <v>23</v>
      </c>
      <c r="O304" s="60" t="s">
        <v>1328</v>
      </c>
      <c r="P304" t="s">
        <v>923</v>
      </c>
      <c r="Q304" t="s">
        <v>927</v>
      </c>
    </row>
    <row r="305" spans="1:17" x14ac:dyDescent="0.25">
      <c r="A305" t="s">
        <v>19</v>
      </c>
      <c r="B305">
        <v>178.64999999999995</v>
      </c>
      <c r="C305">
        <v>75.700000000000017</v>
      </c>
      <c r="D305">
        <v>2.6999999999999997</v>
      </c>
      <c r="E305">
        <v>177.29999999999993</v>
      </c>
      <c r="F305">
        <v>75.700000000000017</v>
      </c>
      <c r="G305">
        <v>2.6999999999999997</v>
      </c>
      <c r="H305">
        <v>1.2</v>
      </c>
      <c r="I305">
        <v>470.20311383399996</v>
      </c>
      <c r="J305">
        <v>0.60616471357345714</v>
      </c>
      <c r="K305">
        <v>1000</v>
      </c>
      <c r="L305">
        <v>0</v>
      </c>
      <c r="N305">
        <v>23</v>
      </c>
      <c r="O305" s="60" t="s">
        <v>1329</v>
      </c>
      <c r="P305" t="s">
        <v>924</v>
      </c>
      <c r="Q305" t="s">
        <v>1010</v>
      </c>
    </row>
    <row r="306" spans="1:17" x14ac:dyDescent="0.25">
      <c r="A306" t="s">
        <v>19</v>
      </c>
      <c r="B306">
        <v>177.29999999999998</v>
      </c>
      <c r="C306">
        <v>75.700000000000017</v>
      </c>
      <c r="D306">
        <v>2.6999999999999997</v>
      </c>
      <c r="E306">
        <v>177.29999999999998</v>
      </c>
      <c r="F306">
        <v>100.00000000000001</v>
      </c>
      <c r="G306">
        <v>2.6999999999999997</v>
      </c>
      <c r="H306">
        <v>1.2</v>
      </c>
      <c r="I306">
        <v>470.20311383399996</v>
      </c>
      <c r="J306">
        <v>10.910964844322043</v>
      </c>
      <c r="K306">
        <v>1250</v>
      </c>
      <c r="L306">
        <v>0</v>
      </c>
      <c r="N306">
        <v>23</v>
      </c>
      <c r="O306" s="60" t="s">
        <v>1330</v>
      </c>
      <c r="P306" t="s">
        <v>900</v>
      </c>
      <c r="Q306" t="s">
        <v>925</v>
      </c>
    </row>
    <row r="307" spans="1:17" x14ac:dyDescent="0.25">
      <c r="A307" t="s">
        <v>19</v>
      </c>
      <c r="B307">
        <v>177.29999999999998</v>
      </c>
      <c r="C307">
        <v>100.00000000000001</v>
      </c>
      <c r="D307">
        <v>2.6999999999999997</v>
      </c>
      <c r="E307">
        <v>175.94999999999996</v>
      </c>
      <c r="F307">
        <v>100.00000000000001</v>
      </c>
      <c r="G307">
        <v>2.6999999999999997</v>
      </c>
      <c r="H307">
        <v>1.2</v>
      </c>
      <c r="I307">
        <v>470.20311383399996</v>
      </c>
      <c r="J307">
        <v>0.60616471357345714</v>
      </c>
      <c r="K307">
        <v>1000</v>
      </c>
      <c r="L307">
        <v>0</v>
      </c>
      <c r="N307">
        <v>23</v>
      </c>
      <c r="O307" s="60" t="s">
        <v>1331</v>
      </c>
      <c r="P307" t="s">
        <v>901</v>
      </c>
      <c r="Q307" t="s">
        <v>1011</v>
      </c>
    </row>
    <row r="308" spans="1:17" x14ac:dyDescent="0.25">
      <c r="A308" t="s">
        <v>19</v>
      </c>
      <c r="B308">
        <v>175.94999999999996</v>
      </c>
      <c r="C308">
        <v>100.00000000000001</v>
      </c>
      <c r="D308">
        <v>2.6999999999999997</v>
      </c>
      <c r="E308">
        <v>175.94999999999996</v>
      </c>
      <c r="F308">
        <v>75.700000000000017</v>
      </c>
      <c r="G308">
        <v>2.6999999999999997</v>
      </c>
      <c r="H308">
        <v>1.2</v>
      </c>
      <c r="I308">
        <v>470.20311383399996</v>
      </c>
      <c r="J308">
        <v>10.910964844322043</v>
      </c>
      <c r="K308">
        <v>1250</v>
      </c>
      <c r="L308">
        <v>0</v>
      </c>
      <c r="N308">
        <v>23</v>
      </c>
      <c r="O308" s="60" t="s">
        <v>1332</v>
      </c>
      <c r="P308" t="s">
        <v>923</v>
      </c>
      <c r="Q308" t="s">
        <v>927</v>
      </c>
    </row>
    <row r="309" spans="1:17" x14ac:dyDescent="0.25">
      <c r="A309" t="s">
        <v>19</v>
      </c>
      <c r="B309">
        <v>175.94999999999996</v>
      </c>
      <c r="C309">
        <v>75.700000000000017</v>
      </c>
      <c r="D309">
        <v>2.6999999999999997</v>
      </c>
      <c r="E309">
        <v>174.59999999999994</v>
      </c>
      <c r="F309">
        <v>75.700000000000017</v>
      </c>
      <c r="G309">
        <v>2.6999999999999997</v>
      </c>
      <c r="H309">
        <v>1.2</v>
      </c>
      <c r="I309">
        <v>470.20311383399996</v>
      </c>
      <c r="J309">
        <v>0.60616471357345714</v>
      </c>
      <c r="K309">
        <v>1000</v>
      </c>
      <c r="L309">
        <v>0</v>
      </c>
      <c r="N309">
        <v>23</v>
      </c>
      <c r="O309" s="60" t="s">
        <v>1333</v>
      </c>
      <c r="P309" t="s">
        <v>924</v>
      </c>
      <c r="Q309" t="s">
        <v>1012</v>
      </c>
    </row>
    <row r="310" spans="1:17" x14ac:dyDescent="0.25">
      <c r="A310" t="s">
        <v>19</v>
      </c>
      <c r="B310">
        <v>174.6</v>
      </c>
      <c r="C310">
        <v>75.700000000000017</v>
      </c>
      <c r="D310">
        <v>2.6999999999999997</v>
      </c>
      <c r="E310">
        <v>174.6</v>
      </c>
      <c r="F310">
        <v>100.00000000000001</v>
      </c>
      <c r="G310">
        <v>2.6999999999999997</v>
      </c>
      <c r="H310">
        <v>1.2</v>
      </c>
      <c r="I310">
        <v>470.20311383399996</v>
      </c>
      <c r="J310">
        <v>10.910964844322043</v>
      </c>
      <c r="K310">
        <v>1250</v>
      </c>
      <c r="L310">
        <v>0</v>
      </c>
      <c r="N310">
        <v>23</v>
      </c>
      <c r="O310" s="60" t="s">
        <v>1334</v>
      </c>
      <c r="P310" t="s">
        <v>900</v>
      </c>
      <c r="Q310" t="s">
        <v>925</v>
      </c>
    </row>
    <row r="311" spans="1:17" x14ac:dyDescent="0.25">
      <c r="A311" t="s">
        <v>19</v>
      </c>
      <c r="B311">
        <v>174.6</v>
      </c>
      <c r="C311">
        <v>100.00000000000001</v>
      </c>
      <c r="D311">
        <v>2.6999999999999997</v>
      </c>
      <c r="E311">
        <v>173.24999999999997</v>
      </c>
      <c r="F311">
        <v>100.00000000000001</v>
      </c>
      <c r="G311">
        <v>2.6999999999999997</v>
      </c>
      <c r="H311">
        <v>1.2</v>
      </c>
      <c r="I311">
        <v>470.20311383399996</v>
      </c>
      <c r="J311">
        <v>0.60616471357345714</v>
      </c>
      <c r="K311">
        <v>1000</v>
      </c>
      <c r="L311">
        <v>0</v>
      </c>
      <c r="N311">
        <v>23</v>
      </c>
      <c r="O311" s="60" t="s">
        <v>1335</v>
      </c>
      <c r="P311" t="s">
        <v>901</v>
      </c>
      <c r="Q311" t="s">
        <v>1013</v>
      </c>
    </row>
    <row r="312" spans="1:17" x14ac:dyDescent="0.25">
      <c r="A312" t="s">
        <v>19</v>
      </c>
      <c r="B312">
        <v>173.24999999999997</v>
      </c>
      <c r="C312">
        <v>100.00000000000001</v>
      </c>
      <c r="D312">
        <v>2.6999999999999997</v>
      </c>
      <c r="E312">
        <v>173.24999999999997</v>
      </c>
      <c r="F312">
        <v>75.700000000000017</v>
      </c>
      <c r="G312">
        <v>2.6999999999999997</v>
      </c>
      <c r="H312">
        <v>1.2</v>
      </c>
      <c r="I312">
        <v>470.20311383399996</v>
      </c>
      <c r="J312">
        <v>10.910964844322043</v>
      </c>
      <c r="K312">
        <v>1250</v>
      </c>
      <c r="L312">
        <v>0</v>
      </c>
      <c r="N312">
        <v>23</v>
      </c>
      <c r="O312" s="60" t="s">
        <v>1336</v>
      </c>
      <c r="P312" t="s">
        <v>923</v>
      </c>
      <c r="Q312" t="s">
        <v>927</v>
      </c>
    </row>
    <row r="313" spans="1:17" x14ac:dyDescent="0.25">
      <c r="A313" t="s">
        <v>19</v>
      </c>
      <c r="B313">
        <v>173.24999999999997</v>
      </c>
      <c r="C313">
        <v>75.700000000000017</v>
      </c>
      <c r="D313">
        <v>2.6999999999999997</v>
      </c>
      <c r="E313">
        <v>171.89999999999995</v>
      </c>
      <c r="F313">
        <v>75.700000000000017</v>
      </c>
      <c r="G313">
        <v>2.6999999999999997</v>
      </c>
      <c r="H313">
        <v>1.2</v>
      </c>
      <c r="I313">
        <v>470.20311383399996</v>
      </c>
      <c r="J313">
        <v>0.60616471357345714</v>
      </c>
      <c r="K313">
        <v>1000</v>
      </c>
      <c r="L313">
        <v>0</v>
      </c>
      <c r="N313">
        <v>23</v>
      </c>
      <c r="O313" s="60" t="s">
        <v>1337</v>
      </c>
      <c r="P313" t="s">
        <v>924</v>
      </c>
      <c r="Q313" t="s">
        <v>1014</v>
      </c>
    </row>
    <row r="314" spans="1:17" x14ac:dyDescent="0.25">
      <c r="A314" t="s">
        <v>19</v>
      </c>
      <c r="B314">
        <v>171.89999999999998</v>
      </c>
      <c r="C314">
        <v>75.700000000000017</v>
      </c>
      <c r="D314">
        <v>2.6999999999999997</v>
      </c>
      <c r="E314">
        <v>171.89999999999998</v>
      </c>
      <c r="F314">
        <v>100.00000000000001</v>
      </c>
      <c r="G314">
        <v>2.6999999999999997</v>
      </c>
      <c r="H314">
        <v>1.2</v>
      </c>
      <c r="I314">
        <v>470.20311383399996</v>
      </c>
      <c r="J314">
        <v>10.910964844322043</v>
      </c>
      <c r="K314">
        <v>1250</v>
      </c>
      <c r="L314">
        <v>0</v>
      </c>
      <c r="N314">
        <v>23</v>
      </c>
      <c r="O314" s="60" t="s">
        <v>1338</v>
      </c>
      <c r="P314" t="s">
        <v>900</v>
      </c>
      <c r="Q314" t="s">
        <v>925</v>
      </c>
    </row>
    <row r="315" spans="1:17" x14ac:dyDescent="0.25">
      <c r="A315" t="s">
        <v>19</v>
      </c>
      <c r="B315">
        <v>171.89999999999998</v>
      </c>
      <c r="C315">
        <v>100.00000000000001</v>
      </c>
      <c r="D315">
        <v>2.6999999999999997</v>
      </c>
      <c r="E315">
        <v>170.54999999999995</v>
      </c>
      <c r="F315">
        <v>100.00000000000001</v>
      </c>
      <c r="G315">
        <v>2.6999999999999997</v>
      </c>
      <c r="H315">
        <v>1.2</v>
      </c>
      <c r="I315">
        <v>470.20311383399996</v>
      </c>
      <c r="J315">
        <v>0.60616471357345714</v>
      </c>
      <c r="K315">
        <v>1000</v>
      </c>
      <c r="L315">
        <v>0</v>
      </c>
      <c r="N315">
        <v>23</v>
      </c>
      <c r="O315" s="60" t="s">
        <v>1339</v>
      </c>
      <c r="P315" t="s">
        <v>901</v>
      </c>
      <c r="Q315" t="s">
        <v>1015</v>
      </c>
    </row>
    <row r="316" spans="1:17" x14ac:dyDescent="0.25">
      <c r="A316" t="s">
        <v>19</v>
      </c>
      <c r="B316">
        <v>170.54999999999995</v>
      </c>
      <c r="C316">
        <v>100.00000000000001</v>
      </c>
      <c r="D316">
        <v>2.6999999999999997</v>
      </c>
      <c r="E316">
        <v>170.54999999999995</v>
      </c>
      <c r="F316">
        <v>75.700000000000017</v>
      </c>
      <c r="G316">
        <v>2.6999999999999997</v>
      </c>
      <c r="H316">
        <v>1.2</v>
      </c>
      <c r="I316">
        <v>470.20311383399996</v>
      </c>
      <c r="J316">
        <v>10.910964844322043</v>
      </c>
      <c r="K316">
        <v>1250</v>
      </c>
      <c r="L316">
        <v>0</v>
      </c>
      <c r="N316">
        <v>23</v>
      </c>
      <c r="O316" s="60" t="s">
        <v>1340</v>
      </c>
      <c r="P316" t="s">
        <v>923</v>
      </c>
      <c r="Q316" t="s">
        <v>927</v>
      </c>
    </row>
    <row r="317" spans="1:17" x14ac:dyDescent="0.25">
      <c r="A317" t="s">
        <v>19</v>
      </c>
      <c r="B317">
        <v>170.54999999999995</v>
      </c>
      <c r="C317">
        <v>75.700000000000017</v>
      </c>
      <c r="D317">
        <v>2.6999999999999997</v>
      </c>
      <c r="E317">
        <v>169.19999999999993</v>
      </c>
      <c r="F317">
        <v>75.700000000000017</v>
      </c>
      <c r="G317">
        <v>2.6999999999999997</v>
      </c>
      <c r="H317">
        <v>1.2</v>
      </c>
      <c r="I317">
        <v>470.20311383399996</v>
      </c>
      <c r="J317">
        <v>0.60616471357345714</v>
      </c>
      <c r="K317">
        <v>1000</v>
      </c>
      <c r="L317">
        <v>0</v>
      </c>
      <c r="N317">
        <v>23</v>
      </c>
      <c r="O317" s="60" t="s">
        <v>1341</v>
      </c>
      <c r="P317" t="s">
        <v>924</v>
      </c>
      <c r="Q317" t="s">
        <v>1016</v>
      </c>
    </row>
    <row r="318" spans="1:17" x14ac:dyDescent="0.25">
      <c r="A318" t="s">
        <v>19</v>
      </c>
      <c r="B318">
        <v>169.2</v>
      </c>
      <c r="C318">
        <v>75.700000000000017</v>
      </c>
      <c r="D318">
        <v>2.6999999999999997</v>
      </c>
      <c r="E318">
        <v>169.2</v>
      </c>
      <c r="F318">
        <v>100.00000000000001</v>
      </c>
      <c r="G318">
        <v>2.6999999999999997</v>
      </c>
      <c r="H318">
        <v>1.2</v>
      </c>
      <c r="I318">
        <v>470.20311383399996</v>
      </c>
      <c r="J318">
        <v>10.910964844322043</v>
      </c>
      <c r="K318">
        <v>1250</v>
      </c>
      <c r="L318">
        <v>0</v>
      </c>
      <c r="N318">
        <v>23</v>
      </c>
      <c r="O318" s="60" t="s">
        <v>1342</v>
      </c>
      <c r="P318" t="s">
        <v>900</v>
      </c>
      <c r="Q318" t="s">
        <v>925</v>
      </c>
    </row>
    <row r="319" spans="1:17" x14ac:dyDescent="0.25">
      <c r="A319" t="s">
        <v>19</v>
      </c>
      <c r="B319">
        <v>169.2</v>
      </c>
      <c r="C319">
        <v>100.00000000000001</v>
      </c>
      <c r="D319">
        <v>2.6999999999999997</v>
      </c>
      <c r="E319">
        <v>167.84999999999997</v>
      </c>
      <c r="F319">
        <v>100.00000000000001</v>
      </c>
      <c r="G319">
        <v>2.6999999999999997</v>
      </c>
      <c r="H319">
        <v>1.2</v>
      </c>
      <c r="I319">
        <v>470.20311383399996</v>
      </c>
      <c r="J319">
        <v>0.60616471357345714</v>
      </c>
      <c r="K319">
        <v>1000</v>
      </c>
      <c r="L319">
        <v>0</v>
      </c>
      <c r="N319">
        <v>23</v>
      </c>
      <c r="O319" s="60" t="s">
        <v>1343</v>
      </c>
      <c r="P319" t="s">
        <v>901</v>
      </c>
      <c r="Q319" t="s">
        <v>1017</v>
      </c>
    </row>
    <row r="320" spans="1:17" x14ac:dyDescent="0.25">
      <c r="A320" t="s">
        <v>19</v>
      </c>
      <c r="B320">
        <v>167.84999999999997</v>
      </c>
      <c r="C320">
        <v>100.00000000000001</v>
      </c>
      <c r="D320">
        <v>2.6999999999999997</v>
      </c>
      <c r="E320">
        <v>167.84999999999997</v>
      </c>
      <c r="F320">
        <v>75.700000000000017</v>
      </c>
      <c r="G320">
        <v>2.6999999999999997</v>
      </c>
      <c r="H320">
        <v>1.2</v>
      </c>
      <c r="I320">
        <v>470.20311383399996</v>
      </c>
      <c r="J320">
        <v>10.910964844322043</v>
      </c>
      <c r="K320">
        <v>1250</v>
      </c>
      <c r="L320">
        <v>0</v>
      </c>
      <c r="N320">
        <v>23</v>
      </c>
      <c r="O320" s="60" t="s">
        <v>1344</v>
      </c>
      <c r="P320" t="s">
        <v>923</v>
      </c>
      <c r="Q320" t="s">
        <v>927</v>
      </c>
    </row>
    <row r="321" spans="1:17" x14ac:dyDescent="0.25">
      <c r="A321" t="s">
        <v>19</v>
      </c>
      <c r="B321">
        <v>167.84999999999997</v>
      </c>
      <c r="C321">
        <v>75.700000000000017</v>
      </c>
      <c r="D321">
        <v>2.6999999999999997</v>
      </c>
      <c r="E321">
        <v>166.49999999999994</v>
      </c>
      <c r="F321">
        <v>75.700000000000017</v>
      </c>
      <c r="G321">
        <v>2.6999999999999997</v>
      </c>
      <c r="H321">
        <v>1.2</v>
      </c>
      <c r="I321">
        <v>470.20311383399996</v>
      </c>
      <c r="J321">
        <v>0.60616471357345714</v>
      </c>
      <c r="K321">
        <v>1000</v>
      </c>
      <c r="L321">
        <v>0</v>
      </c>
      <c r="N321">
        <v>23</v>
      </c>
      <c r="O321" s="60" t="s">
        <v>1345</v>
      </c>
      <c r="P321" t="s">
        <v>924</v>
      </c>
      <c r="Q321" t="s">
        <v>1018</v>
      </c>
    </row>
    <row r="322" spans="1:17" x14ac:dyDescent="0.25">
      <c r="A322" t="s">
        <v>19</v>
      </c>
      <c r="B322">
        <v>166.49999999999997</v>
      </c>
      <c r="C322">
        <v>75.700000000000017</v>
      </c>
      <c r="D322">
        <v>2.6999999999999997</v>
      </c>
      <c r="E322">
        <v>166.49999999999997</v>
      </c>
      <c r="F322">
        <v>100.00000000000001</v>
      </c>
      <c r="G322">
        <v>2.6999999999999997</v>
      </c>
      <c r="H322">
        <v>1.2</v>
      </c>
      <c r="I322">
        <v>470.20311383399996</v>
      </c>
      <c r="J322">
        <v>10.910964844322043</v>
      </c>
      <c r="K322">
        <v>1250</v>
      </c>
      <c r="L322">
        <v>0</v>
      </c>
      <c r="N322">
        <v>23</v>
      </c>
      <c r="O322" s="60" t="s">
        <v>1346</v>
      </c>
      <c r="P322" t="s">
        <v>900</v>
      </c>
      <c r="Q322" t="s">
        <v>925</v>
      </c>
    </row>
    <row r="323" spans="1:17" x14ac:dyDescent="0.25">
      <c r="A323" t="s">
        <v>19</v>
      </c>
      <c r="B323">
        <v>166.49999999999997</v>
      </c>
      <c r="C323">
        <v>100.00000000000001</v>
      </c>
      <c r="D323">
        <v>2.6999999999999997</v>
      </c>
      <c r="E323">
        <v>165.14999999999995</v>
      </c>
      <c r="F323">
        <v>100.00000000000001</v>
      </c>
      <c r="G323">
        <v>2.6999999999999997</v>
      </c>
      <c r="H323">
        <v>1.2</v>
      </c>
      <c r="I323">
        <v>470.20311383399996</v>
      </c>
      <c r="J323">
        <v>0.60616471357345714</v>
      </c>
      <c r="K323">
        <v>1000</v>
      </c>
      <c r="L323">
        <v>0</v>
      </c>
      <c r="N323">
        <v>23</v>
      </c>
      <c r="O323" s="60" t="s">
        <v>1347</v>
      </c>
      <c r="P323" t="s">
        <v>901</v>
      </c>
      <c r="Q323" t="s">
        <v>1019</v>
      </c>
    </row>
    <row r="324" spans="1:17" x14ac:dyDescent="0.25">
      <c r="A324" t="s">
        <v>19</v>
      </c>
      <c r="B324">
        <v>165.14999999999995</v>
      </c>
      <c r="C324">
        <v>100.00000000000001</v>
      </c>
      <c r="D324">
        <v>2.6999999999999997</v>
      </c>
      <c r="E324">
        <v>165.14999999999995</v>
      </c>
      <c r="F324">
        <v>75.700000000000017</v>
      </c>
      <c r="G324">
        <v>2.6999999999999997</v>
      </c>
      <c r="H324">
        <v>1.2</v>
      </c>
      <c r="I324">
        <v>470.20311383399996</v>
      </c>
      <c r="J324">
        <v>10.910964844322043</v>
      </c>
      <c r="K324">
        <v>1250</v>
      </c>
      <c r="L324">
        <v>0</v>
      </c>
      <c r="N324">
        <v>23</v>
      </c>
      <c r="O324" s="60" t="s">
        <v>1348</v>
      </c>
      <c r="P324" t="s">
        <v>923</v>
      </c>
      <c r="Q324" t="s">
        <v>927</v>
      </c>
    </row>
    <row r="325" spans="1:17" x14ac:dyDescent="0.25">
      <c r="A325" t="s">
        <v>19</v>
      </c>
      <c r="B325">
        <v>165.14999999999995</v>
      </c>
      <c r="C325">
        <v>75.700000000000017</v>
      </c>
      <c r="D325">
        <v>2.6999999999999997</v>
      </c>
      <c r="E325">
        <v>163.79999999999993</v>
      </c>
      <c r="F325">
        <v>75.700000000000017</v>
      </c>
      <c r="G325">
        <v>2.6999999999999997</v>
      </c>
      <c r="H325">
        <v>1.2</v>
      </c>
      <c r="I325">
        <v>470.20311383399996</v>
      </c>
      <c r="J325">
        <v>0.60616471357345714</v>
      </c>
      <c r="K325">
        <v>1000</v>
      </c>
      <c r="L325">
        <v>0</v>
      </c>
      <c r="N325">
        <v>23</v>
      </c>
      <c r="O325" s="60" t="s">
        <v>1349</v>
      </c>
      <c r="P325" t="s">
        <v>924</v>
      </c>
      <c r="Q325" t="s">
        <v>1020</v>
      </c>
    </row>
    <row r="326" spans="1:17" x14ac:dyDescent="0.25">
      <c r="A326" t="s">
        <v>19</v>
      </c>
      <c r="B326">
        <v>163.79999999999998</v>
      </c>
      <c r="C326">
        <v>75.700000000000017</v>
      </c>
      <c r="D326">
        <v>2.6999999999999997</v>
      </c>
      <c r="E326">
        <v>163.79999999999998</v>
      </c>
      <c r="F326">
        <v>100.00000000000001</v>
      </c>
      <c r="G326">
        <v>2.6999999999999997</v>
      </c>
      <c r="H326">
        <v>1.2</v>
      </c>
      <c r="I326">
        <v>470.20311383399996</v>
      </c>
      <c r="J326">
        <v>10.910964844322043</v>
      </c>
      <c r="K326">
        <v>1250</v>
      </c>
      <c r="L326">
        <v>0</v>
      </c>
      <c r="N326">
        <v>23</v>
      </c>
      <c r="O326" s="60" t="s">
        <v>1350</v>
      </c>
      <c r="P326" t="s">
        <v>900</v>
      </c>
      <c r="Q326" t="s">
        <v>925</v>
      </c>
    </row>
    <row r="327" spans="1:17" x14ac:dyDescent="0.25">
      <c r="A327" t="s">
        <v>19</v>
      </c>
      <c r="B327">
        <v>163.79999999999998</v>
      </c>
      <c r="C327">
        <v>100.00000000000001</v>
      </c>
      <c r="D327">
        <v>2.6999999999999997</v>
      </c>
      <c r="E327">
        <v>162.44999999999996</v>
      </c>
      <c r="F327">
        <v>100.00000000000001</v>
      </c>
      <c r="G327">
        <v>2.6999999999999997</v>
      </c>
      <c r="H327">
        <v>1.2</v>
      </c>
      <c r="I327">
        <v>470.20311383399996</v>
      </c>
      <c r="J327">
        <v>0.60616471357345714</v>
      </c>
      <c r="K327">
        <v>1000</v>
      </c>
      <c r="L327">
        <v>0</v>
      </c>
      <c r="N327">
        <v>23</v>
      </c>
      <c r="O327" s="60" t="s">
        <v>1351</v>
      </c>
      <c r="P327" t="s">
        <v>901</v>
      </c>
      <c r="Q327" t="s">
        <v>1021</v>
      </c>
    </row>
    <row r="328" spans="1:17" x14ac:dyDescent="0.25">
      <c r="A328" t="s">
        <v>19</v>
      </c>
      <c r="B328">
        <v>162.44999999999996</v>
      </c>
      <c r="C328">
        <v>100.00000000000001</v>
      </c>
      <c r="D328">
        <v>2.6999999999999997</v>
      </c>
      <c r="E328">
        <v>162.44999999999996</v>
      </c>
      <c r="F328">
        <v>75.700000000000017</v>
      </c>
      <c r="G328">
        <v>2.6999999999999997</v>
      </c>
      <c r="H328">
        <v>1.2</v>
      </c>
      <c r="I328">
        <v>470.20311383399996</v>
      </c>
      <c r="J328">
        <v>10.910964844322043</v>
      </c>
      <c r="K328">
        <v>1250</v>
      </c>
      <c r="L328">
        <v>0</v>
      </c>
      <c r="N328">
        <v>23</v>
      </c>
      <c r="O328" s="60" t="s">
        <v>1352</v>
      </c>
      <c r="P328" t="s">
        <v>923</v>
      </c>
      <c r="Q328" t="s">
        <v>927</v>
      </c>
    </row>
    <row r="329" spans="1:17" x14ac:dyDescent="0.25">
      <c r="A329" t="s">
        <v>19</v>
      </c>
      <c r="B329">
        <v>162.44999999999996</v>
      </c>
      <c r="C329">
        <v>75.700000000000017</v>
      </c>
      <c r="D329">
        <v>2.6999999999999997</v>
      </c>
      <c r="E329">
        <v>161.09999999999994</v>
      </c>
      <c r="F329">
        <v>75.700000000000017</v>
      </c>
      <c r="G329">
        <v>2.6999999999999997</v>
      </c>
      <c r="H329">
        <v>1.2</v>
      </c>
      <c r="I329">
        <v>470.20311383399996</v>
      </c>
      <c r="J329">
        <v>0.60616471357345714</v>
      </c>
      <c r="K329">
        <v>1000</v>
      </c>
      <c r="L329">
        <v>0</v>
      </c>
      <c r="N329">
        <v>23</v>
      </c>
      <c r="O329" s="60" t="s">
        <v>1353</v>
      </c>
      <c r="P329" t="s">
        <v>924</v>
      </c>
      <c r="Q329" t="s">
        <v>1022</v>
      </c>
    </row>
    <row r="330" spans="1:17" x14ac:dyDescent="0.25">
      <c r="A330" t="s">
        <v>19</v>
      </c>
      <c r="B330">
        <v>161.09999999999997</v>
      </c>
      <c r="C330">
        <v>75.700000000000017</v>
      </c>
      <c r="D330">
        <v>2.6999999999999997</v>
      </c>
      <c r="E330">
        <v>161.09999999999997</v>
      </c>
      <c r="F330">
        <v>100.00000000000001</v>
      </c>
      <c r="G330">
        <v>2.6999999999999997</v>
      </c>
      <c r="H330">
        <v>1.2</v>
      </c>
      <c r="I330">
        <v>470.20311383399996</v>
      </c>
      <c r="J330">
        <v>10.910964844322043</v>
      </c>
      <c r="K330">
        <v>1250</v>
      </c>
      <c r="L330">
        <v>0</v>
      </c>
      <c r="N330">
        <v>23</v>
      </c>
      <c r="O330" s="60" t="s">
        <v>1354</v>
      </c>
      <c r="P330" t="s">
        <v>900</v>
      </c>
      <c r="Q330" t="s">
        <v>925</v>
      </c>
    </row>
    <row r="331" spans="1:17" x14ac:dyDescent="0.25">
      <c r="A331" t="s">
        <v>19</v>
      </c>
      <c r="B331">
        <v>161.09999999999997</v>
      </c>
      <c r="C331">
        <v>100.00000000000001</v>
      </c>
      <c r="D331">
        <v>2.6999999999999997</v>
      </c>
      <c r="E331">
        <v>159.74999999999994</v>
      </c>
      <c r="F331">
        <v>100.00000000000001</v>
      </c>
      <c r="G331">
        <v>2.6999999999999997</v>
      </c>
      <c r="H331">
        <v>1.2</v>
      </c>
      <c r="I331">
        <v>470.20311383399996</v>
      </c>
      <c r="J331">
        <v>0.60616471357345714</v>
      </c>
      <c r="K331">
        <v>1000</v>
      </c>
      <c r="L331">
        <v>0</v>
      </c>
      <c r="N331">
        <v>23</v>
      </c>
      <c r="O331" s="60" t="s">
        <v>1355</v>
      </c>
      <c r="P331" t="s">
        <v>901</v>
      </c>
      <c r="Q331" t="s">
        <v>1023</v>
      </c>
    </row>
    <row r="332" spans="1:17" x14ac:dyDescent="0.25">
      <c r="A332" t="s">
        <v>19</v>
      </c>
      <c r="B332">
        <v>159.74999999999994</v>
      </c>
      <c r="C332">
        <v>100.00000000000001</v>
      </c>
      <c r="D332">
        <v>2.6999999999999997</v>
      </c>
      <c r="E332">
        <v>159.74999999999994</v>
      </c>
      <c r="F332">
        <v>75.700000000000017</v>
      </c>
      <c r="G332">
        <v>2.6999999999999997</v>
      </c>
      <c r="H332">
        <v>1.2</v>
      </c>
      <c r="I332">
        <v>470.20311383399996</v>
      </c>
      <c r="J332">
        <v>10.910964844322043</v>
      </c>
      <c r="K332">
        <v>1250</v>
      </c>
      <c r="L332">
        <v>0</v>
      </c>
      <c r="N332">
        <v>23</v>
      </c>
      <c r="O332" s="60" t="s">
        <v>1356</v>
      </c>
      <c r="P332" t="s">
        <v>923</v>
      </c>
      <c r="Q332" t="s">
        <v>927</v>
      </c>
    </row>
    <row r="333" spans="1:17" x14ac:dyDescent="0.25">
      <c r="A333" t="s">
        <v>19</v>
      </c>
      <c r="B333">
        <v>159.74999999999994</v>
      </c>
      <c r="C333">
        <v>75.700000000000017</v>
      </c>
      <c r="D333">
        <v>2.6999999999999997</v>
      </c>
      <c r="E333">
        <v>158.39999999999992</v>
      </c>
      <c r="F333">
        <v>75.700000000000017</v>
      </c>
      <c r="G333">
        <v>2.6999999999999997</v>
      </c>
      <c r="H333">
        <v>1.2</v>
      </c>
      <c r="I333">
        <v>470.20311383399996</v>
      </c>
      <c r="J333">
        <v>0.60616471357345714</v>
      </c>
      <c r="K333">
        <v>1000</v>
      </c>
      <c r="L333">
        <v>0</v>
      </c>
      <c r="N333">
        <v>23</v>
      </c>
      <c r="O333" s="60" t="s">
        <v>1357</v>
      </c>
      <c r="P333" t="s">
        <v>924</v>
      </c>
      <c r="Q333" t="s">
        <v>1024</v>
      </c>
    </row>
    <row r="334" spans="1:17" x14ac:dyDescent="0.25">
      <c r="A334" t="s">
        <v>19</v>
      </c>
      <c r="B334">
        <v>158.39999999999998</v>
      </c>
      <c r="C334">
        <v>75.700000000000017</v>
      </c>
      <c r="D334">
        <v>2.6999999999999997</v>
      </c>
      <c r="E334">
        <v>158.39999999999998</v>
      </c>
      <c r="F334">
        <v>100.00000000000001</v>
      </c>
      <c r="G334">
        <v>2.6999999999999997</v>
      </c>
      <c r="H334">
        <v>1.2</v>
      </c>
      <c r="I334">
        <v>470.20311383399996</v>
      </c>
      <c r="J334">
        <v>10.910964844322043</v>
      </c>
      <c r="K334">
        <v>1250</v>
      </c>
      <c r="L334">
        <v>0</v>
      </c>
      <c r="N334">
        <v>23</v>
      </c>
      <c r="O334" s="60" t="s">
        <v>1358</v>
      </c>
      <c r="P334" t="s">
        <v>900</v>
      </c>
      <c r="Q334" t="s">
        <v>925</v>
      </c>
    </row>
    <row r="335" spans="1:17" x14ac:dyDescent="0.25">
      <c r="A335" t="s">
        <v>19</v>
      </c>
      <c r="B335">
        <v>158.39999999999998</v>
      </c>
      <c r="C335">
        <v>100.00000000000001</v>
      </c>
      <c r="D335">
        <v>2.6999999999999997</v>
      </c>
      <c r="E335">
        <v>157.04999999999995</v>
      </c>
      <c r="F335">
        <v>100.00000000000001</v>
      </c>
      <c r="G335">
        <v>2.6999999999999997</v>
      </c>
      <c r="H335">
        <v>1.2</v>
      </c>
      <c r="I335">
        <v>470.20311383399996</v>
      </c>
      <c r="J335">
        <v>0.60616471357345714</v>
      </c>
      <c r="K335">
        <v>1000</v>
      </c>
      <c r="L335">
        <v>0</v>
      </c>
      <c r="N335">
        <v>23</v>
      </c>
      <c r="O335" s="60" t="s">
        <v>1359</v>
      </c>
      <c r="P335" t="s">
        <v>901</v>
      </c>
      <c r="Q335" t="s">
        <v>1025</v>
      </c>
    </row>
    <row r="336" spans="1:17" x14ac:dyDescent="0.25">
      <c r="A336" t="s">
        <v>19</v>
      </c>
      <c r="B336">
        <v>157.04999999999995</v>
      </c>
      <c r="C336">
        <v>100.00000000000001</v>
      </c>
      <c r="D336">
        <v>2.6999999999999997</v>
      </c>
      <c r="E336">
        <v>157.04999999999995</v>
      </c>
      <c r="F336">
        <v>75.700000000000017</v>
      </c>
      <c r="G336">
        <v>2.6999999999999997</v>
      </c>
      <c r="H336">
        <v>1.2</v>
      </c>
      <c r="I336">
        <v>470.20311383399996</v>
      </c>
      <c r="J336">
        <v>10.910964844322043</v>
      </c>
      <c r="K336">
        <v>1250</v>
      </c>
      <c r="L336">
        <v>0</v>
      </c>
      <c r="N336">
        <v>23</v>
      </c>
      <c r="O336" s="60" t="s">
        <v>1360</v>
      </c>
      <c r="P336" t="s">
        <v>923</v>
      </c>
      <c r="Q336" t="s">
        <v>927</v>
      </c>
    </row>
    <row r="337" spans="1:17" x14ac:dyDescent="0.25">
      <c r="A337" t="s">
        <v>19</v>
      </c>
      <c r="B337">
        <v>157.04999999999995</v>
      </c>
      <c r="C337">
        <v>75.700000000000017</v>
      </c>
      <c r="D337">
        <v>2.6999999999999997</v>
      </c>
      <c r="E337">
        <v>155.69999999999993</v>
      </c>
      <c r="F337">
        <v>75.700000000000017</v>
      </c>
      <c r="G337">
        <v>2.6999999999999997</v>
      </c>
      <c r="H337">
        <v>1.2</v>
      </c>
      <c r="I337">
        <v>470.20311383399996</v>
      </c>
      <c r="J337">
        <v>0.60616471357345714</v>
      </c>
      <c r="K337">
        <v>1000</v>
      </c>
      <c r="L337">
        <v>0</v>
      </c>
      <c r="N337">
        <v>23</v>
      </c>
      <c r="O337" s="60" t="s">
        <v>1361</v>
      </c>
      <c r="P337" t="s">
        <v>924</v>
      </c>
      <c r="Q337" t="s">
        <v>1026</v>
      </c>
    </row>
    <row r="338" spans="1:17" x14ac:dyDescent="0.25">
      <c r="A338" t="s">
        <v>19</v>
      </c>
      <c r="B338">
        <v>155.69999999999999</v>
      </c>
      <c r="C338">
        <v>75.700000000000017</v>
      </c>
      <c r="D338">
        <v>2.6999999999999997</v>
      </c>
      <c r="E338">
        <v>155.69999999999999</v>
      </c>
      <c r="F338">
        <v>100.00000000000001</v>
      </c>
      <c r="G338">
        <v>2.6999999999999997</v>
      </c>
      <c r="H338">
        <v>1.2</v>
      </c>
      <c r="I338">
        <v>470.20311383399996</v>
      </c>
      <c r="J338">
        <v>10.910964844322043</v>
      </c>
      <c r="K338">
        <v>1250</v>
      </c>
      <c r="L338">
        <v>0</v>
      </c>
      <c r="N338">
        <v>23</v>
      </c>
      <c r="O338" s="60" t="s">
        <v>1362</v>
      </c>
      <c r="P338" t="s">
        <v>900</v>
      </c>
      <c r="Q338" t="s">
        <v>925</v>
      </c>
    </row>
    <row r="339" spans="1:17" x14ac:dyDescent="0.25">
      <c r="A339" t="s">
        <v>19</v>
      </c>
      <c r="B339">
        <v>155.69999999999999</v>
      </c>
      <c r="C339">
        <v>100.00000000000001</v>
      </c>
      <c r="D339">
        <v>2.6999999999999997</v>
      </c>
      <c r="E339">
        <v>154.34999999999997</v>
      </c>
      <c r="F339">
        <v>100.00000000000001</v>
      </c>
      <c r="G339">
        <v>2.6999999999999997</v>
      </c>
      <c r="H339">
        <v>1.2</v>
      </c>
      <c r="I339">
        <v>470.20311383399996</v>
      </c>
      <c r="J339">
        <v>0.60616471357345714</v>
      </c>
      <c r="K339">
        <v>1000</v>
      </c>
      <c r="L339">
        <v>0</v>
      </c>
      <c r="N339">
        <v>23</v>
      </c>
      <c r="O339" s="60" t="s">
        <v>1363</v>
      </c>
      <c r="P339" t="s">
        <v>901</v>
      </c>
      <c r="Q339" t="s">
        <v>1027</v>
      </c>
    </row>
    <row r="340" spans="1:17" x14ac:dyDescent="0.25">
      <c r="A340" t="s">
        <v>19</v>
      </c>
      <c r="B340">
        <v>154.34999999999997</v>
      </c>
      <c r="C340">
        <v>100.00000000000001</v>
      </c>
      <c r="D340">
        <v>2.6999999999999997</v>
      </c>
      <c r="E340">
        <v>154.34999999999997</v>
      </c>
      <c r="F340">
        <v>75.700000000000017</v>
      </c>
      <c r="G340">
        <v>2.6999999999999997</v>
      </c>
      <c r="H340">
        <v>1.2</v>
      </c>
      <c r="I340">
        <v>470.20311383399996</v>
      </c>
      <c r="J340">
        <v>10.910964844322043</v>
      </c>
      <c r="K340">
        <v>1250</v>
      </c>
      <c r="L340">
        <v>0</v>
      </c>
      <c r="N340">
        <v>23</v>
      </c>
      <c r="O340" s="60" t="s">
        <v>1364</v>
      </c>
      <c r="P340" t="s">
        <v>923</v>
      </c>
      <c r="Q340" t="s">
        <v>927</v>
      </c>
    </row>
    <row r="341" spans="1:17" x14ac:dyDescent="0.25">
      <c r="A341" t="s">
        <v>19</v>
      </c>
      <c r="B341">
        <v>154.34999999999997</v>
      </c>
      <c r="C341">
        <v>75.700000000000017</v>
      </c>
      <c r="D341">
        <v>2.6999999999999997</v>
      </c>
      <c r="E341">
        <v>152.99999999999994</v>
      </c>
      <c r="F341">
        <v>75.700000000000017</v>
      </c>
      <c r="G341">
        <v>2.6999999999999997</v>
      </c>
      <c r="H341">
        <v>1.2</v>
      </c>
      <c r="I341">
        <v>470.20311383399996</v>
      </c>
      <c r="J341">
        <v>0.60616471357345714</v>
      </c>
      <c r="K341">
        <v>1000</v>
      </c>
      <c r="L341">
        <v>0</v>
      </c>
      <c r="N341">
        <v>23</v>
      </c>
      <c r="O341" s="60" t="s">
        <v>1365</v>
      </c>
      <c r="P341" t="s">
        <v>924</v>
      </c>
      <c r="Q341" t="s">
        <v>1028</v>
      </c>
    </row>
    <row r="342" spans="1:17" x14ac:dyDescent="0.25">
      <c r="A342" t="s">
        <v>19</v>
      </c>
      <c r="B342">
        <v>152.99999999999997</v>
      </c>
      <c r="C342">
        <v>75.700000000000017</v>
      </c>
      <c r="D342">
        <v>2.6999999999999997</v>
      </c>
      <c r="E342">
        <v>152.99999999999997</v>
      </c>
      <c r="F342">
        <v>100.00000000000001</v>
      </c>
      <c r="G342">
        <v>2.6999999999999997</v>
      </c>
      <c r="H342">
        <v>1.2</v>
      </c>
      <c r="I342">
        <v>470.20311383399996</v>
      </c>
      <c r="J342">
        <v>10.910964844322043</v>
      </c>
      <c r="K342">
        <v>1250</v>
      </c>
      <c r="L342">
        <v>0</v>
      </c>
      <c r="N342">
        <v>23</v>
      </c>
      <c r="O342" s="60" t="s">
        <v>1366</v>
      </c>
      <c r="P342" t="s">
        <v>900</v>
      </c>
      <c r="Q342" t="s">
        <v>925</v>
      </c>
    </row>
    <row r="343" spans="1:17" x14ac:dyDescent="0.25">
      <c r="A343" t="s">
        <v>19</v>
      </c>
      <c r="B343">
        <v>152.99999999999997</v>
      </c>
      <c r="C343">
        <v>100.00000000000001</v>
      </c>
      <c r="D343">
        <v>2.6999999999999997</v>
      </c>
      <c r="E343">
        <v>151.64999999999995</v>
      </c>
      <c r="F343">
        <v>100.00000000000001</v>
      </c>
      <c r="G343">
        <v>2.6999999999999997</v>
      </c>
      <c r="H343">
        <v>1.2</v>
      </c>
      <c r="I343">
        <v>470.20311383399996</v>
      </c>
      <c r="J343">
        <v>0.60616471357345714</v>
      </c>
      <c r="K343">
        <v>1000</v>
      </c>
      <c r="L343">
        <v>0</v>
      </c>
      <c r="N343">
        <v>23</v>
      </c>
      <c r="O343" s="60" t="s">
        <v>1367</v>
      </c>
      <c r="P343" t="s">
        <v>901</v>
      </c>
      <c r="Q343" t="s">
        <v>1029</v>
      </c>
    </row>
    <row r="344" spans="1:17" x14ac:dyDescent="0.25">
      <c r="A344" t="s">
        <v>19</v>
      </c>
      <c r="B344">
        <v>151.64999999999995</v>
      </c>
      <c r="C344">
        <v>100.00000000000001</v>
      </c>
      <c r="D344">
        <v>2.6999999999999997</v>
      </c>
      <c r="E344">
        <v>151.64999999999995</v>
      </c>
      <c r="F344">
        <v>75.700000000000017</v>
      </c>
      <c r="G344">
        <v>2.6999999999999997</v>
      </c>
      <c r="H344">
        <v>1.2</v>
      </c>
      <c r="I344">
        <v>470.20311383399996</v>
      </c>
      <c r="J344">
        <v>10.910964844322043</v>
      </c>
      <c r="K344">
        <v>1250</v>
      </c>
      <c r="L344">
        <v>0</v>
      </c>
      <c r="N344">
        <v>23</v>
      </c>
      <c r="O344" s="60" t="s">
        <v>1368</v>
      </c>
      <c r="P344" t="s">
        <v>923</v>
      </c>
      <c r="Q344" t="s">
        <v>927</v>
      </c>
    </row>
    <row r="345" spans="1:17" x14ac:dyDescent="0.25">
      <c r="A345" t="s">
        <v>19</v>
      </c>
      <c r="B345">
        <v>151.64999999999995</v>
      </c>
      <c r="C345">
        <v>75.700000000000017</v>
      </c>
      <c r="D345">
        <v>2.6999999999999997</v>
      </c>
      <c r="E345">
        <v>150.29999999999993</v>
      </c>
      <c r="F345">
        <v>75.700000000000017</v>
      </c>
      <c r="G345">
        <v>2.6999999999999997</v>
      </c>
      <c r="H345">
        <v>1.2</v>
      </c>
      <c r="I345">
        <v>470.20311383399996</v>
      </c>
      <c r="J345">
        <v>0.60616471357345714</v>
      </c>
      <c r="K345">
        <v>1000</v>
      </c>
      <c r="L345">
        <v>0</v>
      </c>
      <c r="N345">
        <v>23</v>
      </c>
      <c r="O345" s="60" t="s">
        <v>1369</v>
      </c>
      <c r="P345" t="s">
        <v>924</v>
      </c>
      <c r="Q345" t="s">
        <v>1030</v>
      </c>
    </row>
    <row r="346" spans="1:17" x14ac:dyDescent="0.25">
      <c r="A346" t="s">
        <v>19</v>
      </c>
      <c r="B346">
        <v>150.29999999999998</v>
      </c>
      <c r="C346">
        <v>75.700000000000017</v>
      </c>
      <c r="D346">
        <v>2.6999999999999997</v>
      </c>
      <c r="E346">
        <v>150.29999999999998</v>
      </c>
      <c r="F346">
        <v>100.00000000000001</v>
      </c>
      <c r="G346">
        <v>2.6999999999999997</v>
      </c>
      <c r="H346">
        <v>1.2</v>
      </c>
      <c r="I346">
        <v>470.20311383399996</v>
      </c>
      <c r="J346">
        <v>10.910964844322043</v>
      </c>
      <c r="K346">
        <v>1250</v>
      </c>
      <c r="L346">
        <v>0</v>
      </c>
      <c r="N346">
        <v>23</v>
      </c>
      <c r="O346" s="60" t="s">
        <v>1370</v>
      </c>
      <c r="P346" t="s">
        <v>900</v>
      </c>
      <c r="Q346" t="s">
        <v>925</v>
      </c>
    </row>
    <row r="347" spans="1:17" x14ac:dyDescent="0.25">
      <c r="A347" t="s">
        <v>19</v>
      </c>
      <c r="B347">
        <v>150.29999999999998</v>
      </c>
      <c r="C347">
        <v>100.00000000000001</v>
      </c>
      <c r="D347">
        <v>2.6999999999999997</v>
      </c>
      <c r="E347">
        <v>148.94999999999996</v>
      </c>
      <c r="F347">
        <v>100.00000000000001</v>
      </c>
      <c r="G347">
        <v>2.6999999999999997</v>
      </c>
      <c r="H347">
        <v>1.2</v>
      </c>
      <c r="I347">
        <v>470.20311383399996</v>
      </c>
      <c r="J347">
        <v>0.60616471357345714</v>
      </c>
      <c r="K347">
        <v>1000</v>
      </c>
      <c r="L347">
        <v>0</v>
      </c>
      <c r="N347">
        <v>23</v>
      </c>
      <c r="O347" s="60" t="s">
        <v>1371</v>
      </c>
      <c r="P347" t="s">
        <v>901</v>
      </c>
      <c r="Q347" t="s">
        <v>1031</v>
      </c>
    </row>
    <row r="348" spans="1:17" x14ac:dyDescent="0.25">
      <c r="A348" t="s">
        <v>19</v>
      </c>
      <c r="B348">
        <v>148.94999999999996</v>
      </c>
      <c r="C348">
        <v>100.00000000000001</v>
      </c>
      <c r="D348">
        <v>2.6999999999999997</v>
      </c>
      <c r="E348">
        <v>148.94999999999996</v>
      </c>
      <c r="F348">
        <v>75.700000000000017</v>
      </c>
      <c r="G348">
        <v>2.6999999999999997</v>
      </c>
      <c r="H348">
        <v>1.2</v>
      </c>
      <c r="I348">
        <v>470.20311383399996</v>
      </c>
      <c r="J348">
        <v>10.910964844322043</v>
      </c>
      <c r="K348">
        <v>1250</v>
      </c>
      <c r="L348">
        <v>0</v>
      </c>
      <c r="N348">
        <v>23</v>
      </c>
      <c r="O348" s="60" t="s">
        <v>1372</v>
      </c>
      <c r="P348" t="s">
        <v>923</v>
      </c>
      <c r="Q348" t="s">
        <v>927</v>
      </c>
    </row>
    <row r="349" spans="1:17" x14ac:dyDescent="0.25">
      <c r="A349" t="s">
        <v>19</v>
      </c>
      <c r="B349">
        <v>148.94999999999996</v>
      </c>
      <c r="C349">
        <v>75.700000000000017</v>
      </c>
      <c r="D349">
        <v>2.6999999999999997</v>
      </c>
      <c r="E349">
        <v>147.59999999999994</v>
      </c>
      <c r="F349">
        <v>75.700000000000017</v>
      </c>
      <c r="G349">
        <v>2.6999999999999997</v>
      </c>
      <c r="H349">
        <v>1.2</v>
      </c>
      <c r="I349">
        <v>470.20311383399996</v>
      </c>
      <c r="J349">
        <v>0.60616471357345714</v>
      </c>
      <c r="K349">
        <v>1000</v>
      </c>
      <c r="L349">
        <v>0</v>
      </c>
      <c r="N349">
        <v>23</v>
      </c>
      <c r="O349" s="60" t="s">
        <v>1373</v>
      </c>
      <c r="P349" t="s">
        <v>924</v>
      </c>
      <c r="Q349" t="s">
        <v>1032</v>
      </c>
    </row>
    <row r="350" spans="1:17" x14ac:dyDescent="0.25">
      <c r="A350" t="s">
        <v>19</v>
      </c>
      <c r="B350">
        <v>147.59999999999997</v>
      </c>
      <c r="C350">
        <v>75.700000000000017</v>
      </c>
      <c r="D350">
        <v>2.6999999999999997</v>
      </c>
      <c r="E350">
        <v>147.59999999999997</v>
      </c>
      <c r="F350">
        <v>100.00000000000001</v>
      </c>
      <c r="G350">
        <v>2.6999999999999997</v>
      </c>
      <c r="H350">
        <v>1.2</v>
      </c>
      <c r="I350">
        <v>470.20311383399996</v>
      </c>
      <c r="J350">
        <v>10.910964844322043</v>
      </c>
      <c r="K350">
        <v>1250</v>
      </c>
      <c r="L350">
        <v>0</v>
      </c>
      <c r="N350">
        <v>23</v>
      </c>
      <c r="O350" s="60" t="s">
        <v>1374</v>
      </c>
      <c r="P350" t="s">
        <v>900</v>
      </c>
      <c r="Q350" t="s">
        <v>925</v>
      </c>
    </row>
    <row r="351" spans="1:17" x14ac:dyDescent="0.25">
      <c r="A351" t="s">
        <v>19</v>
      </c>
      <c r="B351">
        <v>147.59999999999997</v>
      </c>
      <c r="C351">
        <v>100.00000000000001</v>
      </c>
      <c r="D351">
        <v>2.6999999999999997</v>
      </c>
      <c r="E351">
        <v>146.24999999999994</v>
      </c>
      <c r="F351">
        <v>100.00000000000001</v>
      </c>
      <c r="G351">
        <v>2.6999999999999997</v>
      </c>
      <c r="H351">
        <v>1.2</v>
      </c>
      <c r="I351">
        <v>470.20311383399996</v>
      </c>
      <c r="J351">
        <v>0.60616471357345714</v>
      </c>
      <c r="K351">
        <v>1000</v>
      </c>
      <c r="L351">
        <v>0</v>
      </c>
      <c r="N351">
        <v>23</v>
      </c>
      <c r="O351" s="60" t="s">
        <v>1375</v>
      </c>
      <c r="P351" t="s">
        <v>901</v>
      </c>
      <c r="Q351" t="s">
        <v>1033</v>
      </c>
    </row>
    <row r="352" spans="1:17" x14ac:dyDescent="0.25">
      <c r="A352" t="s">
        <v>19</v>
      </c>
      <c r="B352">
        <v>146.24999999999994</v>
      </c>
      <c r="C352">
        <v>100.00000000000001</v>
      </c>
      <c r="D352">
        <v>2.6999999999999997</v>
      </c>
      <c r="E352">
        <v>146.24999999999994</v>
      </c>
      <c r="F352">
        <v>75.700000000000017</v>
      </c>
      <c r="G352">
        <v>2.6999999999999997</v>
      </c>
      <c r="H352">
        <v>1.2</v>
      </c>
      <c r="I352">
        <v>470.20311383399996</v>
      </c>
      <c r="J352">
        <v>10.910964844322043</v>
      </c>
      <c r="K352">
        <v>1250</v>
      </c>
      <c r="L352">
        <v>0</v>
      </c>
      <c r="N352">
        <v>23</v>
      </c>
      <c r="O352" s="60" t="s">
        <v>1376</v>
      </c>
      <c r="P352" t="s">
        <v>923</v>
      </c>
      <c r="Q352" t="s">
        <v>927</v>
      </c>
    </row>
    <row r="353" spans="1:17" x14ac:dyDescent="0.25">
      <c r="A353" t="s">
        <v>19</v>
      </c>
      <c r="B353">
        <v>146.24999999999994</v>
      </c>
      <c r="C353">
        <v>75.700000000000017</v>
      </c>
      <c r="D353">
        <v>2.6999999999999997</v>
      </c>
      <c r="E353">
        <v>144.89999999999992</v>
      </c>
      <c r="F353">
        <v>75.700000000000017</v>
      </c>
      <c r="G353">
        <v>2.6999999999999997</v>
      </c>
      <c r="H353">
        <v>1.2</v>
      </c>
      <c r="I353">
        <v>470.20311383399996</v>
      </c>
      <c r="J353">
        <v>0.60616471357345714</v>
      </c>
      <c r="K353">
        <v>1000</v>
      </c>
      <c r="L353">
        <v>0</v>
      </c>
      <c r="N353">
        <v>23</v>
      </c>
      <c r="O353" s="60" t="s">
        <v>1377</v>
      </c>
      <c r="P353" t="s">
        <v>924</v>
      </c>
      <c r="Q353" t="s">
        <v>1034</v>
      </c>
    </row>
    <row r="354" spans="1:17" x14ac:dyDescent="0.25">
      <c r="A354" t="s">
        <v>19</v>
      </c>
      <c r="B354">
        <v>144.89999999999998</v>
      </c>
      <c r="C354">
        <v>75.700000000000017</v>
      </c>
      <c r="D354">
        <v>2.6999999999999997</v>
      </c>
      <c r="E354">
        <v>144.89999999999998</v>
      </c>
      <c r="F354">
        <v>100.00000000000001</v>
      </c>
      <c r="G354">
        <v>2.6999999999999997</v>
      </c>
      <c r="H354">
        <v>1.2</v>
      </c>
      <c r="I354">
        <v>470.20311383399996</v>
      </c>
      <c r="J354">
        <v>10.910964844322043</v>
      </c>
      <c r="K354">
        <v>1250</v>
      </c>
      <c r="L354">
        <v>0</v>
      </c>
      <c r="N354">
        <v>23</v>
      </c>
      <c r="O354" s="60" t="s">
        <v>1378</v>
      </c>
      <c r="P354" t="s">
        <v>900</v>
      </c>
      <c r="Q354" t="s">
        <v>925</v>
      </c>
    </row>
    <row r="355" spans="1:17" x14ac:dyDescent="0.25">
      <c r="A355" t="s">
        <v>19</v>
      </c>
      <c r="B355">
        <v>144.89999999999998</v>
      </c>
      <c r="C355">
        <v>100.00000000000001</v>
      </c>
      <c r="D355">
        <v>2.6999999999999997</v>
      </c>
      <c r="E355">
        <v>143.54999999999995</v>
      </c>
      <c r="F355">
        <v>100.00000000000001</v>
      </c>
      <c r="G355">
        <v>2.6999999999999997</v>
      </c>
      <c r="H355">
        <v>1.2</v>
      </c>
      <c r="I355">
        <v>470.20311383399996</v>
      </c>
      <c r="J355">
        <v>0.60616471357345714</v>
      </c>
      <c r="K355">
        <v>1000</v>
      </c>
      <c r="L355">
        <v>0</v>
      </c>
      <c r="N355">
        <v>23</v>
      </c>
      <c r="O355" s="60" t="s">
        <v>1379</v>
      </c>
      <c r="P355" t="s">
        <v>901</v>
      </c>
      <c r="Q355" t="s">
        <v>1035</v>
      </c>
    </row>
    <row r="356" spans="1:17" x14ac:dyDescent="0.25">
      <c r="A356" t="s">
        <v>19</v>
      </c>
      <c r="B356">
        <v>143.54999999999995</v>
      </c>
      <c r="C356">
        <v>100.00000000000001</v>
      </c>
      <c r="D356">
        <v>2.6999999999999997</v>
      </c>
      <c r="E356">
        <v>143.54999999999995</v>
      </c>
      <c r="F356">
        <v>75.700000000000017</v>
      </c>
      <c r="G356">
        <v>2.6999999999999997</v>
      </c>
      <c r="H356">
        <v>1.2</v>
      </c>
      <c r="I356">
        <v>470.20311383399996</v>
      </c>
      <c r="J356">
        <v>10.910964844322043</v>
      </c>
      <c r="K356">
        <v>1250</v>
      </c>
      <c r="L356">
        <v>0</v>
      </c>
      <c r="N356">
        <v>23</v>
      </c>
      <c r="O356" s="60" t="s">
        <v>1380</v>
      </c>
      <c r="P356" t="s">
        <v>923</v>
      </c>
      <c r="Q356" t="s">
        <v>927</v>
      </c>
    </row>
    <row r="357" spans="1:17" x14ac:dyDescent="0.25">
      <c r="A357" t="s">
        <v>19</v>
      </c>
      <c r="B357">
        <v>143.54999999999995</v>
      </c>
      <c r="C357">
        <v>75.700000000000017</v>
      </c>
      <c r="D357">
        <v>2.6999999999999997</v>
      </c>
      <c r="E357">
        <v>142.19999999999993</v>
      </c>
      <c r="F357">
        <v>75.700000000000017</v>
      </c>
      <c r="G357">
        <v>2.6999999999999997</v>
      </c>
      <c r="H357">
        <v>1.2</v>
      </c>
      <c r="I357">
        <v>470.20311383399996</v>
      </c>
      <c r="J357">
        <v>0.60616471357345714</v>
      </c>
      <c r="K357">
        <v>1000</v>
      </c>
      <c r="L357">
        <v>0</v>
      </c>
      <c r="N357">
        <v>23</v>
      </c>
      <c r="O357" s="60" t="s">
        <v>1381</v>
      </c>
      <c r="P357" t="s">
        <v>924</v>
      </c>
      <c r="Q357" t="s">
        <v>1036</v>
      </c>
    </row>
    <row r="358" spans="1:17" x14ac:dyDescent="0.25">
      <c r="A358" t="s">
        <v>19</v>
      </c>
      <c r="B358">
        <v>142.19999999999999</v>
      </c>
      <c r="C358">
        <v>75.700000000000017</v>
      </c>
      <c r="D358">
        <v>2.6999999999999997</v>
      </c>
      <c r="E358">
        <v>142.19999999999999</v>
      </c>
      <c r="F358">
        <v>100.00000000000001</v>
      </c>
      <c r="G358">
        <v>2.6999999999999997</v>
      </c>
      <c r="H358">
        <v>1.2</v>
      </c>
      <c r="I358">
        <v>470.20311383399996</v>
      </c>
      <c r="J358">
        <v>10.910964844322043</v>
      </c>
      <c r="K358">
        <v>1250</v>
      </c>
      <c r="L358">
        <v>0</v>
      </c>
      <c r="N358">
        <v>23</v>
      </c>
      <c r="O358" s="60" t="s">
        <v>1382</v>
      </c>
      <c r="P358" t="s">
        <v>900</v>
      </c>
      <c r="Q358" t="s">
        <v>925</v>
      </c>
    </row>
    <row r="359" spans="1:17" x14ac:dyDescent="0.25">
      <c r="A359" t="s">
        <v>19</v>
      </c>
      <c r="B359">
        <v>142.19999999999999</v>
      </c>
      <c r="C359">
        <v>100.00000000000001</v>
      </c>
      <c r="D359">
        <v>2.6999999999999997</v>
      </c>
      <c r="E359">
        <v>140.84999999999997</v>
      </c>
      <c r="F359">
        <v>100.00000000000001</v>
      </c>
      <c r="G359">
        <v>2.6999999999999997</v>
      </c>
      <c r="H359">
        <v>1.2</v>
      </c>
      <c r="I359">
        <v>470.20311383399996</v>
      </c>
      <c r="J359">
        <v>0.60616471357345714</v>
      </c>
      <c r="K359">
        <v>1000</v>
      </c>
      <c r="L359">
        <v>0</v>
      </c>
      <c r="N359">
        <v>23</v>
      </c>
      <c r="O359" s="60" t="s">
        <v>1383</v>
      </c>
      <c r="P359" t="s">
        <v>901</v>
      </c>
      <c r="Q359" t="s">
        <v>1037</v>
      </c>
    </row>
    <row r="360" spans="1:17" x14ac:dyDescent="0.25">
      <c r="A360" t="s">
        <v>19</v>
      </c>
      <c r="B360">
        <v>140.84999999999997</v>
      </c>
      <c r="C360">
        <v>100.00000000000001</v>
      </c>
      <c r="D360">
        <v>2.6999999999999997</v>
      </c>
      <c r="E360">
        <v>140.84999999999997</v>
      </c>
      <c r="F360">
        <v>75.700000000000017</v>
      </c>
      <c r="G360">
        <v>2.6999999999999997</v>
      </c>
      <c r="H360">
        <v>1.2</v>
      </c>
      <c r="I360">
        <v>470.20311383399996</v>
      </c>
      <c r="J360">
        <v>10.910964844322043</v>
      </c>
      <c r="K360">
        <v>1250</v>
      </c>
      <c r="L360">
        <v>0</v>
      </c>
      <c r="N360">
        <v>23</v>
      </c>
      <c r="O360" s="60" t="s">
        <v>1384</v>
      </c>
      <c r="P360" t="s">
        <v>923</v>
      </c>
      <c r="Q360" t="s">
        <v>927</v>
      </c>
    </row>
    <row r="361" spans="1:17" x14ac:dyDescent="0.25">
      <c r="A361" t="s">
        <v>19</v>
      </c>
      <c r="B361">
        <v>140.84999999999997</v>
      </c>
      <c r="C361">
        <v>75.700000000000017</v>
      </c>
      <c r="D361">
        <v>2.6999999999999997</v>
      </c>
      <c r="E361">
        <v>139.49999999999994</v>
      </c>
      <c r="F361">
        <v>75.700000000000017</v>
      </c>
      <c r="G361">
        <v>2.6999999999999997</v>
      </c>
      <c r="H361">
        <v>1.2</v>
      </c>
      <c r="I361">
        <v>470.20311383399996</v>
      </c>
      <c r="J361">
        <v>0.60616471357345714</v>
      </c>
      <c r="K361">
        <v>1000</v>
      </c>
      <c r="L361">
        <v>0</v>
      </c>
      <c r="N361">
        <v>23</v>
      </c>
      <c r="O361" s="60" t="s">
        <v>1385</v>
      </c>
      <c r="P361" t="s">
        <v>924</v>
      </c>
      <c r="Q361" t="s">
        <v>1038</v>
      </c>
    </row>
    <row r="362" spans="1:17" x14ac:dyDescent="0.25">
      <c r="A362" t="s">
        <v>19</v>
      </c>
      <c r="B362">
        <v>139.49999999999997</v>
      </c>
      <c r="C362">
        <v>75.700000000000017</v>
      </c>
      <c r="D362">
        <v>2.6999999999999997</v>
      </c>
      <c r="E362">
        <v>139.49999999999997</v>
      </c>
      <c r="F362">
        <v>100.00000000000001</v>
      </c>
      <c r="G362">
        <v>2.6999999999999997</v>
      </c>
      <c r="H362">
        <v>1.2</v>
      </c>
      <c r="I362">
        <v>470.20311383399996</v>
      </c>
      <c r="J362">
        <v>10.910964844322043</v>
      </c>
      <c r="K362">
        <v>1250</v>
      </c>
      <c r="L362">
        <v>0</v>
      </c>
      <c r="N362">
        <v>23</v>
      </c>
      <c r="O362" s="60" t="s">
        <v>1386</v>
      </c>
      <c r="P362" t="s">
        <v>900</v>
      </c>
      <c r="Q362" t="s">
        <v>925</v>
      </c>
    </row>
    <row r="363" spans="1:17" x14ac:dyDescent="0.25">
      <c r="A363" t="s">
        <v>19</v>
      </c>
      <c r="B363">
        <v>139.49999999999997</v>
      </c>
      <c r="C363">
        <v>100.00000000000001</v>
      </c>
      <c r="D363">
        <v>2.6999999999999997</v>
      </c>
      <c r="E363">
        <v>138.14999999999995</v>
      </c>
      <c r="F363">
        <v>100.00000000000001</v>
      </c>
      <c r="G363">
        <v>2.6999999999999997</v>
      </c>
      <c r="H363">
        <v>1.2</v>
      </c>
      <c r="I363">
        <v>470.20311383399996</v>
      </c>
      <c r="J363">
        <v>0.60616471357345714</v>
      </c>
      <c r="K363">
        <v>1000</v>
      </c>
      <c r="L363">
        <v>0</v>
      </c>
      <c r="N363">
        <v>23</v>
      </c>
      <c r="O363" s="60" t="s">
        <v>1387</v>
      </c>
      <c r="P363" t="s">
        <v>901</v>
      </c>
      <c r="Q363" t="s">
        <v>1039</v>
      </c>
    </row>
    <row r="364" spans="1:17" x14ac:dyDescent="0.25">
      <c r="A364" t="s">
        <v>19</v>
      </c>
      <c r="B364">
        <v>138.14999999999995</v>
      </c>
      <c r="C364">
        <v>100.00000000000001</v>
      </c>
      <c r="D364">
        <v>2.6999999999999997</v>
      </c>
      <c r="E364">
        <v>138.14999999999995</v>
      </c>
      <c r="F364">
        <v>75.700000000000017</v>
      </c>
      <c r="G364">
        <v>2.6999999999999997</v>
      </c>
      <c r="H364">
        <v>1.2</v>
      </c>
      <c r="I364">
        <v>470.20311383399996</v>
      </c>
      <c r="J364">
        <v>10.910964844322043</v>
      </c>
      <c r="K364">
        <v>1250</v>
      </c>
      <c r="L364">
        <v>0</v>
      </c>
      <c r="N364">
        <v>23</v>
      </c>
      <c r="O364" s="60" t="s">
        <v>1388</v>
      </c>
      <c r="P364" t="s">
        <v>923</v>
      </c>
      <c r="Q364" t="s">
        <v>927</v>
      </c>
    </row>
    <row r="365" spans="1:17" x14ac:dyDescent="0.25">
      <c r="A365" t="s">
        <v>19</v>
      </c>
      <c r="B365">
        <v>138.14999999999995</v>
      </c>
      <c r="C365">
        <v>75.700000000000017</v>
      </c>
      <c r="D365">
        <v>2.6999999999999997</v>
      </c>
      <c r="E365">
        <v>136.79999999999993</v>
      </c>
      <c r="F365">
        <v>75.700000000000017</v>
      </c>
      <c r="G365">
        <v>2.6999999999999997</v>
      </c>
      <c r="H365">
        <v>1.2</v>
      </c>
      <c r="I365">
        <v>470.20311383399996</v>
      </c>
      <c r="J365">
        <v>0.60616471357345714</v>
      </c>
      <c r="K365">
        <v>1000</v>
      </c>
      <c r="L365">
        <v>0</v>
      </c>
      <c r="N365">
        <v>23</v>
      </c>
      <c r="O365" s="60" t="s">
        <v>1389</v>
      </c>
      <c r="P365" t="s">
        <v>924</v>
      </c>
      <c r="Q365" t="s">
        <v>1040</v>
      </c>
    </row>
    <row r="366" spans="1:17" x14ac:dyDescent="0.25">
      <c r="A366" t="s">
        <v>19</v>
      </c>
      <c r="B366">
        <v>136.79999999999998</v>
      </c>
      <c r="C366">
        <v>75.700000000000017</v>
      </c>
      <c r="D366">
        <v>2.6999999999999997</v>
      </c>
      <c r="E366">
        <v>136.79999999999998</v>
      </c>
      <c r="F366">
        <v>100.00000000000001</v>
      </c>
      <c r="G366">
        <v>2.6999999999999997</v>
      </c>
      <c r="H366">
        <v>1.2</v>
      </c>
      <c r="I366">
        <v>470.20311383399996</v>
      </c>
      <c r="J366">
        <v>10.910964844322043</v>
      </c>
      <c r="K366">
        <v>1250</v>
      </c>
      <c r="L366">
        <v>0</v>
      </c>
      <c r="N366">
        <v>23</v>
      </c>
      <c r="O366" s="60" t="s">
        <v>1390</v>
      </c>
      <c r="P366" t="s">
        <v>900</v>
      </c>
      <c r="Q366" t="s">
        <v>925</v>
      </c>
    </row>
    <row r="367" spans="1:17" x14ac:dyDescent="0.25">
      <c r="A367" t="s">
        <v>19</v>
      </c>
      <c r="B367">
        <v>136.79999999999998</v>
      </c>
      <c r="C367">
        <v>100.00000000000001</v>
      </c>
      <c r="D367">
        <v>2.6999999999999997</v>
      </c>
      <c r="E367">
        <v>135.44999999999996</v>
      </c>
      <c r="F367">
        <v>100.00000000000001</v>
      </c>
      <c r="G367">
        <v>2.6999999999999997</v>
      </c>
      <c r="H367">
        <v>1.2</v>
      </c>
      <c r="I367">
        <v>470.20311383399996</v>
      </c>
      <c r="J367">
        <v>0.60616471357345714</v>
      </c>
      <c r="K367">
        <v>1000</v>
      </c>
      <c r="L367">
        <v>0</v>
      </c>
      <c r="N367">
        <v>23</v>
      </c>
      <c r="O367" s="60" t="s">
        <v>1391</v>
      </c>
      <c r="P367" t="s">
        <v>901</v>
      </c>
      <c r="Q367" t="s">
        <v>1041</v>
      </c>
    </row>
    <row r="368" spans="1:17" x14ac:dyDescent="0.25">
      <c r="A368" t="s">
        <v>19</v>
      </c>
      <c r="B368">
        <v>135.44999999999996</v>
      </c>
      <c r="C368">
        <v>100.00000000000001</v>
      </c>
      <c r="D368">
        <v>2.6999999999999997</v>
      </c>
      <c r="E368">
        <v>135.44999999999996</v>
      </c>
      <c r="F368">
        <v>75.700000000000017</v>
      </c>
      <c r="G368">
        <v>2.6999999999999997</v>
      </c>
      <c r="H368">
        <v>1.2</v>
      </c>
      <c r="I368">
        <v>470.20311383399996</v>
      </c>
      <c r="J368">
        <v>10.910964844322043</v>
      </c>
      <c r="K368">
        <v>1250</v>
      </c>
      <c r="L368">
        <v>0</v>
      </c>
      <c r="N368">
        <v>23</v>
      </c>
      <c r="O368" s="60" t="s">
        <v>1392</v>
      </c>
      <c r="P368" t="s">
        <v>923</v>
      </c>
      <c r="Q368" t="s">
        <v>927</v>
      </c>
    </row>
    <row r="369" spans="1:17" x14ac:dyDescent="0.25">
      <c r="A369" t="s">
        <v>19</v>
      </c>
      <c r="B369">
        <v>135.44999999999996</v>
      </c>
      <c r="C369">
        <v>75.700000000000017</v>
      </c>
      <c r="D369">
        <v>2.6999999999999997</v>
      </c>
      <c r="E369">
        <v>134.09999999999994</v>
      </c>
      <c r="F369">
        <v>75.700000000000017</v>
      </c>
      <c r="G369">
        <v>2.6999999999999997</v>
      </c>
      <c r="H369">
        <v>1.2</v>
      </c>
      <c r="I369">
        <v>470.20311383399996</v>
      </c>
      <c r="J369">
        <v>0.60616471357345714</v>
      </c>
      <c r="K369">
        <v>1000</v>
      </c>
      <c r="L369">
        <v>0</v>
      </c>
      <c r="N369">
        <v>23</v>
      </c>
      <c r="O369" s="60" t="s">
        <v>1393</v>
      </c>
      <c r="P369" t="s">
        <v>924</v>
      </c>
      <c r="Q369" t="s">
        <v>1042</v>
      </c>
    </row>
    <row r="370" spans="1:17" x14ac:dyDescent="0.25">
      <c r="A370" t="s">
        <v>19</v>
      </c>
      <c r="B370">
        <v>134.09999999999997</v>
      </c>
      <c r="C370">
        <v>75.700000000000017</v>
      </c>
      <c r="D370">
        <v>2.6999999999999997</v>
      </c>
      <c r="E370">
        <v>134.09999999999997</v>
      </c>
      <c r="F370">
        <v>100.00000000000001</v>
      </c>
      <c r="G370">
        <v>2.6999999999999997</v>
      </c>
      <c r="H370">
        <v>1.2</v>
      </c>
      <c r="I370">
        <v>470.20311383399996</v>
      </c>
      <c r="J370">
        <v>10.910964844322043</v>
      </c>
      <c r="K370">
        <v>1250</v>
      </c>
      <c r="L370">
        <v>0</v>
      </c>
      <c r="N370">
        <v>23</v>
      </c>
      <c r="O370" s="60" t="s">
        <v>1394</v>
      </c>
      <c r="P370" t="s">
        <v>900</v>
      </c>
      <c r="Q370" t="s">
        <v>925</v>
      </c>
    </row>
    <row r="371" spans="1:17" x14ac:dyDescent="0.25">
      <c r="A371" t="s">
        <v>19</v>
      </c>
      <c r="B371">
        <v>134.09999999999997</v>
      </c>
      <c r="C371">
        <v>100.00000000000001</v>
      </c>
      <c r="D371">
        <v>2.6999999999999997</v>
      </c>
      <c r="E371">
        <v>132.74999999999994</v>
      </c>
      <c r="F371">
        <v>100.00000000000001</v>
      </c>
      <c r="G371">
        <v>2.6999999999999997</v>
      </c>
      <c r="H371">
        <v>1.2</v>
      </c>
      <c r="I371">
        <v>470.20311383399996</v>
      </c>
      <c r="J371">
        <v>0.60616471357345714</v>
      </c>
      <c r="K371">
        <v>1000</v>
      </c>
      <c r="L371">
        <v>0</v>
      </c>
      <c r="N371">
        <v>23</v>
      </c>
      <c r="O371" s="60" t="s">
        <v>1395</v>
      </c>
      <c r="P371" t="s">
        <v>901</v>
      </c>
      <c r="Q371" t="s">
        <v>1043</v>
      </c>
    </row>
    <row r="372" spans="1:17" x14ac:dyDescent="0.25">
      <c r="A372" t="s">
        <v>19</v>
      </c>
      <c r="B372">
        <v>132.74999999999994</v>
      </c>
      <c r="C372">
        <v>100.00000000000001</v>
      </c>
      <c r="D372">
        <v>2.6999999999999997</v>
      </c>
      <c r="E372">
        <v>132.74999999999994</v>
      </c>
      <c r="F372">
        <v>75.700000000000017</v>
      </c>
      <c r="G372">
        <v>2.6999999999999997</v>
      </c>
      <c r="H372">
        <v>1.2</v>
      </c>
      <c r="I372">
        <v>470.20311383399996</v>
      </c>
      <c r="J372">
        <v>10.910964844322043</v>
      </c>
      <c r="K372">
        <v>1250</v>
      </c>
      <c r="L372">
        <v>0</v>
      </c>
      <c r="N372">
        <v>23</v>
      </c>
      <c r="O372" s="60" t="s">
        <v>1396</v>
      </c>
      <c r="P372" t="s">
        <v>923</v>
      </c>
      <c r="Q372" t="s">
        <v>927</v>
      </c>
    </row>
    <row r="373" spans="1:17" x14ac:dyDescent="0.25">
      <c r="A373" t="s">
        <v>19</v>
      </c>
      <c r="B373">
        <v>132.74999999999994</v>
      </c>
      <c r="C373">
        <v>75.700000000000017</v>
      </c>
      <c r="D373">
        <v>2.6999999999999997</v>
      </c>
      <c r="E373">
        <v>131.39999999999992</v>
      </c>
      <c r="F373">
        <v>75.700000000000017</v>
      </c>
      <c r="G373">
        <v>2.6999999999999997</v>
      </c>
      <c r="H373">
        <v>1.2</v>
      </c>
      <c r="I373">
        <v>470.20311383399996</v>
      </c>
      <c r="J373">
        <v>0.60616471357345714</v>
      </c>
      <c r="K373">
        <v>1000</v>
      </c>
      <c r="L373">
        <v>0</v>
      </c>
      <c r="N373">
        <v>23</v>
      </c>
      <c r="O373" s="60" t="s">
        <v>1397</v>
      </c>
      <c r="P373" t="s">
        <v>924</v>
      </c>
      <c r="Q373" t="s">
        <v>1044</v>
      </c>
    </row>
    <row r="374" spans="1:17" x14ac:dyDescent="0.25">
      <c r="A374" t="s">
        <v>49</v>
      </c>
      <c r="B374" t="s">
        <v>866</v>
      </c>
      <c r="C374">
        <v>106</v>
      </c>
      <c r="D374" t="s">
        <v>867</v>
      </c>
      <c r="E374">
        <v>0</v>
      </c>
      <c r="N374">
        <v>24</v>
      </c>
      <c r="O374" s="60" t="s">
        <v>1060</v>
      </c>
      <c r="P374" t="s">
        <v>721</v>
      </c>
      <c r="Q374" t="s">
        <v>1059</v>
      </c>
    </row>
    <row r="375" spans="1:17" x14ac:dyDescent="0.25">
      <c r="A375" t="s">
        <v>23</v>
      </c>
      <c r="B375">
        <v>131.39999999999992</v>
      </c>
      <c r="C375">
        <v>75.700000000000017</v>
      </c>
      <c r="D375">
        <v>2.6999999999999997</v>
      </c>
      <c r="E375">
        <v>290.7</v>
      </c>
      <c r="F375">
        <v>100</v>
      </c>
      <c r="G375">
        <v>3.5999999999999996</v>
      </c>
      <c r="H375">
        <v>0</v>
      </c>
      <c r="I375">
        <v>0</v>
      </c>
      <c r="K375">
        <v>3000</v>
      </c>
      <c r="N375">
        <v>0</v>
      </c>
      <c r="O375" s="60">
        <v>0</v>
      </c>
      <c r="P375" t="s">
        <v>659</v>
      </c>
      <c r="Q375" t="s">
        <v>1398</v>
      </c>
    </row>
    <row r="376" spans="1:17" x14ac:dyDescent="0.25">
      <c r="A376" t="s">
        <v>19</v>
      </c>
      <c r="B376">
        <v>290.7</v>
      </c>
      <c r="C376">
        <v>100</v>
      </c>
      <c r="D376">
        <v>3.5999999999999996</v>
      </c>
      <c r="E376">
        <v>129.29999999999998</v>
      </c>
      <c r="F376">
        <v>100</v>
      </c>
      <c r="G376">
        <v>3.5999999999999996</v>
      </c>
      <c r="H376">
        <v>1.2</v>
      </c>
      <c r="I376">
        <v>470.20311383399996</v>
      </c>
      <c r="J376">
        <v>72.470359089447655</v>
      </c>
      <c r="K376">
        <v>1250</v>
      </c>
      <c r="L376">
        <v>0</v>
      </c>
      <c r="N376">
        <v>25</v>
      </c>
      <c r="O376" s="60" t="s">
        <v>803</v>
      </c>
      <c r="P376" t="s">
        <v>718</v>
      </c>
      <c r="Q376" t="s">
        <v>906</v>
      </c>
    </row>
    <row r="377" spans="1:17" x14ac:dyDescent="0.25">
      <c r="A377" t="s">
        <v>19</v>
      </c>
      <c r="B377">
        <v>129.29999999999998</v>
      </c>
      <c r="C377">
        <v>100</v>
      </c>
      <c r="D377">
        <v>3.5999999999999996</v>
      </c>
      <c r="E377">
        <v>129.29999999999998</v>
      </c>
      <c r="F377">
        <v>98.65</v>
      </c>
      <c r="G377">
        <v>3.5999999999999996</v>
      </c>
      <c r="H377">
        <v>1.2</v>
      </c>
      <c r="I377">
        <v>470.20311383399996</v>
      </c>
      <c r="J377">
        <v>0.60616471357344437</v>
      </c>
      <c r="K377">
        <v>1000</v>
      </c>
      <c r="L377">
        <v>0</v>
      </c>
      <c r="N377">
        <v>26</v>
      </c>
      <c r="O377" s="60" t="s">
        <v>804</v>
      </c>
      <c r="P377" t="s">
        <v>720</v>
      </c>
      <c r="Q377" t="s">
        <v>801</v>
      </c>
    </row>
    <row r="378" spans="1:17" x14ac:dyDescent="0.25">
      <c r="A378" t="s">
        <v>19</v>
      </c>
      <c r="B378">
        <v>129.29999999999998</v>
      </c>
      <c r="C378">
        <v>98.65</v>
      </c>
      <c r="D378">
        <v>3.5999999999999996</v>
      </c>
      <c r="E378">
        <v>290.7</v>
      </c>
      <c r="F378">
        <v>98.65</v>
      </c>
      <c r="G378">
        <v>3.5999999999999996</v>
      </c>
      <c r="H378">
        <v>1.2</v>
      </c>
      <c r="I378">
        <v>470.20311383399996</v>
      </c>
      <c r="J378">
        <v>72.470359089447655</v>
      </c>
      <c r="K378">
        <v>1250</v>
      </c>
      <c r="L378">
        <v>0</v>
      </c>
      <c r="N378">
        <v>27</v>
      </c>
      <c r="O378" s="60" t="s">
        <v>805</v>
      </c>
      <c r="P378" t="s">
        <v>776</v>
      </c>
      <c r="Q378" t="s">
        <v>907</v>
      </c>
    </row>
    <row r="379" spans="1:17" x14ac:dyDescent="0.25">
      <c r="A379" t="s">
        <v>19</v>
      </c>
      <c r="B379">
        <v>290.7</v>
      </c>
      <c r="C379">
        <v>98.65</v>
      </c>
      <c r="D379">
        <v>3.5999999999999996</v>
      </c>
      <c r="E379">
        <v>290.7</v>
      </c>
      <c r="F379">
        <v>97.300000000000011</v>
      </c>
      <c r="G379">
        <v>3.5999999999999996</v>
      </c>
      <c r="H379">
        <v>1.2</v>
      </c>
      <c r="I379">
        <v>470.20311383399996</v>
      </c>
      <c r="J379">
        <v>0.60616471357344437</v>
      </c>
      <c r="K379">
        <v>1000</v>
      </c>
      <c r="L379">
        <v>0</v>
      </c>
      <c r="N379">
        <v>28</v>
      </c>
      <c r="O379" s="60" t="s">
        <v>806</v>
      </c>
      <c r="P379" t="s">
        <v>778</v>
      </c>
      <c r="Q379" t="s">
        <v>880</v>
      </c>
    </row>
    <row r="380" spans="1:17" x14ac:dyDescent="0.25">
      <c r="A380" t="s">
        <v>19</v>
      </c>
      <c r="B380">
        <v>290.7</v>
      </c>
      <c r="C380">
        <v>97.3</v>
      </c>
      <c r="D380">
        <v>3.5999999999999996</v>
      </c>
      <c r="E380">
        <v>129.29999999999998</v>
      </c>
      <c r="F380">
        <v>97.3</v>
      </c>
      <c r="G380">
        <v>3.5999999999999996</v>
      </c>
      <c r="H380">
        <v>1.2</v>
      </c>
      <c r="I380">
        <v>470.20311383399996</v>
      </c>
      <c r="J380">
        <v>72.470359089447655</v>
      </c>
      <c r="K380">
        <v>1250</v>
      </c>
      <c r="L380">
        <v>0</v>
      </c>
      <c r="N380">
        <v>29</v>
      </c>
      <c r="O380" s="60" t="s">
        <v>807</v>
      </c>
      <c r="P380" t="s">
        <v>796</v>
      </c>
      <c r="Q380" t="s">
        <v>906</v>
      </c>
    </row>
    <row r="381" spans="1:17" x14ac:dyDescent="0.25">
      <c r="A381" t="s">
        <v>19</v>
      </c>
      <c r="B381">
        <v>129.29999999999998</v>
      </c>
      <c r="C381">
        <v>97.3</v>
      </c>
      <c r="D381">
        <v>3.5999999999999996</v>
      </c>
      <c r="E381">
        <v>129.29999999999998</v>
      </c>
      <c r="F381">
        <v>95.95</v>
      </c>
      <c r="G381">
        <v>3.5999999999999996</v>
      </c>
      <c r="H381">
        <v>1.2</v>
      </c>
      <c r="I381">
        <v>470.20311383399996</v>
      </c>
      <c r="J381">
        <v>0.60616471357344437</v>
      </c>
      <c r="K381">
        <v>1000</v>
      </c>
      <c r="L381">
        <v>0</v>
      </c>
      <c r="N381">
        <v>29</v>
      </c>
      <c r="O381" s="60" t="s">
        <v>808</v>
      </c>
      <c r="P381" t="s">
        <v>797</v>
      </c>
      <c r="Q381" t="s">
        <v>870</v>
      </c>
    </row>
    <row r="382" spans="1:17" x14ac:dyDescent="0.25">
      <c r="A382" t="s">
        <v>19</v>
      </c>
      <c r="B382">
        <v>129.29999999999998</v>
      </c>
      <c r="C382">
        <v>95.95</v>
      </c>
      <c r="D382">
        <v>3.5999999999999996</v>
      </c>
      <c r="E382">
        <v>290.7</v>
      </c>
      <c r="F382">
        <v>95.95</v>
      </c>
      <c r="G382">
        <v>3.5999999999999996</v>
      </c>
      <c r="H382">
        <v>1.2</v>
      </c>
      <c r="I382">
        <v>470.20311383399996</v>
      </c>
      <c r="J382">
        <v>72.470359089447655</v>
      </c>
      <c r="K382">
        <v>1250</v>
      </c>
      <c r="L382">
        <v>0</v>
      </c>
      <c r="N382">
        <v>29</v>
      </c>
      <c r="O382" s="60" t="s">
        <v>809</v>
      </c>
      <c r="P382" t="s">
        <v>798</v>
      </c>
      <c r="Q382" t="s">
        <v>907</v>
      </c>
    </row>
    <row r="383" spans="1:17" x14ac:dyDescent="0.25">
      <c r="A383" t="s">
        <v>19</v>
      </c>
      <c r="B383">
        <v>290.7</v>
      </c>
      <c r="C383">
        <v>95.95</v>
      </c>
      <c r="D383">
        <v>3.5999999999999996</v>
      </c>
      <c r="E383">
        <v>290.7</v>
      </c>
      <c r="F383">
        <v>94.600000000000009</v>
      </c>
      <c r="G383">
        <v>3.5999999999999996</v>
      </c>
      <c r="H383">
        <v>1.2</v>
      </c>
      <c r="I383">
        <v>470.20311383399996</v>
      </c>
      <c r="J383">
        <v>0.60616471357344437</v>
      </c>
      <c r="K383">
        <v>1000</v>
      </c>
      <c r="L383">
        <v>0</v>
      </c>
      <c r="N383">
        <v>29</v>
      </c>
      <c r="O383" s="60" t="s">
        <v>810</v>
      </c>
      <c r="P383" t="s">
        <v>799</v>
      </c>
      <c r="Q383" t="s">
        <v>881</v>
      </c>
    </row>
    <row r="384" spans="1:17" x14ac:dyDescent="0.25">
      <c r="A384" t="s">
        <v>19</v>
      </c>
      <c r="B384">
        <v>290.7</v>
      </c>
      <c r="C384">
        <v>94.6</v>
      </c>
      <c r="D384">
        <v>3.5999999999999996</v>
      </c>
      <c r="E384">
        <v>129.29999999999998</v>
      </c>
      <c r="F384">
        <v>94.6</v>
      </c>
      <c r="G384">
        <v>3.5999999999999996</v>
      </c>
      <c r="H384">
        <v>1.2</v>
      </c>
      <c r="I384">
        <v>470.20311383399996</v>
      </c>
      <c r="J384">
        <v>72.470359089447655</v>
      </c>
      <c r="K384">
        <v>1250</v>
      </c>
      <c r="L384">
        <v>0</v>
      </c>
      <c r="N384">
        <v>29</v>
      </c>
      <c r="O384" s="60" t="s">
        <v>811</v>
      </c>
      <c r="P384" t="s">
        <v>796</v>
      </c>
      <c r="Q384" t="s">
        <v>906</v>
      </c>
    </row>
    <row r="385" spans="1:17" x14ac:dyDescent="0.25">
      <c r="A385" t="s">
        <v>19</v>
      </c>
      <c r="B385">
        <v>129.29999999999998</v>
      </c>
      <c r="C385">
        <v>94.6</v>
      </c>
      <c r="D385">
        <v>3.5999999999999996</v>
      </c>
      <c r="E385">
        <v>129.29999999999998</v>
      </c>
      <c r="F385">
        <v>93.25</v>
      </c>
      <c r="G385">
        <v>3.5999999999999996</v>
      </c>
      <c r="H385">
        <v>1.2</v>
      </c>
      <c r="I385">
        <v>470.20311383399996</v>
      </c>
      <c r="J385">
        <v>0.60616471357344437</v>
      </c>
      <c r="K385">
        <v>1000</v>
      </c>
      <c r="L385">
        <v>0</v>
      </c>
      <c r="N385">
        <v>29</v>
      </c>
      <c r="O385" s="60" t="s">
        <v>812</v>
      </c>
      <c r="P385" t="s">
        <v>797</v>
      </c>
      <c r="Q385" t="s">
        <v>873</v>
      </c>
    </row>
    <row r="386" spans="1:17" x14ac:dyDescent="0.25">
      <c r="A386" t="s">
        <v>19</v>
      </c>
      <c r="B386">
        <v>129.29999999999998</v>
      </c>
      <c r="C386">
        <v>93.25</v>
      </c>
      <c r="D386">
        <v>3.5999999999999996</v>
      </c>
      <c r="E386">
        <v>290.7</v>
      </c>
      <c r="F386">
        <v>93.25</v>
      </c>
      <c r="G386">
        <v>3.5999999999999996</v>
      </c>
      <c r="H386">
        <v>1.2</v>
      </c>
      <c r="I386">
        <v>470.20311383399996</v>
      </c>
      <c r="J386">
        <v>72.470359089447655</v>
      </c>
      <c r="K386">
        <v>1250</v>
      </c>
      <c r="L386">
        <v>0</v>
      </c>
      <c r="N386">
        <v>29</v>
      </c>
      <c r="O386" s="60" t="s">
        <v>813</v>
      </c>
      <c r="P386" t="s">
        <v>798</v>
      </c>
      <c r="Q386" t="s">
        <v>907</v>
      </c>
    </row>
    <row r="387" spans="1:17" x14ac:dyDescent="0.25">
      <c r="A387" t="s">
        <v>19</v>
      </c>
      <c r="B387">
        <v>290.7</v>
      </c>
      <c r="C387">
        <v>93.25</v>
      </c>
      <c r="D387">
        <v>3.5999999999999996</v>
      </c>
      <c r="E387">
        <v>290.7</v>
      </c>
      <c r="F387">
        <v>91.9</v>
      </c>
      <c r="G387">
        <v>3.5999999999999996</v>
      </c>
      <c r="H387">
        <v>1.2</v>
      </c>
      <c r="I387">
        <v>470.20311383399996</v>
      </c>
      <c r="J387">
        <v>0.60616471357344437</v>
      </c>
      <c r="K387">
        <v>1000</v>
      </c>
      <c r="L387">
        <v>0</v>
      </c>
      <c r="N387">
        <v>29</v>
      </c>
      <c r="O387" s="60" t="s">
        <v>814</v>
      </c>
      <c r="P387" t="s">
        <v>799</v>
      </c>
      <c r="Q387" t="s">
        <v>882</v>
      </c>
    </row>
    <row r="388" spans="1:17" x14ac:dyDescent="0.25">
      <c r="A388" t="s">
        <v>19</v>
      </c>
      <c r="B388">
        <v>290.7</v>
      </c>
      <c r="C388">
        <v>91.9</v>
      </c>
      <c r="D388">
        <v>3.5999999999999996</v>
      </c>
      <c r="E388">
        <v>129.29999999999998</v>
      </c>
      <c r="F388">
        <v>91.9</v>
      </c>
      <c r="G388">
        <v>3.5999999999999996</v>
      </c>
      <c r="H388">
        <v>1.2</v>
      </c>
      <c r="I388">
        <v>470.20311383399996</v>
      </c>
      <c r="J388">
        <v>72.470359089447655</v>
      </c>
      <c r="K388">
        <v>1250</v>
      </c>
      <c r="L388">
        <v>0</v>
      </c>
      <c r="N388">
        <v>29</v>
      </c>
      <c r="O388" s="60" t="s">
        <v>815</v>
      </c>
      <c r="P388" t="s">
        <v>796</v>
      </c>
      <c r="Q388" t="s">
        <v>906</v>
      </c>
    </row>
    <row r="389" spans="1:17" x14ac:dyDescent="0.25">
      <c r="A389" t="s">
        <v>19</v>
      </c>
      <c r="B389">
        <v>129.29999999999998</v>
      </c>
      <c r="C389">
        <v>91.9</v>
      </c>
      <c r="D389">
        <v>3.5999999999999996</v>
      </c>
      <c r="E389">
        <v>129.29999999999998</v>
      </c>
      <c r="F389">
        <v>90.550000000000011</v>
      </c>
      <c r="G389">
        <v>3.5999999999999996</v>
      </c>
      <c r="H389">
        <v>1.2</v>
      </c>
      <c r="I389">
        <v>470.20311383399996</v>
      </c>
      <c r="J389">
        <v>0.60616471357344437</v>
      </c>
      <c r="K389">
        <v>1000</v>
      </c>
      <c r="L389">
        <v>0</v>
      </c>
      <c r="N389">
        <v>29</v>
      </c>
      <c r="O389" s="60" t="s">
        <v>816</v>
      </c>
      <c r="P389" t="s">
        <v>797</v>
      </c>
      <c r="Q389" t="s">
        <v>874</v>
      </c>
    </row>
    <row r="390" spans="1:17" x14ac:dyDescent="0.25">
      <c r="A390" t="s">
        <v>19</v>
      </c>
      <c r="B390">
        <v>129.29999999999998</v>
      </c>
      <c r="C390">
        <v>90.550000000000011</v>
      </c>
      <c r="D390">
        <v>3.5999999999999996</v>
      </c>
      <c r="E390">
        <v>290.7</v>
      </c>
      <c r="F390">
        <v>90.550000000000011</v>
      </c>
      <c r="G390">
        <v>3.5999999999999996</v>
      </c>
      <c r="H390">
        <v>1.2</v>
      </c>
      <c r="I390">
        <v>470.20311383399996</v>
      </c>
      <c r="J390">
        <v>72.470359089447655</v>
      </c>
      <c r="K390">
        <v>1250</v>
      </c>
      <c r="L390">
        <v>0</v>
      </c>
      <c r="N390">
        <v>29</v>
      </c>
      <c r="O390" s="60" t="s">
        <v>817</v>
      </c>
      <c r="P390" t="s">
        <v>798</v>
      </c>
      <c r="Q390" t="s">
        <v>907</v>
      </c>
    </row>
    <row r="391" spans="1:17" x14ac:dyDescent="0.25">
      <c r="A391" t="s">
        <v>19</v>
      </c>
      <c r="B391">
        <v>290.7</v>
      </c>
      <c r="C391">
        <v>90.550000000000011</v>
      </c>
      <c r="D391">
        <v>3.5999999999999996</v>
      </c>
      <c r="E391">
        <v>290.7</v>
      </c>
      <c r="F391">
        <v>89.200000000000017</v>
      </c>
      <c r="G391">
        <v>3.5999999999999996</v>
      </c>
      <c r="H391">
        <v>1.2</v>
      </c>
      <c r="I391">
        <v>470.20311383399996</v>
      </c>
      <c r="J391">
        <v>0.60616471357344437</v>
      </c>
      <c r="K391">
        <v>1000</v>
      </c>
      <c r="L391">
        <v>0</v>
      </c>
      <c r="N391">
        <v>29</v>
      </c>
      <c r="O391" s="60" t="s">
        <v>818</v>
      </c>
      <c r="P391" t="s">
        <v>799</v>
      </c>
      <c r="Q391" t="s">
        <v>883</v>
      </c>
    </row>
    <row r="392" spans="1:17" x14ac:dyDescent="0.25">
      <c r="A392" t="s">
        <v>19</v>
      </c>
      <c r="B392">
        <v>290.7</v>
      </c>
      <c r="C392">
        <v>89.2</v>
      </c>
      <c r="D392">
        <v>3.5999999999999996</v>
      </c>
      <c r="E392">
        <v>129.29999999999998</v>
      </c>
      <c r="F392">
        <v>89.2</v>
      </c>
      <c r="G392">
        <v>3.5999999999999996</v>
      </c>
      <c r="H392">
        <v>1.2</v>
      </c>
      <c r="I392">
        <v>470.20311383399996</v>
      </c>
      <c r="J392">
        <v>72.470359089447655</v>
      </c>
      <c r="K392">
        <v>1250</v>
      </c>
      <c r="L392">
        <v>0</v>
      </c>
      <c r="N392">
        <v>29</v>
      </c>
      <c r="O392" s="60" t="s">
        <v>819</v>
      </c>
      <c r="P392" t="s">
        <v>796</v>
      </c>
      <c r="Q392" t="s">
        <v>906</v>
      </c>
    </row>
    <row r="393" spans="1:17" x14ac:dyDescent="0.25">
      <c r="A393" t="s">
        <v>19</v>
      </c>
      <c r="B393">
        <v>129.29999999999998</v>
      </c>
      <c r="C393">
        <v>89.2</v>
      </c>
      <c r="D393">
        <v>3.5999999999999996</v>
      </c>
      <c r="E393">
        <v>129.29999999999998</v>
      </c>
      <c r="F393">
        <v>87.850000000000009</v>
      </c>
      <c r="G393">
        <v>3.5999999999999996</v>
      </c>
      <c r="H393">
        <v>1.2</v>
      </c>
      <c r="I393">
        <v>470.20311383399996</v>
      </c>
      <c r="J393">
        <v>0.60616471357344437</v>
      </c>
      <c r="K393">
        <v>1000</v>
      </c>
      <c r="L393">
        <v>0</v>
      </c>
      <c r="N393">
        <v>29</v>
      </c>
      <c r="O393" s="60" t="s">
        <v>820</v>
      </c>
      <c r="P393" t="s">
        <v>797</v>
      </c>
      <c r="Q393" t="s">
        <v>875</v>
      </c>
    </row>
    <row r="394" spans="1:17" x14ac:dyDescent="0.25">
      <c r="A394" t="s">
        <v>19</v>
      </c>
      <c r="B394">
        <v>129.29999999999998</v>
      </c>
      <c r="C394">
        <v>87.850000000000009</v>
      </c>
      <c r="D394">
        <v>3.5999999999999996</v>
      </c>
      <c r="E394">
        <v>290.7</v>
      </c>
      <c r="F394">
        <v>87.850000000000009</v>
      </c>
      <c r="G394">
        <v>3.5999999999999996</v>
      </c>
      <c r="H394">
        <v>1.2</v>
      </c>
      <c r="I394">
        <v>470.20311383399996</v>
      </c>
      <c r="J394">
        <v>72.470359089447655</v>
      </c>
      <c r="K394">
        <v>1250</v>
      </c>
      <c r="L394">
        <v>0</v>
      </c>
      <c r="N394">
        <v>29</v>
      </c>
      <c r="O394" s="60" t="s">
        <v>821</v>
      </c>
      <c r="P394" t="s">
        <v>798</v>
      </c>
      <c r="Q394" t="s">
        <v>907</v>
      </c>
    </row>
    <row r="395" spans="1:17" x14ac:dyDescent="0.25">
      <c r="A395" t="s">
        <v>19</v>
      </c>
      <c r="B395">
        <v>290.7</v>
      </c>
      <c r="C395">
        <v>87.850000000000009</v>
      </c>
      <c r="D395">
        <v>3.5999999999999996</v>
      </c>
      <c r="E395">
        <v>290.7</v>
      </c>
      <c r="F395">
        <v>86.500000000000014</v>
      </c>
      <c r="G395">
        <v>3.5999999999999996</v>
      </c>
      <c r="H395">
        <v>1.2</v>
      </c>
      <c r="I395">
        <v>470.20311383399996</v>
      </c>
      <c r="J395">
        <v>0.60616471357344437</v>
      </c>
      <c r="K395">
        <v>1000</v>
      </c>
      <c r="L395">
        <v>0</v>
      </c>
      <c r="N395">
        <v>29</v>
      </c>
      <c r="O395" s="60" t="s">
        <v>822</v>
      </c>
      <c r="P395" t="s">
        <v>799</v>
      </c>
      <c r="Q395" t="s">
        <v>884</v>
      </c>
    </row>
    <row r="396" spans="1:17" x14ac:dyDescent="0.25">
      <c r="A396" t="s">
        <v>19</v>
      </c>
      <c r="B396">
        <v>290.7</v>
      </c>
      <c r="C396">
        <v>86.5</v>
      </c>
      <c r="D396">
        <v>3.5999999999999996</v>
      </c>
      <c r="E396">
        <v>129.29999999999998</v>
      </c>
      <c r="F396">
        <v>86.5</v>
      </c>
      <c r="G396">
        <v>3.5999999999999996</v>
      </c>
      <c r="H396">
        <v>1.2</v>
      </c>
      <c r="I396">
        <v>470.20311383399996</v>
      </c>
      <c r="J396">
        <v>72.470359089447655</v>
      </c>
      <c r="K396">
        <v>1250</v>
      </c>
      <c r="L396">
        <v>0</v>
      </c>
      <c r="N396">
        <v>29</v>
      </c>
      <c r="O396" s="60" t="s">
        <v>823</v>
      </c>
      <c r="P396" t="s">
        <v>796</v>
      </c>
      <c r="Q396" t="s">
        <v>906</v>
      </c>
    </row>
    <row r="397" spans="1:17" x14ac:dyDescent="0.25">
      <c r="A397" t="s">
        <v>19</v>
      </c>
      <c r="B397">
        <v>129.29999999999998</v>
      </c>
      <c r="C397">
        <v>86.5</v>
      </c>
      <c r="D397">
        <v>3.5999999999999996</v>
      </c>
      <c r="E397">
        <v>129.29999999999998</v>
      </c>
      <c r="F397">
        <v>85.15</v>
      </c>
      <c r="G397">
        <v>3.5999999999999996</v>
      </c>
      <c r="H397">
        <v>1.2</v>
      </c>
      <c r="I397">
        <v>470.20311383399996</v>
      </c>
      <c r="J397">
        <v>0.60616471357344437</v>
      </c>
      <c r="K397">
        <v>1000</v>
      </c>
      <c r="L397">
        <v>0</v>
      </c>
      <c r="N397">
        <v>29</v>
      </c>
      <c r="O397" s="60" t="s">
        <v>824</v>
      </c>
      <c r="P397" t="s">
        <v>797</v>
      </c>
      <c r="Q397" t="s">
        <v>876</v>
      </c>
    </row>
    <row r="398" spans="1:17" x14ac:dyDescent="0.25">
      <c r="A398" t="s">
        <v>19</v>
      </c>
      <c r="B398">
        <v>129.29999999999998</v>
      </c>
      <c r="C398">
        <v>85.15</v>
      </c>
      <c r="D398">
        <v>3.5999999999999996</v>
      </c>
      <c r="E398">
        <v>290.7</v>
      </c>
      <c r="F398">
        <v>85.15</v>
      </c>
      <c r="G398">
        <v>3.5999999999999996</v>
      </c>
      <c r="H398">
        <v>1.2</v>
      </c>
      <c r="I398">
        <v>470.20311383399996</v>
      </c>
      <c r="J398">
        <v>72.470359089447655</v>
      </c>
      <c r="K398">
        <v>1250</v>
      </c>
      <c r="L398">
        <v>0</v>
      </c>
      <c r="N398">
        <v>29</v>
      </c>
      <c r="O398" s="60" t="s">
        <v>825</v>
      </c>
      <c r="P398" t="s">
        <v>798</v>
      </c>
      <c r="Q398" t="s">
        <v>907</v>
      </c>
    </row>
    <row r="399" spans="1:17" x14ac:dyDescent="0.25">
      <c r="A399" t="s">
        <v>19</v>
      </c>
      <c r="B399">
        <v>290.7</v>
      </c>
      <c r="C399">
        <v>85.15</v>
      </c>
      <c r="D399">
        <v>3.5999999999999996</v>
      </c>
      <c r="E399">
        <v>290.7</v>
      </c>
      <c r="F399">
        <v>83.800000000000011</v>
      </c>
      <c r="G399">
        <v>3.5999999999999996</v>
      </c>
      <c r="H399">
        <v>1.2</v>
      </c>
      <c r="I399">
        <v>470.20311383399996</v>
      </c>
      <c r="J399">
        <v>0.60616471357344437</v>
      </c>
      <c r="K399">
        <v>1000</v>
      </c>
      <c r="L399">
        <v>0</v>
      </c>
      <c r="N399">
        <v>29</v>
      </c>
      <c r="O399" s="60" t="s">
        <v>826</v>
      </c>
      <c r="P399" t="s">
        <v>799</v>
      </c>
      <c r="Q399" t="s">
        <v>885</v>
      </c>
    </row>
    <row r="400" spans="1:17" x14ac:dyDescent="0.25">
      <c r="A400" t="s">
        <v>19</v>
      </c>
      <c r="B400">
        <v>290.7</v>
      </c>
      <c r="C400">
        <v>83.8</v>
      </c>
      <c r="D400">
        <v>3.5999999999999996</v>
      </c>
      <c r="E400">
        <v>129.29999999999998</v>
      </c>
      <c r="F400">
        <v>83.8</v>
      </c>
      <c r="G400">
        <v>3.5999999999999996</v>
      </c>
      <c r="H400">
        <v>1.2</v>
      </c>
      <c r="I400">
        <v>470.20311383399996</v>
      </c>
      <c r="J400">
        <v>72.470359089447655</v>
      </c>
      <c r="K400">
        <v>1250</v>
      </c>
      <c r="L400">
        <v>0</v>
      </c>
      <c r="N400">
        <v>29</v>
      </c>
      <c r="O400" s="60" t="s">
        <v>827</v>
      </c>
      <c r="P400" t="s">
        <v>796</v>
      </c>
      <c r="Q400" t="s">
        <v>906</v>
      </c>
    </row>
    <row r="401" spans="1:17" x14ac:dyDescent="0.25">
      <c r="A401" t="s">
        <v>19</v>
      </c>
      <c r="B401">
        <v>129.29999999999998</v>
      </c>
      <c r="C401">
        <v>83.8</v>
      </c>
      <c r="D401">
        <v>3.5999999999999996</v>
      </c>
      <c r="E401">
        <v>129.29999999999998</v>
      </c>
      <c r="F401">
        <v>82.45</v>
      </c>
      <c r="G401">
        <v>3.5999999999999996</v>
      </c>
      <c r="H401">
        <v>1.2</v>
      </c>
      <c r="I401">
        <v>470.20311383399996</v>
      </c>
      <c r="J401">
        <v>0.60616471357344437</v>
      </c>
      <c r="K401">
        <v>1000</v>
      </c>
      <c r="L401">
        <v>0</v>
      </c>
      <c r="N401">
        <v>29</v>
      </c>
      <c r="O401" s="60" t="s">
        <v>828</v>
      </c>
      <c r="P401" t="s">
        <v>797</v>
      </c>
      <c r="Q401" t="s">
        <v>877</v>
      </c>
    </row>
    <row r="402" spans="1:17" x14ac:dyDescent="0.25">
      <c r="A402" t="s">
        <v>19</v>
      </c>
      <c r="B402">
        <v>129.29999999999998</v>
      </c>
      <c r="C402">
        <v>82.45</v>
      </c>
      <c r="D402">
        <v>3.5999999999999996</v>
      </c>
      <c r="E402">
        <v>290.7</v>
      </c>
      <c r="F402">
        <v>82.45</v>
      </c>
      <c r="G402">
        <v>3.5999999999999996</v>
      </c>
      <c r="H402">
        <v>1.2</v>
      </c>
      <c r="I402">
        <v>470.20311383399996</v>
      </c>
      <c r="J402">
        <v>72.470359089447655</v>
      </c>
      <c r="K402">
        <v>1250</v>
      </c>
      <c r="L402">
        <v>0</v>
      </c>
      <c r="N402">
        <v>29</v>
      </c>
      <c r="O402" s="60" t="s">
        <v>829</v>
      </c>
      <c r="P402" t="s">
        <v>798</v>
      </c>
      <c r="Q402" t="s">
        <v>907</v>
      </c>
    </row>
    <row r="403" spans="1:17" x14ac:dyDescent="0.25">
      <c r="A403" t="s">
        <v>19</v>
      </c>
      <c r="B403">
        <v>290.7</v>
      </c>
      <c r="C403">
        <v>82.45</v>
      </c>
      <c r="D403">
        <v>3.5999999999999996</v>
      </c>
      <c r="E403">
        <v>290.7</v>
      </c>
      <c r="F403">
        <v>81.100000000000009</v>
      </c>
      <c r="G403">
        <v>3.5999999999999996</v>
      </c>
      <c r="H403">
        <v>1.2</v>
      </c>
      <c r="I403">
        <v>470.20311383399996</v>
      </c>
      <c r="J403">
        <v>0.60616471357344437</v>
      </c>
      <c r="K403">
        <v>1000</v>
      </c>
      <c r="L403">
        <v>0</v>
      </c>
      <c r="N403">
        <v>29</v>
      </c>
      <c r="O403" s="60" t="s">
        <v>830</v>
      </c>
      <c r="P403" t="s">
        <v>799</v>
      </c>
      <c r="Q403" t="s">
        <v>886</v>
      </c>
    </row>
    <row r="404" spans="1:17" x14ac:dyDescent="0.25">
      <c r="A404" t="s">
        <v>19</v>
      </c>
      <c r="B404">
        <v>290.7</v>
      </c>
      <c r="C404">
        <v>81.099999999999994</v>
      </c>
      <c r="D404">
        <v>3.5999999999999996</v>
      </c>
      <c r="E404">
        <v>129.29999999999998</v>
      </c>
      <c r="F404">
        <v>81.099999999999994</v>
      </c>
      <c r="G404">
        <v>3.5999999999999996</v>
      </c>
      <c r="H404">
        <v>1.2</v>
      </c>
      <c r="I404">
        <v>470.20311383399996</v>
      </c>
      <c r="J404">
        <v>72.470359089447655</v>
      </c>
      <c r="K404">
        <v>1250</v>
      </c>
      <c r="L404">
        <v>0</v>
      </c>
      <c r="N404">
        <v>29</v>
      </c>
      <c r="O404" s="60" t="s">
        <v>831</v>
      </c>
      <c r="P404" t="s">
        <v>796</v>
      </c>
      <c r="Q404" t="s">
        <v>906</v>
      </c>
    </row>
    <row r="405" spans="1:17" x14ac:dyDescent="0.25">
      <c r="A405" t="s">
        <v>19</v>
      </c>
      <c r="B405">
        <v>129.29999999999998</v>
      </c>
      <c r="C405">
        <v>81.099999999999994</v>
      </c>
      <c r="D405">
        <v>3.5999999999999996</v>
      </c>
      <c r="E405">
        <v>129.29999999999998</v>
      </c>
      <c r="F405">
        <v>79.75</v>
      </c>
      <c r="G405">
        <v>3.5999999999999996</v>
      </c>
      <c r="H405">
        <v>1.2</v>
      </c>
      <c r="I405">
        <v>470.20311383399996</v>
      </c>
      <c r="J405">
        <v>0.60616471357344437</v>
      </c>
      <c r="K405">
        <v>1000</v>
      </c>
      <c r="L405">
        <v>0</v>
      </c>
      <c r="N405">
        <v>29</v>
      </c>
      <c r="O405" s="60" t="s">
        <v>832</v>
      </c>
      <c r="P405" t="s">
        <v>797</v>
      </c>
      <c r="Q405" t="s">
        <v>878</v>
      </c>
    </row>
    <row r="406" spans="1:17" x14ac:dyDescent="0.25">
      <c r="A406" t="s">
        <v>19</v>
      </c>
      <c r="B406">
        <v>129.29999999999998</v>
      </c>
      <c r="C406">
        <v>79.75</v>
      </c>
      <c r="D406">
        <v>3.5999999999999996</v>
      </c>
      <c r="E406">
        <v>290.7</v>
      </c>
      <c r="F406">
        <v>79.75</v>
      </c>
      <c r="G406">
        <v>3.5999999999999996</v>
      </c>
      <c r="H406">
        <v>1.2</v>
      </c>
      <c r="I406">
        <v>470.20311383399996</v>
      </c>
      <c r="J406">
        <v>72.470359089447655</v>
      </c>
      <c r="K406">
        <v>1250</v>
      </c>
      <c r="L406">
        <v>0</v>
      </c>
      <c r="N406">
        <v>29</v>
      </c>
      <c r="O406" s="60" t="s">
        <v>833</v>
      </c>
      <c r="P406" t="s">
        <v>798</v>
      </c>
      <c r="Q406" t="s">
        <v>907</v>
      </c>
    </row>
    <row r="407" spans="1:17" x14ac:dyDescent="0.25">
      <c r="A407" t="s">
        <v>19</v>
      </c>
      <c r="B407">
        <v>290.7</v>
      </c>
      <c r="C407">
        <v>79.75</v>
      </c>
      <c r="D407">
        <v>3.5999999999999996</v>
      </c>
      <c r="E407">
        <v>290.7</v>
      </c>
      <c r="F407">
        <v>78.400000000000006</v>
      </c>
      <c r="G407">
        <v>3.5999999999999996</v>
      </c>
      <c r="H407">
        <v>1.2</v>
      </c>
      <c r="I407">
        <v>470.20311383399996</v>
      </c>
      <c r="J407">
        <v>0.60616471357344437</v>
      </c>
      <c r="K407">
        <v>1000</v>
      </c>
      <c r="L407">
        <v>0</v>
      </c>
      <c r="N407">
        <v>29</v>
      </c>
      <c r="O407" s="60" t="s">
        <v>834</v>
      </c>
      <c r="P407" t="s">
        <v>799</v>
      </c>
      <c r="Q407" t="s">
        <v>887</v>
      </c>
    </row>
    <row r="408" spans="1:17" x14ac:dyDescent="0.25">
      <c r="A408" t="s">
        <v>19</v>
      </c>
      <c r="B408">
        <v>290.7</v>
      </c>
      <c r="C408">
        <v>78.400000000000006</v>
      </c>
      <c r="D408">
        <v>3.5999999999999996</v>
      </c>
      <c r="E408">
        <v>129.29999999999998</v>
      </c>
      <c r="F408">
        <v>78.400000000000006</v>
      </c>
      <c r="G408">
        <v>3.5999999999999996</v>
      </c>
      <c r="H408">
        <v>1.2</v>
      </c>
      <c r="I408">
        <v>470.20311383399996</v>
      </c>
      <c r="J408">
        <v>72.470359089447655</v>
      </c>
      <c r="K408">
        <v>1250</v>
      </c>
      <c r="L408">
        <v>0</v>
      </c>
      <c r="N408">
        <v>29</v>
      </c>
      <c r="O408" s="60" t="s">
        <v>835</v>
      </c>
      <c r="P408" t="s">
        <v>796</v>
      </c>
      <c r="Q408" t="s">
        <v>906</v>
      </c>
    </row>
    <row r="409" spans="1:17" x14ac:dyDescent="0.25">
      <c r="A409" t="s">
        <v>19</v>
      </c>
      <c r="B409">
        <v>129.29999999999998</v>
      </c>
      <c r="C409">
        <v>78.400000000000006</v>
      </c>
      <c r="D409">
        <v>3.5999999999999996</v>
      </c>
      <c r="E409">
        <v>129.29999999999998</v>
      </c>
      <c r="F409">
        <v>77.050000000000011</v>
      </c>
      <c r="G409">
        <v>3.5999999999999996</v>
      </c>
      <c r="H409">
        <v>1.2</v>
      </c>
      <c r="I409">
        <v>470.20311383399996</v>
      </c>
      <c r="J409">
        <v>0.60616471357344437</v>
      </c>
      <c r="K409">
        <v>1000</v>
      </c>
      <c r="L409">
        <v>0</v>
      </c>
      <c r="N409">
        <v>29</v>
      </c>
      <c r="O409" s="60" t="s">
        <v>836</v>
      </c>
      <c r="P409" t="s">
        <v>797</v>
      </c>
      <c r="Q409" t="s">
        <v>879</v>
      </c>
    </row>
    <row r="410" spans="1:17" x14ac:dyDescent="0.25">
      <c r="A410" t="s">
        <v>19</v>
      </c>
      <c r="B410">
        <v>129.29999999999998</v>
      </c>
      <c r="C410">
        <v>77.050000000000011</v>
      </c>
      <c r="D410">
        <v>3.5999999999999996</v>
      </c>
      <c r="E410">
        <v>290.7</v>
      </c>
      <c r="F410">
        <v>77.050000000000011</v>
      </c>
      <c r="G410">
        <v>3.5999999999999996</v>
      </c>
      <c r="H410">
        <v>1.2</v>
      </c>
      <c r="I410">
        <v>470.20311383399996</v>
      </c>
      <c r="J410">
        <v>72.470359089447655</v>
      </c>
      <c r="K410">
        <v>1250</v>
      </c>
      <c r="L410">
        <v>0</v>
      </c>
      <c r="N410">
        <v>29</v>
      </c>
      <c r="O410" s="60" t="s">
        <v>837</v>
      </c>
      <c r="P410" t="s">
        <v>798</v>
      </c>
      <c r="Q410" t="s">
        <v>907</v>
      </c>
    </row>
    <row r="411" spans="1:17" x14ac:dyDescent="0.25">
      <c r="A411" t="s">
        <v>19</v>
      </c>
      <c r="B411">
        <v>290.7</v>
      </c>
      <c r="C411">
        <v>77.050000000000011</v>
      </c>
      <c r="D411">
        <v>3.5999999999999996</v>
      </c>
      <c r="E411">
        <v>290.7</v>
      </c>
      <c r="F411">
        <v>75.700000000000017</v>
      </c>
      <c r="G411">
        <v>3.5999999999999996</v>
      </c>
      <c r="H411">
        <v>1.2</v>
      </c>
      <c r="I411">
        <v>470.20311383399996</v>
      </c>
      <c r="J411">
        <v>0.60616471357344437</v>
      </c>
      <c r="K411">
        <v>1000</v>
      </c>
      <c r="L411">
        <v>0</v>
      </c>
      <c r="N411">
        <v>29</v>
      </c>
      <c r="O411" s="60" t="s">
        <v>838</v>
      </c>
      <c r="P411" t="s">
        <v>799</v>
      </c>
      <c r="Q411" t="s">
        <v>888</v>
      </c>
    </row>
    <row r="412" spans="1:17" x14ac:dyDescent="0.25">
      <c r="A412" t="s">
        <v>39</v>
      </c>
      <c r="B412">
        <v>0</v>
      </c>
      <c r="C412">
        <v>0</v>
      </c>
      <c r="N412">
        <v>30</v>
      </c>
      <c r="O412" s="60" t="s">
        <v>839</v>
      </c>
      <c r="P412" t="s">
        <v>1399</v>
      </c>
      <c r="Q412" t="s">
        <v>897</v>
      </c>
    </row>
    <row r="413" spans="1:17" x14ac:dyDescent="0.25">
      <c r="A413" t="s">
        <v>898</v>
      </c>
      <c r="B413">
        <v>0.9</v>
      </c>
      <c r="C413">
        <v>3000</v>
      </c>
      <c r="N413">
        <v>30</v>
      </c>
      <c r="O413" s="60" t="s">
        <v>839</v>
      </c>
      <c r="P413" t="s">
        <v>1399</v>
      </c>
      <c r="Q413" t="s">
        <v>902</v>
      </c>
    </row>
    <row r="414" spans="1:17" x14ac:dyDescent="0.25">
      <c r="A414" t="s">
        <v>23</v>
      </c>
      <c r="B414">
        <v>290.7</v>
      </c>
      <c r="C414">
        <v>75.700000000000017</v>
      </c>
      <c r="D414">
        <v>3.5999999999999996</v>
      </c>
      <c r="E414">
        <v>290.7</v>
      </c>
      <c r="F414">
        <v>100</v>
      </c>
      <c r="G414">
        <v>4.5</v>
      </c>
      <c r="H414">
        <v>0</v>
      </c>
      <c r="I414">
        <v>0</v>
      </c>
      <c r="K414">
        <v>3000</v>
      </c>
      <c r="N414">
        <v>0</v>
      </c>
      <c r="O414" s="60">
        <v>0</v>
      </c>
      <c r="P414" t="s">
        <v>659</v>
      </c>
      <c r="Q414" t="s">
        <v>1400</v>
      </c>
    </row>
    <row r="415" spans="1:17" x14ac:dyDescent="0.25">
      <c r="A415" t="s">
        <v>19</v>
      </c>
      <c r="B415">
        <v>290.7</v>
      </c>
      <c r="C415">
        <v>100</v>
      </c>
      <c r="D415">
        <v>4.5</v>
      </c>
      <c r="E415">
        <v>129.29999999999998</v>
      </c>
      <c r="F415">
        <v>100</v>
      </c>
      <c r="G415">
        <v>4.5</v>
      </c>
      <c r="H415">
        <v>1.2</v>
      </c>
      <c r="I415">
        <v>470.20311383399996</v>
      </c>
      <c r="J415">
        <v>72.470359089447655</v>
      </c>
      <c r="K415">
        <v>1250</v>
      </c>
      <c r="L415">
        <v>0</v>
      </c>
      <c r="N415">
        <v>31</v>
      </c>
      <c r="O415" s="60" t="s">
        <v>840</v>
      </c>
      <c r="P415" t="s">
        <v>789</v>
      </c>
      <c r="Q415" t="s">
        <v>906</v>
      </c>
    </row>
    <row r="416" spans="1:17" x14ac:dyDescent="0.25">
      <c r="A416" t="s">
        <v>19</v>
      </c>
      <c r="B416">
        <v>129.29999999999998</v>
      </c>
      <c r="C416">
        <v>100</v>
      </c>
      <c r="D416">
        <v>4.5</v>
      </c>
      <c r="E416">
        <v>129.29999999999998</v>
      </c>
      <c r="F416">
        <v>98.65</v>
      </c>
      <c r="G416">
        <v>4.5</v>
      </c>
      <c r="H416">
        <v>1.2</v>
      </c>
      <c r="I416">
        <v>470.20311383399996</v>
      </c>
      <c r="J416">
        <v>0.60616471357344437</v>
      </c>
      <c r="K416">
        <v>1000</v>
      </c>
      <c r="L416">
        <v>0</v>
      </c>
      <c r="N416">
        <v>32</v>
      </c>
      <c r="O416" s="60" t="s">
        <v>841</v>
      </c>
      <c r="P416" t="s">
        <v>790</v>
      </c>
      <c r="Q416" t="s">
        <v>801</v>
      </c>
    </row>
    <row r="417" spans="1:17" x14ac:dyDescent="0.25">
      <c r="A417" t="s">
        <v>19</v>
      </c>
      <c r="B417">
        <v>129.29999999999998</v>
      </c>
      <c r="C417">
        <v>98.65</v>
      </c>
      <c r="D417">
        <v>4.5</v>
      </c>
      <c r="E417">
        <v>290.7</v>
      </c>
      <c r="F417">
        <v>98.65</v>
      </c>
      <c r="G417">
        <v>4.5</v>
      </c>
      <c r="H417">
        <v>1.2</v>
      </c>
      <c r="I417">
        <v>470.20311383399996</v>
      </c>
      <c r="J417">
        <v>72.470359089447655</v>
      </c>
      <c r="K417">
        <v>1250</v>
      </c>
      <c r="L417">
        <v>0</v>
      </c>
      <c r="N417">
        <v>33</v>
      </c>
      <c r="O417" s="60" t="s">
        <v>1401</v>
      </c>
      <c r="P417" t="s">
        <v>791</v>
      </c>
      <c r="Q417" t="s">
        <v>907</v>
      </c>
    </row>
    <row r="418" spans="1:17" x14ac:dyDescent="0.25">
      <c r="A418" t="s">
        <v>19</v>
      </c>
      <c r="B418">
        <v>290.7</v>
      </c>
      <c r="C418">
        <v>98.65</v>
      </c>
      <c r="D418">
        <v>4.5</v>
      </c>
      <c r="E418">
        <v>290.7</v>
      </c>
      <c r="F418">
        <v>97.300000000000011</v>
      </c>
      <c r="G418">
        <v>4.5</v>
      </c>
      <c r="H418">
        <v>1.2</v>
      </c>
      <c r="I418">
        <v>470.20311383399996</v>
      </c>
      <c r="J418">
        <v>0.60616471357344437</v>
      </c>
      <c r="K418">
        <v>1000</v>
      </c>
      <c r="L418">
        <v>0</v>
      </c>
      <c r="N418">
        <v>34</v>
      </c>
      <c r="O418" s="60" t="s">
        <v>854</v>
      </c>
      <c r="P418" t="s">
        <v>793</v>
      </c>
      <c r="Q418" t="s">
        <v>880</v>
      </c>
    </row>
    <row r="419" spans="1:17" x14ac:dyDescent="0.25">
      <c r="A419" t="s">
        <v>19</v>
      </c>
      <c r="B419">
        <v>290.7</v>
      </c>
      <c r="C419">
        <v>97.3</v>
      </c>
      <c r="D419">
        <v>4.5</v>
      </c>
      <c r="E419">
        <v>129.29999999999998</v>
      </c>
      <c r="F419">
        <v>97.3</v>
      </c>
      <c r="G419">
        <v>4.5</v>
      </c>
      <c r="H419">
        <v>1.2</v>
      </c>
      <c r="I419">
        <v>470.20311383399996</v>
      </c>
      <c r="J419">
        <v>72.470359089447655</v>
      </c>
      <c r="K419">
        <v>1250</v>
      </c>
      <c r="L419">
        <v>0</v>
      </c>
      <c r="N419">
        <v>35</v>
      </c>
      <c r="O419" s="60" t="s">
        <v>1402</v>
      </c>
      <c r="P419" t="s">
        <v>1048</v>
      </c>
      <c r="Q419" t="s">
        <v>906</v>
      </c>
    </row>
    <row r="420" spans="1:17" x14ac:dyDescent="0.25">
      <c r="A420" t="s">
        <v>19</v>
      </c>
      <c r="B420">
        <v>129.29999999999998</v>
      </c>
      <c r="C420">
        <v>97.3</v>
      </c>
      <c r="D420">
        <v>4.5</v>
      </c>
      <c r="E420">
        <v>129.29999999999998</v>
      </c>
      <c r="F420">
        <v>95.95</v>
      </c>
      <c r="G420">
        <v>4.5</v>
      </c>
      <c r="H420">
        <v>1.2</v>
      </c>
      <c r="I420">
        <v>470.20311383399996</v>
      </c>
      <c r="J420">
        <v>0.60616471357344437</v>
      </c>
      <c r="K420">
        <v>1000</v>
      </c>
      <c r="L420">
        <v>0</v>
      </c>
      <c r="N420">
        <v>35</v>
      </c>
      <c r="O420" s="60" t="s">
        <v>1403</v>
      </c>
      <c r="P420" t="s">
        <v>1049</v>
      </c>
      <c r="Q420" t="s">
        <v>870</v>
      </c>
    </row>
    <row r="421" spans="1:17" x14ac:dyDescent="0.25">
      <c r="A421" t="s">
        <v>19</v>
      </c>
      <c r="B421">
        <v>129.29999999999998</v>
      </c>
      <c r="C421">
        <v>95.95</v>
      </c>
      <c r="D421">
        <v>4.5</v>
      </c>
      <c r="E421">
        <v>290.7</v>
      </c>
      <c r="F421">
        <v>95.95</v>
      </c>
      <c r="G421">
        <v>4.5</v>
      </c>
      <c r="H421">
        <v>1.2</v>
      </c>
      <c r="I421">
        <v>470.20311383399996</v>
      </c>
      <c r="J421">
        <v>72.470359089447655</v>
      </c>
      <c r="K421">
        <v>1250</v>
      </c>
      <c r="L421">
        <v>0</v>
      </c>
      <c r="N421">
        <v>35</v>
      </c>
      <c r="O421" s="60" t="s">
        <v>1404</v>
      </c>
      <c r="P421" t="s">
        <v>1050</v>
      </c>
      <c r="Q421" t="s">
        <v>907</v>
      </c>
    </row>
    <row r="422" spans="1:17" x14ac:dyDescent="0.25">
      <c r="A422" t="s">
        <v>19</v>
      </c>
      <c r="B422">
        <v>290.7</v>
      </c>
      <c r="C422">
        <v>95.95</v>
      </c>
      <c r="D422">
        <v>4.5</v>
      </c>
      <c r="E422">
        <v>290.7</v>
      </c>
      <c r="F422">
        <v>94.600000000000009</v>
      </c>
      <c r="G422">
        <v>4.5</v>
      </c>
      <c r="H422">
        <v>1.2</v>
      </c>
      <c r="I422">
        <v>470.20311383399996</v>
      </c>
      <c r="J422">
        <v>0.60616471357344437</v>
      </c>
      <c r="K422">
        <v>1000</v>
      </c>
      <c r="L422">
        <v>0</v>
      </c>
      <c r="N422">
        <v>35</v>
      </c>
      <c r="O422" s="60" t="s">
        <v>1405</v>
      </c>
      <c r="P422" t="s">
        <v>1051</v>
      </c>
      <c r="Q422" t="s">
        <v>881</v>
      </c>
    </row>
    <row r="423" spans="1:17" x14ac:dyDescent="0.25">
      <c r="A423" t="s">
        <v>19</v>
      </c>
      <c r="B423">
        <v>290.7</v>
      </c>
      <c r="C423">
        <v>94.6</v>
      </c>
      <c r="D423">
        <v>4.5</v>
      </c>
      <c r="E423">
        <v>129.29999999999998</v>
      </c>
      <c r="F423">
        <v>94.6</v>
      </c>
      <c r="G423">
        <v>4.5</v>
      </c>
      <c r="H423">
        <v>1.2</v>
      </c>
      <c r="I423">
        <v>470.20311383399996</v>
      </c>
      <c r="J423">
        <v>72.470359089447655</v>
      </c>
      <c r="K423">
        <v>1250</v>
      </c>
      <c r="L423">
        <v>0</v>
      </c>
      <c r="N423">
        <v>35</v>
      </c>
      <c r="O423" s="60" t="s">
        <v>1406</v>
      </c>
      <c r="P423" t="s">
        <v>1048</v>
      </c>
      <c r="Q423" t="s">
        <v>906</v>
      </c>
    </row>
    <row r="424" spans="1:17" x14ac:dyDescent="0.25">
      <c r="A424" t="s">
        <v>19</v>
      </c>
      <c r="B424">
        <v>129.29999999999998</v>
      </c>
      <c r="C424">
        <v>94.6</v>
      </c>
      <c r="D424">
        <v>4.5</v>
      </c>
      <c r="E424">
        <v>129.29999999999998</v>
      </c>
      <c r="F424">
        <v>93.25</v>
      </c>
      <c r="G424">
        <v>4.5</v>
      </c>
      <c r="H424">
        <v>1.2</v>
      </c>
      <c r="I424">
        <v>470.20311383399996</v>
      </c>
      <c r="J424">
        <v>0.60616471357344437</v>
      </c>
      <c r="K424">
        <v>1000</v>
      </c>
      <c r="L424">
        <v>0</v>
      </c>
      <c r="N424">
        <v>35</v>
      </c>
      <c r="O424" s="60" t="s">
        <v>1407</v>
      </c>
      <c r="P424" t="s">
        <v>1049</v>
      </c>
      <c r="Q424" t="s">
        <v>873</v>
      </c>
    </row>
    <row r="425" spans="1:17" x14ac:dyDescent="0.25">
      <c r="A425" t="s">
        <v>19</v>
      </c>
      <c r="B425">
        <v>129.29999999999998</v>
      </c>
      <c r="C425">
        <v>93.25</v>
      </c>
      <c r="D425">
        <v>4.5</v>
      </c>
      <c r="E425">
        <v>290.7</v>
      </c>
      <c r="F425">
        <v>93.25</v>
      </c>
      <c r="G425">
        <v>4.5</v>
      </c>
      <c r="H425">
        <v>1.2</v>
      </c>
      <c r="I425">
        <v>470.20311383399996</v>
      </c>
      <c r="J425">
        <v>72.470359089447655</v>
      </c>
      <c r="K425">
        <v>1250</v>
      </c>
      <c r="L425">
        <v>0</v>
      </c>
      <c r="N425">
        <v>35</v>
      </c>
      <c r="O425" s="60" t="s">
        <v>1408</v>
      </c>
      <c r="P425" t="s">
        <v>1050</v>
      </c>
      <c r="Q425" t="s">
        <v>907</v>
      </c>
    </row>
    <row r="426" spans="1:17" x14ac:dyDescent="0.25">
      <c r="A426" t="s">
        <v>19</v>
      </c>
      <c r="B426">
        <v>290.7</v>
      </c>
      <c r="C426">
        <v>93.25</v>
      </c>
      <c r="D426">
        <v>4.5</v>
      </c>
      <c r="E426">
        <v>290.7</v>
      </c>
      <c r="F426">
        <v>91.9</v>
      </c>
      <c r="G426">
        <v>4.5</v>
      </c>
      <c r="H426">
        <v>1.2</v>
      </c>
      <c r="I426">
        <v>470.20311383399996</v>
      </c>
      <c r="J426">
        <v>0.60616471357344437</v>
      </c>
      <c r="K426">
        <v>1000</v>
      </c>
      <c r="L426">
        <v>0</v>
      </c>
      <c r="N426">
        <v>35</v>
      </c>
      <c r="O426" s="60" t="s">
        <v>1409</v>
      </c>
      <c r="P426" t="s">
        <v>1051</v>
      </c>
      <c r="Q426" t="s">
        <v>882</v>
      </c>
    </row>
    <row r="427" spans="1:17" x14ac:dyDescent="0.25">
      <c r="A427" t="s">
        <v>19</v>
      </c>
      <c r="B427">
        <v>290.7</v>
      </c>
      <c r="C427">
        <v>91.9</v>
      </c>
      <c r="D427">
        <v>4.5</v>
      </c>
      <c r="E427">
        <v>129.29999999999998</v>
      </c>
      <c r="F427">
        <v>91.9</v>
      </c>
      <c r="G427">
        <v>4.5</v>
      </c>
      <c r="H427">
        <v>1.2</v>
      </c>
      <c r="I427">
        <v>470.20311383399996</v>
      </c>
      <c r="J427">
        <v>72.470359089447655</v>
      </c>
      <c r="K427">
        <v>1250</v>
      </c>
      <c r="L427">
        <v>0</v>
      </c>
      <c r="N427">
        <v>35</v>
      </c>
      <c r="O427" s="60" t="s">
        <v>1410</v>
      </c>
      <c r="P427" t="s">
        <v>1048</v>
      </c>
      <c r="Q427" t="s">
        <v>906</v>
      </c>
    </row>
    <row r="428" spans="1:17" x14ac:dyDescent="0.25">
      <c r="A428" t="s">
        <v>19</v>
      </c>
      <c r="B428">
        <v>129.29999999999998</v>
      </c>
      <c r="C428">
        <v>91.9</v>
      </c>
      <c r="D428">
        <v>4.5</v>
      </c>
      <c r="E428">
        <v>129.29999999999998</v>
      </c>
      <c r="F428">
        <v>90.550000000000011</v>
      </c>
      <c r="G428">
        <v>4.5</v>
      </c>
      <c r="H428">
        <v>1.2</v>
      </c>
      <c r="I428">
        <v>470.20311383399996</v>
      </c>
      <c r="J428">
        <v>0.60616471357344437</v>
      </c>
      <c r="K428">
        <v>1000</v>
      </c>
      <c r="L428">
        <v>0</v>
      </c>
      <c r="N428">
        <v>35</v>
      </c>
      <c r="O428" s="60" t="s">
        <v>1411</v>
      </c>
      <c r="P428" t="s">
        <v>1049</v>
      </c>
      <c r="Q428" t="s">
        <v>874</v>
      </c>
    </row>
    <row r="429" spans="1:17" x14ac:dyDescent="0.25">
      <c r="A429" t="s">
        <v>19</v>
      </c>
      <c r="B429">
        <v>129.29999999999998</v>
      </c>
      <c r="C429">
        <v>90.550000000000011</v>
      </c>
      <c r="D429">
        <v>4.5</v>
      </c>
      <c r="E429">
        <v>290.7</v>
      </c>
      <c r="F429">
        <v>90.550000000000011</v>
      </c>
      <c r="G429">
        <v>4.5</v>
      </c>
      <c r="H429">
        <v>1.2</v>
      </c>
      <c r="I429">
        <v>470.20311383399996</v>
      </c>
      <c r="J429">
        <v>72.470359089447655</v>
      </c>
      <c r="K429">
        <v>1250</v>
      </c>
      <c r="L429">
        <v>0</v>
      </c>
      <c r="N429">
        <v>35</v>
      </c>
      <c r="O429" s="60" t="s">
        <v>1412</v>
      </c>
      <c r="P429" t="s">
        <v>1050</v>
      </c>
      <c r="Q429" t="s">
        <v>907</v>
      </c>
    </row>
    <row r="430" spans="1:17" x14ac:dyDescent="0.25">
      <c r="A430" t="s">
        <v>19</v>
      </c>
      <c r="B430">
        <v>290.7</v>
      </c>
      <c r="C430">
        <v>90.550000000000011</v>
      </c>
      <c r="D430">
        <v>4.5</v>
      </c>
      <c r="E430">
        <v>290.7</v>
      </c>
      <c r="F430">
        <v>89.200000000000017</v>
      </c>
      <c r="G430">
        <v>4.5</v>
      </c>
      <c r="H430">
        <v>1.2</v>
      </c>
      <c r="I430">
        <v>470.20311383399996</v>
      </c>
      <c r="J430">
        <v>0.60616471357344437</v>
      </c>
      <c r="K430">
        <v>1000</v>
      </c>
      <c r="L430">
        <v>0</v>
      </c>
      <c r="N430">
        <v>35</v>
      </c>
      <c r="O430" s="60" t="s">
        <v>1413</v>
      </c>
      <c r="P430" t="s">
        <v>1051</v>
      </c>
      <c r="Q430" t="s">
        <v>883</v>
      </c>
    </row>
    <row r="431" spans="1:17" x14ac:dyDescent="0.25">
      <c r="A431" t="s">
        <v>19</v>
      </c>
      <c r="B431">
        <v>290.7</v>
      </c>
      <c r="C431">
        <v>89.2</v>
      </c>
      <c r="D431">
        <v>4.5</v>
      </c>
      <c r="E431">
        <v>129.29999999999998</v>
      </c>
      <c r="F431">
        <v>89.2</v>
      </c>
      <c r="G431">
        <v>4.5</v>
      </c>
      <c r="H431">
        <v>1.2</v>
      </c>
      <c r="I431">
        <v>470.20311383399996</v>
      </c>
      <c r="J431">
        <v>72.470359089447655</v>
      </c>
      <c r="K431">
        <v>1250</v>
      </c>
      <c r="L431">
        <v>0</v>
      </c>
      <c r="N431">
        <v>35</v>
      </c>
      <c r="O431" s="60" t="s">
        <v>1414</v>
      </c>
      <c r="P431" t="s">
        <v>1048</v>
      </c>
      <c r="Q431" t="s">
        <v>906</v>
      </c>
    </row>
    <row r="432" spans="1:17" x14ac:dyDescent="0.25">
      <c r="A432" t="s">
        <v>19</v>
      </c>
      <c r="B432">
        <v>129.29999999999998</v>
      </c>
      <c r="C432">
        <v>89.2</v>
      </c>
      <c r="D432">
        <v>4.5</v>
      </c>
      <c r="E432">
        <v>129.29999999999998</v>
      </c>
      <c r="F432">
        <v>87.850000000000009</v>
      </c>
      <c r="G432">
        <v>4.5</v>
      </c>
      <c r="H432">
        <v>1.2</v>
      </c>
      <c r="I432">
        <v>470.20311383399996</v>
      </c>
      <c r="J432">
        <v>0.60616471357344437</v>
      </c>
      <c r="K432">
        <v>1000</v>
      </c>
      <c r="L432">
        <v>0</v>
      </c>
      <c r="N432">
        <v>35</v>
      </c>
      <c r="O432" s="60" t="s">
        <v>1415</v>
      </c>
      <c r="P432" t="s">
        <v>1049</v>
      </c>
      <c r="Q432" t="s">
        <v>875</v>
      </c>
    </row>
    <row r="433" spans="1:17" x14ac:dyDescent="0.25">
      <c r="A433" t="s">
        <v>19</v>
      </c>
      <c r="B433">
        <v>129.29999999999998</v>
      </c>
      <c r="C433">
        <v>87.850000000000009</v>
      </c>
      <c r="D433">
        <v>4.5</v>
      </c>
      <c r="E433">
        <v>290.7</v>
      </c>
      <c r="F433">
        <v>87.850000000000009</v>
      </c>
      <c r="G433">
        <v>4.5</v>
      </c>
      <c r="H433">
        <v>1.2</v>
      </c>
      <c r="I433">
        <v>470.20311383399996</v>
      </c>
      <c r="J433">
        <v>72.470359089447655</v>
      </c>
      <c r="K433">
        <v>1250</v>
      </c>
      <c r="L433">
        <v>0</v>
      </c>
      <c r="N433">
        <v>35</v>
      </c>
      <c r="O433" s="60" t="s">
        <v>1416</v>
      </c>
      <c r="P433" t="s">
        <v>1050</v>
      </c>
      <c r="Q433" t="s">
        <v>907</v>
      </c>
    </row>
    <row r="434" spans="1:17" x14ac:dyDescent="0.25">
      <c r="A434" t="s">
        <v>19</v>
      </c>
      <c r="B434">
        <v>290.7</v>
      </c>
      <c r="C434">
        <v>87.850000000000009</v>
      </c>
      <c r="D434">
        <v>4.5</v>
      </c>
      <c r="E434">
        <v>290.7</v>
      </c>
      <c r="F434">
        <v>86.500000000000014</v>
      </c>
      <c r="G434">
        <v>4.5</v>
      </c>
      <c r="H434">
        <v>1.2</v>
      </c>
      <c r="I434">
        <v>470.20311383399996</v>
      </c>
      <c r="J434">
        <v>0.60616471357344437</v>
      </c>
      <c r="K434">
        <v>1000</v>
      </c>
      <c r="L434">
        <v>0</v>
      </c>
      <c r="N434">
        <v>35</v>
      </c>
      <c r="O434" s="60" t="s">
        <v>1417</v>
      </c>
      <c r="P434" t="s">
        <v>1051</v>
      </c>
      <c r="Q434" t="s">
        <v>884</v>
      </c>
    </row>
    <row r="435" spans="1:17" x14ac:dyDescent="0.25">
      <c r="A435" t="s">
        <v>19</v>
      </c>
      <c r="B435">
        <v>290.7</v>
      </c>
      <c r="C435">
        <v>86.5</v>
      </c>
      <c r="D435">
        <v>4.5</v>
      </c>
      <c r="E435">
        <v>129.29999999999998</v>
      </c>
      <c r="F435">
        <v>86.5</v>
      </c>
      <c r="G435">
        <v>4.5</v>
      </c>
      <c r="H435">
        <v>1.2</v>
      </c>
      <c r="I435">
        <v>470.20311383399996</v>
      </c>
      <c r="J435">
        <v>72.470359089447655</v>
      </c>
      <c r="K435">
        <v>1250</v>
      </c>
      <c r="L435">
        <v>0</v>
      </c>
      <c r="N435">
        <v>35</v>
      </c>
      <c r="O435" s="60" t="s">
        <v>1418</v>
      </c>
      <c r="P435" t="s">
        <v>1048</v>
      </c>
      <c r="Q435" t="s">
        <v>906</v>
      </c>
    </row>
    <row r="436" spans="1:17" x14ac:dyDescent="0.25">
      <c r="A436" t="s">
        <v>19</v>
      </c>
      <c r="B436">
        <v>129.29999999999998</v>
      </c>
      <c r="C436">
        <v>86.5</v>
      </c>
      <c r="D436">
        <v>4.5</v>
      </c>
      <c r="E436">
        <v>129.29999999999998</v>
      </c>
      <c r="F436">
        <v>85.15</v>
      </c>
      <c r="G436">
        <v>4.5</v>
      </c>
      <c r="H436">
        <v>1.2</v>
      </c>
      <c r="I436">
        <v>470.20311383399996</v>
      </c>
      <c r="J436">
        <v>0.60616471357344437</v>
      </c>
      <c r="K436">
        <v>1000</v>
      </c>
      <c r="L436">
        <v>0</v>
      </c>
      <c r="N436">
        <v>35</v>
      </c>
      <c r="O436" s="60" t="s">
        <v>1419</v>
      </c>
      <c r="P436" t="s">
        <v>1049</v>
      </c>
      <c r="Q436" t="s">
        <v>876</v>
      </c>
    </row>
    <row r="437" spans="1:17" x14ac:dyDescent="0.25">
      <c r="A437" t="s">
        <v>19</v>
      </c>
      <c r="B437">
        <v>129.29999999999998</v>
      </c>
      <c r="C437">
        <v>85.15</v>
      </c>
      <c r="D437">
        <v>4.5</v>
      </c>
      <c r="E437">
        <v>290.7</v>
      </c>
      <c r="F437">
        <v>85.15</v>
      </c>
      <c r="G437">
        <v>4.5</v>
      </c>
      <c r="H437">
        <v>1.2</v>
      </c>
      <c r="I437">
        <v>470.20311383399996</v>
      </c>
      <c r="J437">
        <v>72.470359089447655</v>
      </c>
      <c r="K437">
        <v>1250</v>
      </c>
      <c r="L437">
        <v>0</v>
      </c>
      <c r="N437">
        <v>35</v>
      </c>
      <c r="O437" s="60" t="s">
        <v>1420</v>
      </c>
      <c r="P437" t="s">
        <v>1050</v>
      </c>
      <c r="Q437" t="s">
        <v>907</v>
      </c>
    </row>
    <row r="438" spans="1:17" x14ac:dyDescent="0.25">
      <c r="A438" t="s">
        <v>19</v>
      </c>
      <c r="B438">
        <v>290.7</v>
      </c>
      <c r="C438">
        <v>85.15</v>
      </c>
      <c r="D438">
        <v>4.5</v>
      </c>
      <c r="E438">
        <v>290.7</v>
      </c>
      <c r="F438">
        <v>83.800000000000011</v>
      </c>
      <c r="G438">
        <v>4.5</v>
      </c>
      <c r="H438">
        <v>1.2</v>
      </c>
      <c r="I438">
        <v>470.20311383399996</v>
      </c>
      <c r="J438">
        <v>0.60616471357344437</v>
      </c>
      <c r="K438">
        <v>1000</v>
      </c>
      <c r="L438">
        <v>0</v>
      </c>
      <c r="N438">
        <v>35</v>
      </c>
      <c r="O438" s="60" t="s">
        <v>1421</v>
      </c>
      <c r="P438" t="s">
        <v>1051</v>
      </c>
      <c r="Q438" t="s">
        <v>885</v>
      </c>
    </row>
    <row r="439" spans="1:17" x14ac:dyDescent="0.25">
      <c r="A439" t="s">
        <v>19</v>
      </c>
      <c r="B439">
        <v>290.7</v>
      </c>
      <c r="C439">
        <v>83.8</v>
      </c>
      <c r="D439">
        <v>4.5</v>
      </c>
      <c r="E439">
        <v>129.29999999999998</v>
      </c>
      <c r="F439">
        <v>83.8</v>
      </c>
      <c r="G439">
        <v>4.5</v>
      </c>
      <c r="H439">
        <v>1.2</v>
      </c>
      <c r="I439">
        <v>470.20311383399996</v>
      </c>
      <c r="J439">
        <v>72.470359089447655</v>
      </c>
      <c r="K439">
        <v>1250</v>
      </c>
      <c r="L439">
        <v>0</v>
      </c>
      <c r="N439">
        <v>35</v>
      </c>
      <c r="O439" s="60" t="s">
        <v>1422</v>
      </c>
      <c r="P439" t="s">
        <v>1048</v>
      </c>
      <c r="Q439" t="s">
        <v>906</v>
      </c>
    </row>
    <row r="440" spans="1:17" x14ac:dyDescent="0.25">
      <c r="A440" t="s">
        <v>19</v>
      </c>
      <c r="B440">
        <v>129.29999999999998</v>
      </c>
      <c r="C440">
        <v>83.8</v>
      </c>
      <c r="D440">
        <v>4.5</v>
      </c>
      <c r="E440">
        <v>129.29999999999998</v>
      </c>
      <c r="F440">
        <v>82.45</v>
      </c>
      <c r="G440">
        <v>4.5</v>
      </c>
      <c r="H440">
        <v>1.2</v>
      </c>
      <c r="I440">
        <v>470.20311383399996</v>
      </c>
      <c r="J440">
        <v>0.60616471357344437</v>
      </c>
      <c r="K440">
        <v>1000</v>
      </c>
      <c r="L440">
        <v>0</v>
      </c>
      <c r="N440">
        <v>35</v>
      </c>
      <c r="O440" s="60" t="s">
        <v>1423</v>
      </c>
      <c r="P440" t="s">
        <v>1049</v>
      </c>
      <c r="Q440" t="s">
        <v>877</v>
      </c>
    </row>
    <row r="441" spans="1:17" x14ac:dyDescent="0.25">
      <c r="A441" t="s">
        <v>19</v>
      </c>
      <c r="B441">
        <v>129.29999999999998</v>
      </c>
      <c r="C441">
        <v>82.45</v>
      </c>
      <c r="D441">
        <v>4.5</v>
      </c>
      <c r="E441">
        <v>290.7</v>
      </c>
      <c r="F441">
        <v>82.45</v>
      </c>
      <c r="G441">
        <v>4.5</v>
      </c>
      <c r="H441">
        <v>1.2</v>
      </c>
      <c r="I441">
        <v>470.20311383399996</v>
      </c>
      <c r="J441">
        <v>72.470359089447655</v>
      </c>
      <c r="K441">
        <v>1250</v>
      </c>
      <c r="L441">
        <v>0</v>
      </c>
      <c r="N441">
        <v>35</v>
      </c>
      <c r="O441" s="60" t="s">
        <v>1424</v>
      </c>
      <c r="P441" t="s">
        <v>1050</v>
      </c>
      <c r="Q441" t="s">
        <v>907</v>
      </c>
    </row>
    <row r="442" spans="1:17" x14ac:dyDescent="0.25">
      <c r="A442" t="s">
        <v>19</v>
      </c>
      <c r="B442">
        <v>290.7</v>
      </c>
      <c r="C442">
        <v>82.45</v>
      </c>
      <c r="D442">
        <v>4.5</v>
      </c>
      <c r="E442">
        <v>290.7</v>
      </c>
      <c r="F442">
        <v>81.100000000000009</v>
      </c>
      <c r="G442">
        <v>4.5</v>
      </c>
      <c r="H442">
        <v>1.2</v>
      </c>
      <c r="I442">
        <v>470.20311383399996</v>
      </c>
      <c r="J442">
        <v>0.60616471357344437</v>
      </c>
      <c r="K442">
        <v>1000</v>
      </c>
      <c r="L442">
        <v>0</v>
      </c>
      <c r="N442">
        <v>35</v>
      </c>
      <c r="O442" s="60" t="s">
        <v>1425</v>
      </c>
      <c r="P442" t="s">
        <v>1051</v>
      </c>
      <c r="Q442" t="s">
        <v>886</v>
      </c>
    </row>
    <row r="443" spans="1:17" x14ac:dyDescent="0.25">
      <c r="A443" t="s">
        <v>19</v>
      </c>
      <c r="B443">
        <v>290.7</v>
      </c>
      <c r="C443">
        <v>81.099999999999994</v>
      </c>
      <c r="D443">
        <v>4.5</v>
      </c>
      <c r="E443">
        <v>129.29999999999998</v>
      </c>
      <c r="F443">
        <v>81.099999999999994</v>
      </c>
      <c r="G443">
        <v>4.5</v>
      </c>
      <c r="H443">
        <v>1.2</v>
      </c>
      <c r="I443">
        <v>470.20311383399996</v>
      </c>
      <c r="J443">
        <v>72.470359089447655</v>
      </c>
      <c r="K443">
        <v>1250</v>
      </c>
      <c r="L443">
        <v>0</v>
      </c>
      <c r="N443">
        <v>35</v>
      </c>
      <c r="O443" s="60" t="s">
        <v>1426</v>
      </c>
      <c r="P443" t="s">
        <v>1048</v>
      </c>
      <c r="Q443" t="s">
        <v>906</v>
      </c>
    </row>
    <row r="444" spans="1:17" x14ac:dyDescent="0.25">
      <c r="A444" t="s">
        <v>19</v>
      </c>
      <c r="B444">
        <v>129.29999999999998</v>
      </c>
      <c r="C444">
        <v>81.099999999999994</v>
      </c>
      <c r="D444">
        <v>4.5</v>
      </c>
      <c r="E444">
        <v>129.29999999999998</v>
      </c>
      <c r="F444">
        <v>79.75</v>
      </c>
      <c r="G444">
        <v>4.5</v>
      </c>
      <c r="H444">
        <v>1.2</v>
      </c>
      <c r="I444">
        <v>470.20311383399996</v>
      </c>
      <c r="J444">
        <v>0.60616471357344437</v>
      </c>
      <c r="K444">
        <v>1000</v>
      </c>
      <c r="L444">
        <v>0</v>
      </c>
      <c r="N444">
        <v>35</v>
      </c>
      <c r="O444" s="60" t="s">
        <v>1427</v>
      </c>
      <c r="P444" t="s">
        <v>1049</v>
      </c>
      <c r="Q444" t="s">
        <v>878</v>
      </c>
    </row>
    <row r="445" spans="1:17" x14ac:dyDescent="0.25">
      <c r="A445" t="s">
        <v>19</v>
      </c>
      <c r="B445">
        <v>129.29999999999998</v>
      </c>
      <c r="C445">
        <v>79.75</v>
      </c>
      <c r="D445">
        <v>4.5</v>
      </c>
      <c r="E445">
        <v>290.7</v>
      </c>
      <c r="F445">
        <v>79.75</v>
      </c>
      <c r="G445">
        <v>4.5</v>
      </c>
      <c r="H445">
        <v>1.2</v>
      </c>
      <c r="I445">
        <v>470.20311383399996</v>
      </c>
      <c r="J445">
        <v>72.470359089447655</v>
      </c>
      <c r="K445">
        <v>1250</v>
      </c>
      <c r="L445">
        <v>0</v>
      </c>
      <c r="N445">
        <v>35</v>
      </c>
      <c r="O445" s="60" t="s">
        <v>1428</v>
      </c>
      <c r="P445" t="s">
        <v>1050</v>
      </c>
      <c r="Q445" t="s">
        <v>907</v>
      </c>
    </row>
    <row r="446" spans="1:17" x14ac:dyDescent="0.25">
      <c r="A446" t="s">
        <v>19</v>
      </c>
      <c r="B446">
        <v>290.7</v>
      </c>
      <c r="C446">
        <v>79.75</v>
      </c>
      <c r="D446">
        <v>4.5</v>
      </c>
      <c r="E446">
        <v>290.7</v>
      </c>
      <c r="F446">
        <v>78.400000000000006</v>
      </c>
      <c r="G446">
        <v>4.5</v>
      </c>
      <c r="H446">
        <v>1.2</v>
      </c>
      <c r="I446">
        <v>470.20311383399996</v>
      </c>
      <c r="J446">
        <v>0.60616471357344437</v>
      </c>
      <c r="K446">
        <v>1000</v>
      </c>
      <c r="L446">
        <v>0</v>
      </c>
      <c r="N446">
        <v>35</v>
      </c>
      <c r="O446" s="60" t="s">
        <v>1429</v>
      </c>
      <c r="P446" t="s">
        <v>1051</v>
      </c>
      <c r="Q446" t="s">
        <v>887</v>
      </c>
    </row>
    <row r="447" spans="1:17" x14ac:dyDescent="0.25">
      <c r="A447" t="s">
        <v>19</v>
      </c>
      <c r="B447">
        <v>290.7</v>
      </c>
      <c r="C447">
        <v>78.400000000000006</v>
      </c>
      <c r="D447">
        <v>4.5</v>
      </c>
      <c r="E447">
        <v>129.29999999999998</v>
      </c>
      <c r="F447">
        <v>78.400000000000006</v>
      </c>
      <c r="G447">
        <v>4.5</v>
      </c>
      <c r="H447">
        <v>1.2</v>
      </c>
      <c r="I447">
        <v>470.20311383399996</v>
      </c>
      <c r="J447">
        <v>72.470359089447655</v>
      </c>
      <c r="K447">
        <v>1250</v>
      </c>
      <c r="L447">
        <v>0</v>
      </c>
      <c r="N447">
        <v>35</v>
      </c>
      <c r="O447" s="60" t="s">
        <v>1430</v>
      </c>
      <c r="P447" t="s">
        <v>1048</v>
      </c>
      <c r="Q447" t="s">
        <v>906</v>
      </c>
    </row>
    <row r="448" spans="1:17" x14ac:dyDescent="0.25">
      <c r="A448" t="s">
        <v>19</v>
      </c>
      <c r="B448">
        <v>129.29999999999998</v>
      </c>
      <c r="C448">
        <v>78.400000000000006</v>
      </c>
      <c r="D448">
        <v>4.5</v>
      </c>
      <c r="E448">
        <v>129.29999999999998</v>
      </c>
      <c r="F448">
        <v>77.050000000000011</v>
      </c>
      <c r="G448">
        <v>4.5</v>
      </c>
      <c r="H448">
        <v>1.2</v>
      </c>
      <c r="I448">
        <v>470.20311383399996</v>
      </c>
      <c r="J448">
        <v>0.60616471357344437</v>
      </c>
      <c r="K448">
        <v>1000</v>
      </c>
      <c r="L448">
        <v>0</v>
      </c>
      <c r="N448">
        <v>35</v>
      </c>
      <c r="O448" s="60" t="s">
        <v>1431</v>
      </c>
      <c r="P448" t="s">
        <v>1049</v>
      </c>
      <c r="Q448" t="s">
        <v>879</v>
      </c>
    </row>
    <row r="449" spans="1:17" x14ac:dyDescent="0.25">
      <c r="A449" t="s">
        <v>19</v>
      </c>
      <c r="B449">
        <v>129.29999999999998</v>
      </c>
      <c r="C449">
        <v>77.050000000000011</v>
      </c>
      <c r="D449">
        <v>4.5</v>
      </c>
      <c r="E449">
        <v>290.7</v>
      </c>
      <c r="F449">
        <v>77.050000000000011</v>
      </c>
      <c r="G449">
        <v>4.5</v>
      </c>
      <c r="H449">
        <v>1.2</v>
      </c>
      <c r="I449">
        <v>470.20311383399996</v>
      </c>
      <c r="J449">
        <v>72.470359089447655</v>
      </c>
      <c r="K449">
        <v>1250</v>
      </c>
      <c r="L449">
        <v>0</v>
      </c>
      <c r="N449">
        <v>35</v>
      </c>
      <c r="O449" s="60" t="s">
        <v>1432</v>
      </c>
      <c r="P449" t="s">
        <v>1050</v>
      </c>
      <c r="Q449" t="s">
        <v>907</v>
      </c>
    </row>
    <row r="450" spans="1:17" x14ac:dyDescent="0.25">
      <c r="A450" t="s">
        <v>19</v>
      </c>
      <c r="B450">
        <v>290.7</v>
      </c>
      <c r="C450">
        <v>77.050000000000011</v>
      </c>
      <c r="D450">
        <v>4.5</v>
      </c>
      <c r="E450">
        <v>290.7</v>
      </c>
      <c r="F450">
        <v>75.700000000000017</v>
      </c>
      <c r="G450">
        <v>4.5</v>
      </c>
      <c r="H450">
        <v>1.2</v>
      </c>
      <c r="I450">
        <v>470.20311383399996</v>
      </c>
      <c r="J450">
        <v>0.60616471357344437</v>
      </c>
      <c r="K450">
        <v>1000</v>
      </c>
      <c r="L450">
        <v>0</v>
      </c>
      <c r="N450">
        <v>35</v>
      </c>
      <c r="O450" s="60" t="s">
        <v>1433</v>
      </c>
      <c r="P450" t="s">
        <v>1051</v>
      </c>
      <c r="Q450" t="s">
        <v>888</v>
      </c>
    </row>
    <row r="451" spans="1:17" x14ac:dyDescent="0.25">
      <c r="A451" t="s">
        <v>23</v>
      </c>
      <c r="B451">
        <v>290.7</v>
      </c>
      <c r="C451">
        <v>75.700000000000017</v>
      </c>
      <c r="D451">
        <v>4.5</v>
      </c>
      <c r="E451">
        <v>290.7</v>
      </c>
      <c r="F451">
        <v>100</v>
      </c>
      <c r="G451">
        <v>4.5</v>
      </c>
      <c r="H451">
        <v>0</v>
      </c>
      <c r="I451">
        <v>0</v>
      </c>
      <c r="K451">
        <v>3000</v>
      </c>
      <c r="N451">
        <v>0</v>
      </c>
      <c r="O451" s="60">
        <v>0</v>
      </c>
      <c r="P451" t="s">
        <v>659</v>
      </c>
      <c r="Q451" t="s">
        <v>1052</v>
      </c>
    </row>
    <row r="452" spans="1:17" x14ac:dyDescent="0.25">
      <c r="A452" t="s">
        <v>19</v>
      </c>
      <c r="B452">
        <v>290.7</v>
      </c>
      <c r="C452">
        <v>100</v>
      </c>
      <c r="D452">
        <v>4.5</v>
      </c>
      <c r="E452">
        <v>129.29999999999998</v>
      </c>
      <c r="F452">
        <v>100</v>
      </c>
      <c r="G452">
        <v>4.5</v>
      </c>
      <c r="H452">
        <v>1.2</v>
      </c>
      <c r="I452">
        <v>470.20311383399996</v>
      </c>
      <c r="J452">
        <v>72.470359089447655</v>
      </c>
      <c r="K452">
        <v>1250</v>
      </c>
      <c r="L452">
        <v>0</v>
      </c>
      <c r="N452">
        <v>36</v>
      </c>
      <c r="O452" s="60" t="s">
        <v>1434</v>
      </c>
      <c r="P452" t="s">
        <v>842</v>
      </c>
      <c r="Q452" t="s">
        <v>906</v>
      </c>
    </row>
    <row r="453" spans="1:17" x14ac:dyDescent="0.25">
      <c r="A453" t="s">
        <v>19</v>
      </c>
      <c r="B453">
        <v>129.29999999999998</v>
      </c>
      <c r="C453">
        <v>100</v>
      </c>
      <c r="D453">
        <v>4.5</v>
      </c>
      <c r="E453">
        <v>129.29999999999998</v>
      </c>
      <c r="F453">
        <v>98.65</v>
      </c>
      <c r="G453">
        <v>4.5</v>
      </c>
      <c r="H453">
        <v>1.2</v>
      </c>
      <c r="I453">
        <v>470.20311383399996</v>
      </c>
      <c r="J453">
        <v>0.60616471357344437</v>
      </c>
      <c r="K453">
        <v>1000</v>
      </c>
      <c r="L453">
        <v>0</v>
      </c>
      <c r="N453">
        <v>36</v>
      </c>
      <c r="O453" s="60" t="s">
        <v>1435</v>
      </c>
      <c r="P453" t="s">
        <v>843</v>
      </c>
      <c r="Q453" t="s">
        <v>801</v>
      </c>
    </row>
    <row r="454" spans="1:17" x14ac:dyDescent="0.25">
      <c r="A454" t="s">
        <v>19</v>
      </c>
      <c r="B454">
        <v>129.29999999999998</v>
      </c>
      <c r="C454">
        <v>98.65</v>
      </c>
      <c r="D454">
        <v>4.5</v>
      </c>
      <c r="E454">
        <v>290.7</v>
      </c>
      <c r="F454">
        <v>98.65</v>
      </c>
      <c r="G454">
        <v>4.5</v>
      </c>
      <c r="H454">
        <v>1.2</v>
      </c>
      <c r="I454">
        <v>470.20311383399996</v>
      </c>
      <c r="J454">
        <v>72.470359089447655</v>
      </c>
      <c r="K454">
        <v>1250</v>
      </c>
      <c r="L454">
        <v>0</v>
      </c>
      <c r="N454">
        <v>36</v>
      </c>
      <c r="O454" s="60" t="s">
        <v>1436</v>
      </c>
      <c r="P454" t="s">
        <v>844</v>
      </c>
      <c r="Q454" t="s">
        <v>907</v>
      </c>
    </row>
    <row r="455" spans="1:17" x14ac:dyDescent="0.25">
      <c r="A455" t="s">
        <v>19</v>
      </c>
      <c r="B455">
        <v>290.7</v>
      </c>
      <c r="C455">
        <v>98.65</v>
      </c>
      <c r="D455">
        <v>4.5</v>
      </c>
      <c r="E455">
        <v>290.7</v>
      </c>
      <c r="F455">
        <v>97.300000000000011</v>
      </c>
      <c r="G455">
        <v>4.5</v>
      </c>
      <c r="H455">
        <v>1.2</v>
      </c>
      <c r="I455">
        <v>470.20311383399996</v>
      </c>
      <c r="J455">
        <v>0.60616471357344437</v>
      </c>
      <c r="K455">
        <v>1000</v>
      </c>
      <c r="L455">
        <v>0</v>
      </c>
      <c r="N455">
        <v>36</v>
      </c>
      <c r="O455" s="60" t="s">
        <v>1437</v>
      </c>
      <c r="P455" t="s">
        <v>845</v>
      </c>
      <c r="Q455" t="s">
        <v>880</v>
      </c>
    </row>
    <row r="456" spans="1:17" x14ac:dyDescent="0.25">
      <c r="A456" t="s">
        <v>19</v>
      </c>
      <c r="B456">
        <v>290.7</v>
      </c>
      <c r="C456">
        <v>97.3</v>
      </c>
      <c r="D456">
        <v>4.5</v>
      </c>
      <c r="E456">
        <v>129.29999999999998</v>
      </c>
      <c r="F456">
        <v>97.3</v>
      </c>
      <c r="G456">
        <v>4.5</v>
      </c>
      <c r="H456">
        <v>1.2</v>
      </c>
      <c r="I456">
        <v>470.20311383399996</v>
      </c>
      <c r="J456">
        <v>72.470359089447655</v>
      </c>
      <c r="K456">
        <v>1250</v>
      </c>
      <c r="L456">
        <v>0</v>
      </c>
      <c r="N456">
        <v>36</v>
      </c>
      <c r="O456" s="60" t="s">
        <v>1438</v>
      </c>
      <c r="P456" t="s">
        <v>850</v>
      </c>
      <c r="Q456" t="s">
        <v>906</v>
      </c>
    </row>
    <row r="457" spans="1:17" x14ac:dyDescent="0.25">
      <c r="A457" t="s">
        <v>19</v>
      </c>
      <c r="B457">
        <v>129.29999999999998</v>
      </c>
      <c r="C457">
        <v>97.3</v>
      </c>
      <c r="D457">
        <v>4.5</v>
      </c>
      <c r="E457">
        <v>129.29999999999998</v>
      </c>
      <c r="F457">
        <v>95.95</v>
      </c>
      <c r="G457">
        <v>4.5</v>
      </c>
      <c r="H457">
        <v>1.2</v>
      </c>
      <c r="I457">
        <v>470.20311383399996</v>
      </c>
      <c r="J457">
        <v>0.60616471357344437</v>
      </c>
      <c r="K457">
        <v>1000</v>
      </c>
      <c r="L457">
        <v>0</v>
      </c>
      <c r="N457">
        <v>36</v>
      </c>
      <c r="O457" s="60" t="s">
        <v>1439</v>
      </c>
      <c r="P457" t="s">
        <v>851</v>
      </c>
      <c r="Q457" t="s">
        <v>870</v>
      </c>
    </row>
    <row r="458" spans="1:17" x14ac:dyDescent="0.25">
      <c r="A458" t="s">
        <v>19</v>
      </c>
      <c r="B458">
        <v>129.29999999999998</v>
      </c>
      <c r="C458">
        <v>95.95</v>
      </c>
      <c r="D458">
        <v>4.5</v>
      </c>
      <c r="E458">
        <v>290.7</v>
      </c>
      <c r="F458">
        <v>95.95</v>
      </c>
      <c r="G458">
        <v>4.5</v>
      </c>
      <c r="H458">
        <v>1.2</v>
      </c>
      <c r="I458">
        <v>470.20311383399996</v>
      </c>
      <c r="J458">
        <v>72.470359089447655</v>
      </c>
      <c r="K458">
        <v>1250</v>
      </c>
      <c r="L458">
        <v>0</v>
      </c>
      <c r="N458">
        <v>36</v>
      </c>
      <c r="O458" s="60" t="s">
        <v>1440</v>
      </c>
      <c r="P458" t="s">
        <v>852</v>
      </c>
      <c r="Q458" t="s">
        <v>907</v>
      </c>
    </row>
    <row r="459" spans="1:17" x14ac:dyDescent="0.25">
      <c r="A459" t="s">
        <v>19</v>
      </c>
      <c r="B459">
        <v>290.7</v>
      </c>
      <c r="C459">
        <v>95.95</v>
      </c>
      <c r="D459">
        <v>4.5</v>
      </c>
      <c r="E459">
        <v>290.7</v>
      </c>
      <c r="F459">
        <v>94.600000000000009</v>
      </c>
      <c r="G459">
        <v>4.5</v>
      </c>
      <c r="H459">
        <v>1.2</v>
      </c>
      <c r="I459">
        <v>470.20311383399996</v>
      </c>
      <c r="J459">
        <v>0.60616471357344437</v>
      </c>
      <c r="K459">
        <v>1000</v>
      </c>
      <c r="L459">
        <v>0</v>
      </c>
      <c r="N459">
        <v>36</v>
      </c>
      <c r="O459" s="60" t="s">
        <v>1441</v>
      </c>
      <c r="P459" t="s">
        <v>853</v>
      </c>
      <c r="Q459" t="s">
        <v>881</v>
      </c>
    </row>
    <row r="460" spans="1:17" x14ac:dyDescent="0.25">
      <c r="A460" t="s">
        <v>19</v>
      </c>
      <c r="B460">
        <v>290.7</v>
      </c>
      <c r="C460">
        <v>94.6</v>
      </c>
      <c r="D460">
        <v>4.5</v>
      </c>
      <c r="E460">
        <v>129.29999999999998</v>
      </c>
      <c r="F460">
        <v>94.6</v>
      </c>
      <c r="G460">
        <v>4.5</v>
      </c>
      <c r="H460">
        <v>1.2</v>
      </c>
      <c r="I460">
        <v>470.20311383399996</v>
      </c>
      <c r="J460">
        <v>72.470359089447655</v>
      </c>
      <c r="K460">
        <v>1250</v>
      </c>
      <c r="L460">
        <v>0</v>
      </c>
      <c r="N460">
        <v>36</v>
      </c>
      <c r="O460" s="60" t="s">
        <v>1442</v>
      </c>
      <c r="P460" t="s">
        <v>850</v>
      </c>
      <c r="Q460" t="s">
        <v>906</v>
      </c>
    </row>
    <row r="461" spans="1:17" x14ac:dyDescent="0.25">
      <c r="A461" t="s">
        <v>19</v>
      </c>
      <c r="B461">
        <v>129.29999999999998</v>
      </c>
      <c r="C461">
        <v>94.6</v>
      </c>
      <c r="D461">
        <v>4.5</v>
      </c>
      <c r="E461">
        <v>129.29999999999998</v>
      </c>
      <c r="F461">
        <v>93.25</v>
      </c>
      <c r="G461">
        <v>4.5</v>
      </c>
      <c r="H461">
        <v>1.2</v>
      </c>
      <c r="I461">
        <v>470.20311383399996</v>
      </c>
      <c r="J461">
        <v>0.60616471357344437</v>
      </c>
      <c r="K461">
        <v>1000</v>
      </c>
      <c r="L461">
        <v>0</v>
      </c>
      <c r="N461">
        <v>36</v>
      </c>
      <c r="O461" s="60" t="s">
        <v>1443</v>
      </c>
      <c r="P461" t="s">
        <v>851</v>
      </c>
      <c r="Q461" t="s">
        <v>873</v>
      </c>
    </row>
    <row r="462" spans="1:17" x14ac:dyDescent="0.25">
      <c r="A462" t="s">
        <v>19</v>
      </c>
      <c r="B462">
        <v>129.29999999999998</v>
      </c>
      <c r="C462">
        <v>93.25</v>
      </c>
      <c r="D462">
        <v>4.5</v>
      </c>
      <c r="E462">
        <v>290.7</v>
      </c>
      <c r="F462">
        <v>93.25</v>
      </c>
      <c r="G462">
        <v>4.5</v>
      </c>
      <c r="H462">
        <v>1.2</v>
      </c>
      <c r="I462">
        <v>470.20311383399996</v>
      </c>
      <c r="J462">
        <v>72.470359089447655</v>
      </c>
      <c r="K462">
        <v>1250</v>
      </c>
      <c r="L462">
        <v>0</v>
      </c>
      <c r="N462">
        <v>36</v>
      </c>
      <c r="O462" s="60" t="s">
        <v>1444</v>
      </c>
      <c r="P462" t="s">
        <v>852</v>
      </c>
      <c r="Q462" t="s">
        <v>907</v>
      </c>
    </row>
    <row r="463" spans="1:17" x14ac:dyDescent="0.25">
      <c r="A463" t="s">
        <v>19</v>
      </c>
      <c r="B463">
        <v>290.7</v>
      </c>
      <c r="C463">
        <v>93.25</v>
      </c>
      <c r="D463">
        <v>4.5</v>
      </c>
      <c r="E463">
        <v>290.7</v>
      </c>
      <c r="F463">
        <v>91.9</v>
      </c>
      <c r="G463">
        <v>4.5</v>
      </c>
      <c r="H463">
        <v>1.2</v>
      </c>
      <c r="I463">
        <v>470.20311383399996</v>
      </c>
      <c r="J463">
        <v>0.60616471357344437</v>
      </c>
      <c r="K463">
        <v>1000</v>
      </c>
      <c r="L463">
        <v>0</v>
      </c>
      <c r="N463">
        <v>36</v>
      </c>
      <c r="O463" s="60" t="s">
        <v>1445</v>
      </c>
      <c r="P463" t="s">
        <v>853</v>
      </c>
      <c r="Q463" t="s">
        <v>882</v>
      </c>
    </row>
    <row r="464" spans="1:17" x14ac:dyDescent="0.25">
      <c r="A464" t="s">
        <v>19</v>
      </c>
      <c r="B464">
        <v>290.7</v>
      </c>
      <c r="C464">
        <v>91.9</v>
      </c>
      <c r="D464">
        <v>4.5</v>
      </c>
      <c r="E464">
        <v>129.29999999999998</v>
      </c>
      <c r="F464">
        <v>91.9</v>
      </c>
      <c r="G464">
        <v>4.5</v>
      </c>
      <c r="H464">
        <v>1.2</v>
      </c>
      <c r="I464">
        <v>470.20311383399996</v>
      </c>
      <c r="J464">
        <v>72.470359089447655</v>
      </c>
      <c r="K464">
        <v>1250</v>
      </c>
      <c r="L464">
        <v>0</v>
      </c>
      <c r="N464">
        <v>36</v>
      </c>
      <c r="O464" s="60" t="s">
        <v>1446</v>
      </c>
      <c r="P464" t="s">
        <v>850</v>
      </c>
      <c r="Q464" t="s">
        <v>906</v>
      </c>
    </row>
    <row r="465" spans="1:17" x14ac:dyDescent="0.25">
      <c r="A465" t="s">
        <v>19</v>
      </c>
      <c r="B465">
        <v>129.29999999999998</v>
      </c>
      <c r="C465">
        <v>91.9</v>
      </c>
      <c r="D465">
        <v>4.5</v>
      </c>
      <c r="E465">
        <v>129.29999999999998</v>
      </c>
      <c r="F465">
        <v>90.550000000000011</v>
      </c>
      <c r="G465">
        <v>4.5</v>
      </c>
      <c r="H465">
        <v>1.2</v>
      </c>
      <c r="I465">
        <v>470.20311383399996</v>
      </c>
      <c r="J465">
        <v>0.60616471357344437</v>
      </c>
      <c r="K465">
        <v>1000</v>
      </c>
      <c r="L465">
        <v>0</v>
      </c>
      <c r="N465">
        <v>36</v>
      </c>
      <c r="O465" s="60" t="s">
        <v>1447</v>
      </c>
      <c r="P465" t="s">
        <v>851</v>
      </c>
      <c r="Q465" t="s">
        <v>874</v>
      </c>
    </row>
    <row r="466" spans="1:17" x14ac:dyDescent="0.25">
      <c r="A466" t="s">
        <v>19</v>
      </c>
      <c r="B466">
        <v>129.29999999999998</v>
      </c>
      <c r="C466">
        <v>90.550000000000011</v>
      </c>
      <c r="D466">
        <v>4.5</v>
      </c>
      <c r="E466">
        <v>290.7</v>
      </c>
      <c r="F466">
        <v>90.550000000000011</v>
      </c>
      <c r="G466">
        <v>4.5</v>
      </c>
      <c r="H466">
        <v>1.2</v>
      </c>
      <c r="I466">
        <v>470.20311383399996</v>
      </c>
      <c r="J466">
        <v>72.470359089447655</v>
      </c>
      <c r="K466">
        <v>1250</v>
      </c>
      <c r="L466">
        <v>0</v>
      </c>
      <c r="N466">
        <v>36</v>
      </c>
      <c r="O466" s="60" t="s">
        <v>1448</v>
      </c>
      <c r="P466" t="s">
        <v>852</v>
      </c>
      <c r="Q466" t="s">
        <v>907</v>
      </c>
    </row>
    <row r="467" spans="1:17" x14ac:dyDescent="0.25">
      <c r="A467" t="s">
        <v>19</v>
      </c>
      <c r="B467">
        <v>290.7</v>
      </c>
      <c r="C467">
        <v>90.550000000000011</v>
      </c>
      <c r="D467">
        <v>4.5</v>
      </c>
      <c r="E467">
        <v>290.7</v>
      </c>
      <c r="F467">
        <v>89.200000000000017</v>
      </c>
      <c r="G467">
        <v>4.5</v>
      </c>
      <c r="H467">
        <v>1.2</v>
      </c>
      <c r="I467">
        <v>470.20311383399996</v>
      </c>
      <c r="J467">
        <v>0.60616471357344437</v>
      </c>
      <c r="K467">
        <v>1000</v>
      </c>
      <c r="L467">
        <v>0</v>
      </c>
      <c r="N467">
        <v>36</v>
      </c>
      <c r="O467" s="60" t="s">
        <v>1449</v>
      </c>
      <c r="P467" t="s">
        <v>853</v>
      </c>
      <c r="Q467" t="s">
        <v>883</v>
      </c>
    </row>
    <row r="468" spans="1:17" x14ac:dyDescent="0.25">
      <c r="A468" t="s">
        <v>19</v>
      </c>
      <c r="B468">
        <v>290.7</v>
      </c>
      <c r="C468">
        <v>89.2</v>
      </c>
      <c r="D468">
        <v>4.5</v>
      </c>
      <c r="E468">
        <v>129.29999999999998</v>
      </c>
      <c r="F468">
        <v>89.2</v>
      </c>
      <c r="G468">
        <v>4.5</v>
      </c>
      <c r="H468">
        <v>1.2</v>
      </c>
      <c r="I468">
        <v>470.20311383399996</v>
      </c>
      <c r="J468">
        <v>72.470359089447655</v>
      </c>
      <c r="K468">
        <v>1250</v>
      </c>
      <c r="L468">
        <v>0</v>
      </c>
      <c r="N468">
        <v>36</v>
      </c>
      <c r="O468" s="60" t="s">
        <v>1450</v>
      </c>
      <c r="P468" t="s">
        <v>850</v>
      </c>
      <c r="Q468" t="s">
        <v>906</v>
      </c>
    </row>
    <row r="469" spans="1:17" x14ac:dyDescent="0.25">
      <c r="A469" t="s">
        <v>19</v>
      </c>
      <c r="B469">
        <v>129.29999999999998</v>
      </c>
      <c r="C469">
        <v>89.2</v>
      </c>
      <c r="D469">
        <v>4.5</v>
      </c>
      <c r="E469">
        <v>129.29999999999998</v>
      </c>
      <c r="F469">
        <v>87.850000000000009</v>
      </c>
      <c r="G469">
        <v>4.5</v>
      </c>
      <c r="H469">
        <v>1.2</v>
      </c>
      <c r="I469">
        <v>470.20311383399996</v>
      </c>
      <c r="J469">
        <v>0.60616471357344437</v>
      </c>
      <c r="K469">
        <v>1000</v>
      </c>
      <c r="L469">
        <v>0</v>
      </c>
      <c r="N469">
        <v>36</v>
      </c>
      <c r="O469" s="60" t="s">
        <v>1451</v>
      </c>
      <c r="P469" t="s">
        <v>851</v>
      </c>
      <c r="Q469" t="s">
        <v>875</v>
      </c>
    </row>
    <row r="470" spans="1:17" x14ac:dyDescent="0.25">
      <c r="A470" t="s">
        <v>19</v>
      </c>
      <c r="B470">
        <v>129.29999999999998</v>
      </c>
      <c r="C470">
        <v>87.850000000000009</v>
      </c>
      <c r="D470">
        <v>4.5</v>
      </c>
      <c r="E470">
        <v>290.7</v>
      </c>
      <c r="F470">
        <v>87.850000000000009</v>
      </c>
      <c r="G470">
        <v>4.5</v>
      </c>
      <c r="H470">
        <v>1.2</v>
      </c>
      <c r="I470">
        <v>470.20311383399996</v>
      </c>
      <c r="J470">
        <v>72.470359089447655</v>
      </c>
      <c r="K470">
        <v>1250</v>
      </c>
      <c r="L470">
        <v>0</v>
      </c>
      <c r="N470">
        <v>36</v>
      </c>
      <c r="O470" s="60" t="s">
        <v>1452</v>
      </c>
      <c r="P470" t="s">
        <v>852</v>
      </c>
      <c r="Q470" t="s">
        <v>907</v>
      </c>
    </row>
    <row r="471" spans="1:17" x14ac:dyDescent="0.25">
      <c r="A471" t="s">
        <v>19</v>
      </c>
      <c r="B471">
        <v>290.7</v>
      </c>
      <c r="C471">
        <v>87.850000000000009</v>
      </c>
      <c r="D471">
        <v>4.5</v>
      </c>
      <c r="E471">
        <v>290.7</v>
      </c>
      <c r="F471">
        <v>86.500000000000014</v>
      </c>
      <c r="G471">
        <v>4.5</v>
      </c>
      <c r="H471">
        <v>1.2</v>
      </c>
      <c r="I471">
        <v>470.20311383399996</v>
      </c>
      <c r="J471">
        <v>0.60616471357344437</v>
      </c>
      <c r="K471">
        <v>1000</v>
      </c>
      <c r="L471">
        <v>0</v>
      </c>
      <c r="N471">
        <v>36</v>
      </c>
      <c r="O471" s="60" t="s">
        <v>1453</v>
      </c>
      <c r="P471" t="s">
        <v>853</v>
      </c>
      <c r="Q471" t="s">
        <v>884</v>
      </c>
    </row>
    <row r="472" spans="1:17" x14ac:dyDescent="0.25">
      <c r="A472" t="s">
        <v>19</v>
      </c>
      <c r="B472">
        <v>290.7</v>
      </c>
      <c r="C472">
        <v>86.5</v>
      </c>
      <c r="D472">
        <v>4.5</v>
      </c>
      <c r="E472">
        <v>129.29999999999998</v>
      </c>
      <c r="F472">
        <v>86.5</v>
      </c>
      <c r="G472">
        <v>4.5</v>
      </c>
      <c r="H472">
        <v>1.2</v>
      </c>
      <c r="I472">
        <v>470.20311383399996</v>
      </c>
      <c r="J472">
        <v>72.470359089447655</v>
      </c>
      <c r="K472">
        <v>1250</v>
      </c>
      <c r="L472">
        <v>0</v>
      </c>
      <c r="N472">
        <v>36</v>
      </c>
      <c r="O472" s="60" t="s">
        <v>1454</v>
      </c>
      <c r="P472" t="s">
        <v>850</v>
      </c>
      <c r="Q472" t="s">
        <v>906</v>
      </c>
    </row>
    <row r="473" spans="1:17" x14ac:dyDescent="0.25">
      <c r="A473" t="s">
        <v>19</v>
      </c>
      <c r="B473">
        <v>129.29999999999998</v>
      </c>
      <c r="C473">
        <v>86.5</v>
      </c>
      <c r="D473">
        <v>4.5</v>
      </c>
      <c r="E473">
        <v>129.29999999999998</v>
      </c>
      <c r="F473">
        <v>85.15</v>
      </c>
      <c r="G473">
        <v>4.5</v>
      </c>
      <c r="H473">
        <v>1.2</v>
      </c>
      <c r="I473">
        <v>470.20311383399996</v>
      </c>
      <c r="J473">
        <v>0.60616471357344437</v>
      </c>
      <c r="K473">
        <v>1000</v>
      </c>
      <c r="L473">
        <v>0</v>
      </c>
      <c r="N473">
        <v>36</v>
      </c>
      <c r="O473" s="60" t="s">
        <v>1455</v>
      </c>
      <c r="P473" t="s">
        <v>851</v>
      </c>
      <c r="Q473" t="s">
        <v>876</v>
      </c>
    </row>
    <row r="474" spans="1:17" x14ac:dyDescent="0.25">
      <c r="A474" t="s">
        <v>19</v>
      </c>
      <c r="B474">
        <v>129.29999999999998</v>
      </c>
      <c r="C474">
        <v>85.15</v>
      </c>
      <c r="D474">
        <v>4.5</v>
      </c>
      <c r="E474">
        <v>290.7</v>
      </c>
      <c r="F474">
        <v>85.15</v>
      </c>
      <c r="G474">
        <v>4.5</v>
      </c>
      <c r="H474">
        <v>1.2</v>
      </c>
      <c r="I474">
        <v>470.20311383399996</v>
      </c>
      <c r="J474">
        <v>72.470359089447655</v>
      </c>
      <c r="K474">
        <v>1250</v>
      </c>
      <c r="L474">
        <v>0</v>
      </c>
      <c r="N474">
        <v>36</v>
      </c>
      <c r="O474" s="60" t="s">
        <v>1456</v>
      </c>
      <c r="P474" t="s">
        <v>852</v>
      </c>
      <c r="Q474" t="s">
        <v>907</v>
      </c>
    </row>
    <row r="475" spans="1:17" x14ac:dyDescent="0.25">
      <c r="A475" t="s">
        <v>19</v>
      </c>
      <c r="B475">
        <v>290.7</v>
      </c>
      <c r="C475">
        <v>85.15</v>
      </c>
      <c r="D475">
        <v>4.5</v>
      </c>
      <c r="E475">
        <v>290.7</v>
      </c>
      <c r="F475">
        <v>83.800000000000011</v>
      </c>
      <c r="G475">
        <v>4.5</v>
      </c>
      <c r="H475">
        <v>1.2</v>
      </c>
      <c r="I475">
        <v>470.20311383399996</v>
      </c>
      <c r="J475">
        <v>0.60616471357344437</v>
      </c>
      <c r="K475">
        <v>1000</v>
      </c>
      <c r="L475">
        <v>0</v>
      </c>
      <c r="N475">
        <v>36</v>
      </c>
      <c r="O475" s="60" t="s">
        <v>1457</v>
      </c>
      <c r="P475" t="s">
        <v>853</v>
      </c>
      <c r="Q475" t="s">
        <v>885</v>
      </c>
    </row>
    <row r="476" spans="1:17" x14ac:dyDescent="0.25">
      <c r="A476" t="s">
        <v>19</v>
      </c>
      <c r="B476">
        <v>290.7</v>
      </c>
      <c r="C476">
        <v>83.8</v>
      </c>
      <c r="D476">
        <v>4.5</v>
      </c>
      <c r="E476">
        <v>129.29999999999998</v>
      </c>
      <c r="F476">
        <v>83.8</v>
      </c>
      <c r="G476">
        <v>4.5</v>
      </c>
      <c r="H476">
        <v>1.2</v>
      </c>
      <c r="I476">
        <v>470.20311383399996</v>
      </c>
      <c r="J476">
        <v>72.470359089447655</v>
      </c>
      <c r="K476">
        <v>1250</v>
      </c>
      <c r="L476">
        <v>0</v>
      </c>
      <c r="N476">
        <v>36</v>
      </c>
      <c r="O476" s="60" t="s">
        <v>1458</v>
      </c>
      <c r="P476" t="s">
        <v>850</v>
      </c>
      <c r="Q476" t="s">
        <v>906</v>
      </c>
    </row>
    <row r="477" spans="1:17" x14ac:dyDescent="0.25">
      <c r="A477" t="s">
        <v>19</v>
      </c>
      <c r="B477">
        <v>129.29999999999998</v>
      </c>
      <c r="C477">
        <v>83.8</v>
      </c>
      <c r="D477">
        <v>4.5</v>
      </c>
      <c r="E477">
        <v>129.29999999999998</v>
      </c>
      <c r="F477">
        <v>82.45</v>
      </c>
      <c r="G477">
        <v>4.5</v>
      </c>
      <c r="H477">
        <v>1.2</v>
      </c>
      <c r="I477">
        <v>470.20311383399996</v>
      </c>
      <c r="J477">
        <v>0.60616471357344437</v>
      </c>
      <c r="K477">
        <v>1000</v>
      </c>
      <c r="L477">
        <v>0</v>
      </c>
      <c r="N477">
        <v>36</v>
      </c>
      <c r="O477" s="60" t="s">
        <v>1459</v>
      </c>
      <c r="P477" t="s">
        <v>851</v>
      </c>
      <c r="Q477" t="s">
        <v>877</v>
      </c>
    </row>
    <row r="478" spans="1:17" x14ac:dyDescent="0.25">
      <c r="A478" t="s">
        <v>19</v>
      </c>
      <c r="B478">
        <v>129.29999999999998</v>
      </c>
      <c r="C478">
        <v>82.45</v>
      </c>
      <c r="D478">
        <v>4.5</v>
      </c>
      <c r="E478">
        <v>290.7</v>
      </c>
      <c r="F478">
        <v>82.45</v>
      </c>
      <c r="G478">
        <v>4.5</v>
      </c>
      <c r="H478">
        <v>1.2</v>
      </c>
      <c r="I478">
        <v>470.20311383399996</v>
      </c>
      <c r="J478">
        <v>72.470359089447655</v>
      </c>
      <c r="K478">
        <v>1250</v>
      </c>
      <c r="L478">
        <v>0</v>
      </c>
      <c r="N478">
        <v>36</v>
      </c>
      <c r="O478" s="60" t="s">
        <v>1460</v>
      </c>
      <c r="P478" t="s">
        <v>852</v>
      </c>
      <c r="Q478" t="s">
        <v>907</v>
      </c>
    </row>
    <row r="479" spans="1:17" x14ac:dyDescent="0.25">
      <c r="A479" t="s">
        <v>19</v>
      </c>
      <c r="B479">
        <v>290.7</v>
      </c>
      <c r="C479">
        <v>82.45</v>
      </c>
      <c r="D479">
        <v>4.5</v>
      </c>
      <c r="E479">
        <v>290.7</v>
      </c>
      <c r="F479">
        <v>81.100000000000009</v>
      </c>
      <c r="G479">
        <v>4.5</v>
      </c>
      <c r="H479">
        <v>1.2</v>
      </c>
      <c r="I479">
        <v>470.20311383399996</v>
      </c>
      <c r="J479">
        <v>0.60616471357344437</v>
      </c>
      <c r="K479">
        <v>1000</v>
      </c>
      <c r="L479">
        <v>0</v>
      </c>
      <c r="N479">
        <v>36</v>
      </c>
      <c r="O479" s="60" t="s">
        <v>1461</v>
      </c>
      <c r="P479" t="s">
        <v>853</v>
      </c>
      <c r="Q479" t="s">
        <v>886</v>
      </c>
    </row>
    <row r="480" spans="1:17" x14ac:dyDescent="0.25">
      <c r="A480" t="s">
        <v>19</v>
      </c>
      <c r="B480">
        <v>290.7</v>
      </c>
      <c r="C480">
        <v>81.099999999999994</v>
      </c>
      <c r="D480">
        <v>4.5</v>
      </c>
      <c r="E480">
        <v>129.29999999999998</v>
      </c>
      <c r="F480">
        <v>81.099999999999994</v>
      </c>
      <c r="G480">
        <v>4.5</v>
      </c>
      <c r="H480">
        <v>1.2</v>
      </c>
      <c r="I480">
        <v>470.20311383399996</v>
      </c>
      <c r="J480">
        <v>72.470359089447655</v>
      </c>
      <c r="K480">
        <v>1250</v>
      </c>
      <c r="L480">
        <v>0</v>
      </c>
      <c r="N480">
        <v>36</v>
      </c>
      <c r="O480" s="60" t="s">
        <v>1462</v>
      </c>
      <c r="P480" t="s">
        <v>850</v>
      </c>
      <c r="Q480" t="s">
        <v>906</v>
      </c>
    </row>
    <row r="481" spans="1:17" x14ac:dyDescent="0.25">
      <c r="A481" t="s">
        <v>19</v>
      </c>
      <c r="B481">
        <v>129.29999999999998</v>
      </c>
      <c r="C481">
        <v>81.099999999999994</v>
      </c>
      <c r="D481">
        <v>4.5</v>
      </c>
      <c r="E481">
        <v>129.29999999999998</v>
      </c>
      <c r="F481">
        <v>79.75</v>
      </c>
      <c r="G481">
        <v>4.5</v>
      </c>
      <c r="H481">
        <v>1.2</v>
      </c>
      <c r="I481">
        <v>470.20311383399996</v>
      </c>
      <c r="J481">
        <v>0.60616471357344437</v>
      </c>
      <c r="K481">
        <v>1000</v>
      </c>
      <c r="L481">
        <v>0</v>
      </c>
      <c r="N481">
        <v>36</v>
      </c>
      <c r="O481" s="60" t="s">
        <v>1463</v>
      </c>
      <c r="P481" t="s">
        <v>851</v>
      </c>
      <c r="Q481" t="s">
        <v>878</v>
      </c>
    </row>
    <row r="482" spans="1:17" x14ac:dyDescent="0.25">
      <c r="A482" t="s">
        <v>19</v>
      </c>
      <c r="B482">
        <v>129.29999999999998</v>
      </c>
      <c r="C482">
        <v>79.75</v>
      </c>
      <c r="D482">
        <v>4.5</v>
      </c>
      <c r="E482">
        <v>290.7</v>
      </c>
      <c r="F482">
        <v>79.75</v>
      </c>
      <c r="G482">
        <v>4.5</v>
      </c>
      <c r="H482">
        <v>1.2</v>
      </c>
      <c r="I482">
        <v>470.20311383399996</v>
      </c>
      <c r="J482">
        <v>72.470359089447655</v>
      </c>
      <c r="K482">
        <v>1250</v>
      </c>
      <c r="L482">
        <v>0</v>
      </c>
      <c r="N482">
        <v>36</v>
      </c>
      <c r="O482" s="60" t="s">
        <v>1464</v>
      </c>
      <c r="P482" t="s">
        <v>852</v>
      </c>
      <c r="Q482" t="s">
        <v>907</v>
      </c>
    </row>
    <row r="483" spans="1:17" x14ac:dyDescent="0.25">
      <c r="A483" t="s">
        <v>19</v>
      </c>
      <c r="B483">
        <v>290.7</v>
      </c>
      <c r="C483">
        <v>79.75</v>
      </c>
      <c r="D483">
        <v>4.5</v>
      </c>
      <c r="E483">
        <v>290.7</v>
      </c>
      <c r="F483">
        <v>78.400000000000006</v>
      </c>
      <c r="G483">
        <v>4.5</v>
      </c>
      <c r="H483">
        <v>1.2</v>
      </c>
      <c r="I483">
        <v>470.20311383399996</v>
      </c>
      <c r="J483">
        <v>0.60616471357344437</v>
      </c>
      <c r="K483">
        <v>1000</v>
      </c>
      <c r="L483">
        <v>0</v>
      </c>
      <c r="N483">
        <v>36</v>
      </c>
      <c r="O483" s="60" t="s">
        <v>1465</v>
      </c>
      <c r="P483" t="s">
        <v>853</v>
      </c>
      <c r="Q483" t="s">
        <v>887</v>
      </c>
    </row>
    <row r="484" spans="1:17" x14ac:dyDescent="0.25">
      <c r="A484" t="s">
        <v>19</v>
      </c>
      <c r="B484">
        <v>290.7</v>
      </c>
      <c r="C484">
        <v>78.400000000000006</v>
      </c>
      <c r="D484">
        <v>4.5</v>
      </c>
      <c r="E484">
        <v>129.29999999999998</v>
      </c>
      <c r="F484">
        <v>78.400000000000006</v>
      </c>
      <c r="G484">
        <v>4.5</v>
      </c>
      <c r="H484">
        <v>1.2</v>
      </c>
      <c r="I484">
        <v>470.20311383399996</v>
      </c>
      <c r="J484">
        <v>72.470359089447655</v>
      </c>
      <c r="K484">
        <v>1250</v>
      </c>
      <c r="L484">
        <v>0</v>
      </c>
      <c r="N484">
        <v>36</v>
      </c>
      <c r="O484" s="60" t="s">
        <v>1466</v>
      </c>
      <c r="P484" t="s">
        <v>850</v>
      </c>
      <c r="Q484" t="s">
        <v>906</v>
      </c>
    </row>
    <row r="485" spans="1:17" x14ac:dyDescent="0.25">
      <c r="A485" t="s">
        <v>19</v>
      </c>
      <c r="B485">
        <v>129.29999999999998</v>
      </c>
      <c r="C485">
        <v>78.400000000000006</v>
      </c>
      <c r="D485">
        <v>4.5</v>
      </c>
      <c r="E485">
        <v>129.29999999999998</v>
      </c>
      <c r="F485">
        <v>77.050000000000011</v>
      </c>
      <c r="G485">
        <v>4.5</v>
      </c>
      <c r="H485">
        <v>1.2</v>
      </c>
      <c r="I485">
        <v>470.20311383399996</v>
      </c>
      <c r="J485">
        <v>0.60616471357344437</v>
      </c>
      <c r="K485">
        <v>1000</v>
      </c>
      <c r="L485">
        <v>0</v>
      </c>
      <c r="N485">
        <v>36</v>
      </c>
      <c r="O485" s="60" t="s">
        <v>1467</v>
      </c>
      <c r="P485" t="s">
        <v>851</v>
      </c>
      <c r="Q485" t="s">
        <v>879</v>
      </c>
    </row>
    <row r="486" spans="1:17" x14ac:dyDescent="0.25">
      <c r="A486" t="s">
        <v>19</v>
      </c>
      <c r="B486">
        <v>129.29999999999998</v>
      </c>
      <c r="C486">
        <v>77.050000000000011</v>
      </c>
      <c r="D486">
        <v>4.5</v>
      </c>
      <c r="E486">
        <v>290.7</v>
      </c>
      <c r="F486">
        <v>77.050000000000011</v>
      </c>
      <c r="G486">
        <v>4.5</v>
      </c>
      <c r="H486">
        <v>1.2</v>
      </c>
      <c r="I486">
        <v>470.20311383399996</v>
      </c>
      <c r="J486">
        <v>72.470359089447655</v>
      </c>
      <c r="K486">
        <v>1250</v>
      </c>
      <c r="L486">
        <v>0</v>
      </c>
      <c r="N486">
        <v>36</v>
      </c>
      <c r="O486" s="60" t="s">
        <v>1468</v>
      </c>
      <c r="P486" t="s">
        <v>852</v>
      </c>
      <c r="Q486" t="s">
        <v>907</v>
      </c>
    </row>
    <row r="487" spans="1:17" x14ac:dyDescent="0.25">
      <c r="A487" t="s">
        <v>19</v>
      </c>
      <c r="B487">
        <v>290.7</v>
      </c>
      <c r="C487">
        <v>77.050000000000011</v>
      </c>
      <c r="D487">
        <v>4.5</v>
      </c>
      <c r="E487">
        <v>290.7</v>
      </c>
      <c r="F487">
        <v>75.700000000000017</v>
      </c>
      <c r="G487">
        <v>4.5</v>
      </c>
      <c r="H487">
        <v>1.2</v>
      </c>
      <c r="I487">
        <v>470.20311383399996</v>
      </c>
      <c r="J487">
        <v>0.60616471357344437</v>
      </c>
      <c r="K487">
        <v>1000</v>
      </c>
      <c r="L487">
        <v>0</v>
      </c>
      <c r="N487">
        <v>36</v>
      </c>
      <c r="O487" s="60" t="s">
        <v>1469</v>
      </c>
      <c r="P487" t="s">
        <v>853</v>
      </c>
      <c r="Q487" t="s">
        <v>888</v>
      </c>
    </row>
    <row r="488" spans="1:17" x14ac:dyDescent="0.25">
      <c r="A488" t="s">
        <v>39</v>
      </c>
      <c r="B488">
        <v>0</v>
      </c>
      <c r="C488">
        <v>0</v>
      </c>
      <c r="N488">
        <v>36</v>
      </c>
      <c r="O488" s="60" t="s">
        <v>1470</v>
      </c>
      <c r="P488" t="s">
        <v>1471</v>
      </c>
      <c r="Q488" t="s">
        <v>897</v>
      </c>
    </row>
    <row r="489" spans="1:17" x14ac:dyDescent="0.25">
      <c r="A489" t="s">
        <v>898</v>
      </c>
      <c r="B489">
        <v>0.9</v>
      </c>
      <c r="C489">
        <v>3000</v>
      </c>
      <c r="N489">
        <v>36</v>
      </c>
      <c r="O489" s="60" t="s">
        <v>1470</v>
      </c>
      <c r="P489" t="s">
        <v>1471</v>
      </c>
      <c r="Q489" t="s">
        <v>903</v>
      </c>
    </row>
    <row r="490" spans="1:17" x14ac:dyDescent="0.25">
      <c r="A490" t="s">
        <v>23</v>
      </c>
      <c r="B490">
        <v>290.7</v>
      </c>
      <c r="C490">
        <v>75.700000000000017</v>
      </c>
      <c r="D490">
        <v>4.5</v>
      </c>
      <c r="E490">
        <v>290.7</v>
      </c>
      <c r="F490">
        <v>100</v>
      </c>
      <c r="G490">
        <v>5.4</v>
      </c>
      <c r="H490">
        <v>0</v>
      </c>
      <c r="I490">
        <v>0</v>
      </c>
      <c r="K490">
        <v>3000</v>
      </c>
      <c r="N490">
        <v>0</v>
      </c>
      <c r="O490" s="60">
        <v>0</v>
      </c>
      <c r="P490" t="s">
        <v>659</v>
      </c>
      <c r="Q490" t="s">
        <v>1047</v>
      </c>
    </row>
    <row r="491" spans="1:17" x14ac:dyDescent="0.25">
      <c r="A491" t="s">
        <v>19</v>
      </c>
      <c r="B491">
        <v>290.7</v>
      </c>
      <c r="C491">
        <v>100</v>
      </c>
      <c r="D491">
        <v>5.4</v>
      </c>
      <c r="E491">
        <v>129.29999999999998</v>
      </c>
      <c r="F491">
        <v>100</v>
      </c>
      <c r="G491">
        <v>5.4</v>
      </c>
      <c r="H491">
        <v>1.2</v>
      </c>
      <c r="I491">
        <v>470.20311383399996</v>
      </c>
      <c r="J491">
        <v>72.470359089447655</v>
      </c>
      <c r="K491">
        <v>1250</v>
      </c>
      <c r="L491">
        <v>0</v>
      </c>
      <c r="N491">
        <v>36</v>
      </c>
      <c r="O491" s="60" t="s">
        <v>1472</v>
      </c>
      <c r="P491" t="s">
        <v>846</v>
      </c>
      <c r="Q491" t="s">
        <v>906</v>
      </c>
    </row>
    <row r="492" spans="1:17" x14ac:dyDescent="0.25">
      <c r="A492" t="s">
        <v>19</v>
      </c>
      <c r="B492">
        <v>129.29999999999998</v>
      </c>
      <c r="C492">
        <v>100</v>
      </c>
      <c r="D492">
        <v>5.4</v>
      </c>
      <c r="E492">
        <v>129.29999999999998</v>
      </c>
      <c r="F492">
        <v>98.65</v>
      </c>
      <c r="G492">
        <v>5.4</v>
      </c>
      <c r="H492">
        <v>1.2</v>
      </c>
      <c r="I492">
        <v>470.20311383399996</v>
      </c>
      <c r="J492">
        <v>0.60616471357344437</v>
      </c>
      <c r="K492">
        <v>1000</v>
      </c>
      <c r="L492">
        <v>0</v>
      </c>
      <c r="N492">
        <v>36</v>
      </c>
      <c r="O492" s="60" t="s">
        <v>1473</v>
      </c>
      <c r="P492" t="s">
        <v>847</v>
      </c>
      <c r="Q492" t="s">
        <v>801</v>
      </c>
    </row>
    <row r="493" spans="1:17" x14ac:dyDescent="0.25">
      <c r="A493" t="s">
        <v>19</v>
      </c>
      <c r="B493">
        <v>129.29999999999998</v>
      </c>
      <c r="C493">
        <v>98.65</v>
      </c>
      <c r="D493">
        <v>5.4</v>
      </c>
      <c r="E493">
        <v>290.7</v>
      </c>
      <c r="F493">
        <v>98.65</v>
      </c>
      <c r="G493">
        <v>5.4</v>
      </c>
      <c r="H493">
        <v>1.2</v>
      </c>
      <c r="I493">
        <v>470.20311383399996</v>
      </c>
      <c r="J493">
        <v>72.470359089447655</v>
      </c>
      <c r="K493">
        <v>1250</v>
      </c>
      <c r="L493">
        <v>0</v>
      </c>
      <c r="N493">
        <v>36</v>
      </c>
      <c r="O493" s="60" t="s">
        <v>1474</v>
      </c>
      <c r="P493" t="s">
        <v>848</v>
      </c>
      <c r="Q493" t="s">
        <v>907</v>
      </c>
    </row>
    <row r="494" spans="1:17" x14ac:dyDescent="0.25">
      <c r="A494" t="s">
        <v>19</v>
      </c>
      <c r="B494">
        <v>290.7</v>
      </c>
      <c r="C494">
        <v>98.65</v>
      </c>
      <c r="D494">
        <v>5.4</v>
      </c>
      <c r="E494">
        <v>290.7</v>
      </c>
      <c r="F494">
        <v>97.300000000000011</v>
      </c>
      <c r="G494">
        <v>5.4</v>
      </c>
      <c r="H494">
        <v>1.2</v>
      </c>
      <c r="I494">
        <v>470.20311383399996</v>
      </c>
      <c r="J494">
        <v>0.60616471357344437</v>
      </c>
      <c r="K494">
        <v>1000</v>
      </c>
      <c r="L494">
        <v>0</v>
      </c>
      <c r="N494">
        <v>36</v>
      </c>
      <c r="O494" s="60" t="s">
        <v>1475</v>
      </c>
      <c r="P494" t="s">
        <v>849</v>
      </c>
      <c r="Q494" t="s">
        <v>880</v>
      </c>
    </row>
    <row r="495" spans="1:17" x14ac:dyDescent="0.25">
      <c r="A495" t="s">
        <v>19</v>
      </c>
      <c r="B495">
        <v>290.7</v>
      </c>
      <c r="C495">
        <v>97.3</v>
      </c>
      <c r="D495">
        <v>5.4</v>
      </c>
      <c r="E495">
        <v>129.29999999999998</v>
      </c>
      <c r="F495">
        <v>97.3</v>
      </c>
      <c r="G495">
        <v>5.4</v>
      </c>
      <c r="H495">
        <v>1.2</v>
      </c>
      <c r="I495">
        <v>470.20311383399996</v>
      </c>
      <c r="J495">
        <v>72.470359089447655</v>
      </c>
      <c r="K495">
        <v>1250</v>
      </c>
      <c r="L495">
        <v>0</v>
      </c>
      <c r="N495">
        <v>36</v>
      </c>
      <c r="O495" s="60" t="s">
        <v>1476</v>
      </c>
      <c r="P495" t="s">
        <v>1054</v>
      </c>
      <c r="Q495" t="s">
        <v>906</v>
      </c>
    </row>
    <row r="496" spans="1:17" x14ac:dyDescent="0.25">
      <c r="A496" t="s">
        <v>19</v>
      </c>
      <c r="B496">
        <v>129.29999999999998</v>
      </c>
      <c r="C496">
        <v>97.3</v>
      </c>
      <c r="D496">
        <v>5.4</v>
      </c>
      <c r="E496">
        <v>129.29999999999998</v>
      </c>
      <c r="F496">
        <v>95.95</v>
      </c>
      <c r="G496">
        <v>5.4</v>
      </c>
      <c r="H496">
        <v>1.2</v>
      </c>
      <c r="I496">
        <v>470.20311383399996</v>
      </c>
      <c r="J496">
        <v>0.60616471357344437</v>
      </c>
      <c r="K496">
        <v>1000</v>
      </c>
      <c r="L496">
        <v>0</v>
      </c>
      <c r="N496">
        <v>36</v>
      </c>
      <c r="O496" s="60" t="s">
        <v>1477</v>
      </c>
      <c r="P496" t="s">
        <v>1055</v>
      </c>
      <c r="Q496" t="s">
        <v>870</v>
      </c>
    </row>
    <row r="497" spans="1:17" x14ac:dyDescent="0.25">
      <c r="A497" t="s">
        <v>19</v>
      </c>
      <c r="B497">
        <v>129.29999999999998</v>
      </c>
      <c r="C497">
        <v>95.95</v>
      </c>
      <c r="D497">
        <v>5.4</v>
      </c>
      <c r="E497">
        <v>290.7</v>
      </c>
      <c r="F497">
        <v>95.95</v>
      </c>
      <c r="G497">
        <v>5.4</v>
      </c>
      <c r="H497">
        <v>1.2</v>
      </c>
      <c r="I497">
        <v>470.20311383399996</v>
      </c>
      <c r="J497">
        <v>72.470359089447655</v>
      </c>
      <c r="K497">
        <v>1250</v>
      </c>
      <c r="L497">
        <v>0</v>
      </c>
      <c r="N497">
        <v>36</v>
      </c>
      <c r="O497" s="60" t="s">
        <v>1478</v>
      </c>
      <c r="P497" t="s">
        <v>1056</v>
      </c>
      <c r="Q497" t="s">
        <v>907</v>
      </c>
    </row>
    <row r="498" spans="1:17" x14ac:dyDescent="0.25">
      <c r="A498" t="s">
        <v>19</v>
      </c>
      <c r="B498">
        <v>290.7</v>
      </c>
      <c r="C498">
        <v>95.95</v>
      </c>
      <c r="D498">
        <v>5.4</v>
      </c>
      <c r="E498">
        <v>290.7</v>
      </c>
      <c r="F498">
        <v>94.600000000000009</v>
      </c>
      <c r="G498">
        <v>5.4</v>
      </c>
      <c r="H498">
        <v>1.2</v>
      </c>
      <c r="I498">
        <v>470.20311383399996</v>
      </c>
      <c r="J498">
        <v>0.60616471357344437</v>
      </c>
      <c r="K498">
        <v>1000</v>
      </c>
      <c r="L498">
        <v>0</v>
      </c>
      <c r="N498">
        <v>36</v>
      </c>
      <c r="O498" s="60" t="s">
        <v>1479</v>
      </c>
      <c r="P498" t="s">
        <v>1057</v>
      </c>
      <c r="Q498" t="s">
        <v>881</v>
      </c>
    </row>
    <row r="499" spans="1:17" x14ac:dyDescent="0.25">
      <c r="A499" t="s">
        <v>19</v>
      </c>
      <c r="B499">
        <v>290.7</v>
      </c>
      <c r="C499">
        <v>94.6</v>
      </c>
      <c r="D499">
        <v>5.4</v>
      </c>
      <c r="E499">
        <v>129.29999999999998</v>
      </c>
      <c r="F499">
        <v>94.6</v>
      </c>
      <c r="G499">
        <v>5.4</v>
      </c>
      <c r="H499">
        <v>1.2</v>
      </c>
      <c r="I499">
        <v>470.20311383399996</v>
      </c>
      <c r="J499">
        <v>72.470359089447655</v>
      </c>
      <c r="K499">
        <v>1250</v>
      </c>
      <c r="L499">
        <v>0</v>
      </c>
      <c r="N499">
        <v>36</v>
      </c>
      <c r="O499" s="60" t="s">
        <v>1480</v>
      </c>
      <c r="P499" t="s">
        <v>1054</v>
      </c>
      <c r="Q499" t="s">
        <v>906</v>
      </c>
    </row>
    <row r="500" spans="1:17" x14ac:dyDescent="0.25">
      <c r="A500" t="s">
        <v>19</v>
      </c>
      <c r="B500">
        <v>129.29999999999998</v>
      </c>
      <c r="C500">
        <v>94.6</v>
      </c>
      <c r="D500">
        <v>5.4</v>
      </c>
      <c r="E500">
        <v>129.29999999999998</v>
      </c>
      <c r="F500">
        <v>93.25</v>
      </c>
      <c r="G500">
        <v>5.4</v>
      </c>
      <c r="H500">
        <v>1.2</v>
      </c>
      <c r="I500">
        <v>470.20311383399996</v>
      </c>
      <c r="J500">
        <v>0.60616471357344437</v>
      </c>
      <c r="K500">
        <v>1000</v>
      </c>
      <c r="L500">
        <v>0</v>
      </c>
      <c r="N500">
        <v>36</v>
      </c>
      <c r="O500" s="60" t="s">
        <v>1481</v>
      </c>
      <c r="P500" t="s">
        <v>1055</v>
      </c>
      <c r="Q500" t="s">
        <v>873</v>
      </c>
    </row>
    <row r="501" spans="1:17" x14ac:dyDescent="0.25">
      <c r="A501" t="s">
        <v>19</v>
      </c>
      <c r="B501">
        <v>129.29999999999998</v>
      </c>
      <c r="C501">
        <v>93.25</v>
      </c>
      <c r="D501">
        <v>5.4</v>
      </c>
      <c r="E501">
        <v>290.7</v>
      </c>
      <c r="F501">
        <v>93.25</v>
      </c>
      <c r="G501">
        <v>5.4</v>
      </c>
      <c r="H501">
        <v>1.2</v>
      </c>
      <c r="I501">
        <v>470.20311383399996</v>
      </c>
      <c r="J501">
        <v>72.470359089447655</v>
      </c>
      <c r="K501">
        <v>1250</v>
      </c>
      <c r="L501">
        <v>0</v>
      </c>
      <c r="N501">
        <v>36</v>
      </c>
      <c r="O501" s="60" t="s">
        <v>1482</v>
      </c>
      <c r="P501" t="s">
        <v>1056</v>
      </c>
      <c r="Q501" t="s">
        <v>907</v>
      </c>
    </row>
    <row r="502" spans="1:17" x14ac:dyDescent="0.25">
      <c r="A502" t="s">
        <v>19</v>
      </c>
      <c r="B502">
        <v>290.7</v>
      </c>
      <c r="C502">
        <v>93.25</v>
      </c>
      <c r="D502">
        <v>5.4</v>
      </c>
      <c r="E502">
        <v>290.7</v>
      </c>
      <c r="F502">
        <v>91.9</v>
      </c>
      <c r="G502">
        <v>5.4</v>
      </c>
      <c r="H502">
        <v>1.2</v>
      </c>
      <c r="I502">
        <v>470.20311383399996</v>
      </c>
      <c r="J502">
        <v>0.60616471357344437</v>
      </c>
      <c r="K502">
        <v>1000</v>
      </c>
      <c r="L502">
        <v>0</v>
      </c>
      <c r="N502">
        <v>36</v>
      </c>
      <c r="O502" s="60" t="s">
        <v>1483</v>
      </c>
      <c r="P502" t="s">
        <v>1057</v>
      </c>
      <c r="Q502" t="s">
        <v>882</v>
      </c>
    </row>
    <row r="503" spans="1:17" x14ac:dyDescent="0.25">
      <c r="A503" t="s">
        <v>19</v>
      </c>
      <c r="B503">
        <v>290.7</v>
      </c>
      <c r="C503">
        <v>91.9</v>
      </c>
      <c r="D503">
        <v>5.4</v>
      </c>
      <c r="E503">
        <v>129.29999999999998</v>
      </c>
      <c r="F503">
        <v>91.9</v>
      </c>
      <c r="G503">
        <v>5.4</v>
      </c>
      <c r="H503">
        <v>1.2</v>
      </c>
      <c r="I503">
        <v>470.20311383399996</v>
      </c>
      <c r="J503">
        <v>72.470359089447655</v>
      </c>
      <c r="K503">
        <v>1250</v>
      </c>
      <c r="L503">
        <v>0</v>
      </c>
      <c r="N503">
        <v>36</v>
      </c>
      <c r="O503" s="60" t="s">
        <v>1484</v>
      </c>
      <c r="P503" t="s">
        <v>1054</v>
      </c>
      <c r="Q503" t="s">
        <v>906</v>
      </c>
    </row>
    <row r="504" spans="1:17" x14ac:dyDescent="0.25">
      <c r="A504" t="s">
        <v>19</v>
      </c>
      <c r="B504">
        <v>129.29999999999998</v>
      </c>
      <c r="C504">
        <v>91.9</v>
      </c>
      <c r="D504">
        <v>5.4</v>
      </c>
      <c r="E504">
        <v>129.29999999999998</v>
      </c>
      <c r="F504">
        <v>90.550000000000011</v>
      </c>
      <c r="G504">
        <v>5.4</v>
      </c>
      <c r="H504">
        <v>1.2</v>
      </c>
      <c r="I504">
        <v>470.20311383399996</v>
      </c>
      <c r="J504">
        <v>0.60616471357344437</v>
      </c>
      <c r="K504">
        <v>1000</v>
      </c>
      <c r="L504">
        <v>0</v>
      </c>
      <c r="N504">
        <v>36</v>
      </c>
      <c r="O504" s="60" t="s">
        <v>1485</v>
      </c>
      <c r="P504" t="s">
        <v>1055</v>
      </c>
      <c r="Q504" t="s">
        <v>874</v>
      </c>
    </row>
    <row r="505" spans="1:17" x14ac:dyDescent="0.25">
      <c r="A505" t="s">
        <v>19</v>
      </c>
      <c r="B505">
        <v>129.29999999999998</v>
      </c>
      <c r="C505">
        <v>90.550000000000011</v>
      </c>
      <c r="D505">
        <v>5.4</v>
      </c>
      <c r="E505">
        <v>290.7</v>
      </c>
      <c r="F505">
        <v>90.550000000000011</v>
      </c>
      <c r="G505">
        <v>5.4</v>
      </c>
      <c r="H505">
        <v>1.2</v>
      </c>
      <c r="I505">
        <v>470.20311383399996</v>
      </c>
      <c r="J505">
        <v>72.470359089447655</v>
      </c>
      <c r="K505">
        <v>1250</v>
      </c>
      <c r="L505">
        <v>0</v>
      </c>
      <c r="N505">
        <v>36</v>
      </c>
      <c r="O505" s="60" t="s">
        <v>1486</v>
      </c>
      <c r="P505" t="s">
        <v>1056</v>
      </c>
      <c r="Q505" t="s">
        <v>907</v>
      </c>
    </row>
    <row r="506" spans="1:17" x14ac:dyDescent="0.25">
      <c r="A506" t="s">
        <v>19</v>
      </c>
      <c r="B506">
        <v>290.7</v>
      </c>
      <c r="C506">
        <v>90.550000000000011</v>
      </c>
      <c r="D506">
        <v>5.4</v>
      </c>
      <c r="E506">
        <v>290.7</v>
      </c>
      <c r="F506">
        <v>89.200000000000017</v>
      </c>
      <c r="G506">
        <v>5.4</v>
      </c>
      <c r="H506">
        <v>1.2</v>
      </c>
      <c r="I506">
        <v>470.20311383399996</v>
      </c>
      <c r="J506">
        <v>0.60616471357344437</v>
      </c>
      <c r="K506">
        <v>1000</v>
      </c>
      <c r="L506">
        <v>0</v>
      </c>
      <c r="N506">
        <v>36</v>
      </c>
      <c r="O506" s="60" t="s">
        <v>1487</v>
      </c>
      <c r="P506" t="s">
        <v>1057</v>
      </c>
      <c r="Q506" t="s">
        <v>883</v>
      </c>
    </row>
    <row r="507" spans="1:17" x14ac:dyDescent="0.25">
      <c r="A507" t="s">
        <v>19</v>
      </c>
      <c r="B507">
        <v>290.7</v>
      </c>
      <c r="C507">
        <v>89.2</v>
      </c>
      <c r="D507">
        <v>5.4</v>
      </c>
      <c r="E507">
        <v>129.29999999999998</v>
      </c>
      <c r="F507">
        <v>89.2</v>
      </c>
      <c r="G507">
        <v>5.4</v>
      </c>
      <c r="H507">
        <v>1.2</v>
      </c>
      <c r="I507">
        <v>470.20311383399996</v>
      </c>
      <c r="J507">
        <v>72.470359089447655</v>
      </c>
      <c r="K507">
        <v>1250</v>
      </c>
      <c r="L507">
        <v>0</v>
      </c>
      <c r="N507">
        <v>36</v>
      </c>
      <c r="O507" s="60" t="s">
        <v>1488</v>
      </c>
      <c r="P507" t="s">
        <v>1054</v>
      </c>
      <c r="Q507" t="s">
        <v>906</v>
      </c>
    </row>
    <row r="508" spans="1:17" x14ac:dyDescent="0.25">
      <c r="A508" t="s">
        <v>19</v>
      </c>
      <c r="B508">
        <v>129.29999999999998</v>
      </c>
      <c r="C508">
        <v>89.2</v>
      </c>
      <c r="D508">
        <v>5.4</v>
      </c>
      <c r="E508">
        <v>129.29999999999998</v>
      </c>
      <c r="F508">
        <v>87.850000000000009</v>
      </c>
      <c r="G508">
        <v>5.4</v>
      </c>
      <c r="H508">
        <v>1.2</v>
      </c>
      <c r="I508">
        <v>470.20311383399996</v>
      </c>
      <c r="J508">
        <v>0.60616471357344437</v>
      </c>
      <c r="K508">
        <v>1000</v>
      </c>
      <c r="L508">
        <v>0</v>
      </c>
      <c r="N508">
        <v>36</v>
      </c>
      <c r="O508" s="60" t="s">
        <v>1489</v>
      </c>
      <c r="P508" t="s">
        <v>1055</v>
      </c>
      <c r="Q508" t="s">
        <v>875</v>
      </c>
    </row>
    <row r="509" spans="1:17" x14ac:dyDescent="0.25">
      <c r="A509" t="s">
        <v>19</v>
      </c>
      <c r="B509">
        <v>129.29999999999998</v>
      </c>
      <c r="C509">
        <v>87.850000000000009</v>
      </c>
      <c r="D509">
        <v>5.4</v>
      </c>
      <c r="E509">
        <v>290.7</v>
      </c>
      <c r="F509">
        <v>87.850000000000009</v>
      </c>
      <c r="G509">
        <v>5.4</v>
      </c>
      <c r="H509">
        <v>1.2</v>
      </c>
      <c r="I509">
        <v>470.20311383399996</v>
      </c>
      <c r="J509">
        <v>72.470359089447655</v>
      </c>
      <c r="K509">
        <v>1250</v>
      </c>
      <c r="L509">
        <v>0</v>
      </c>
      <c r="N509">
        <v>36</v>
      </c>
      <c r="O509" s="60" t="s">
        <v>1490</v>
      </c>
      <c r="P509" t="s">
        <v>1056</v>
      </c>
      <c r="Q509" t="s">
        <v>907</v>
      </c>
    </row>
    <row r="510" spans="1:17" x14ac:dyDescent="0.25">
      <c r="A510" t="s">
        <v>19</v>
      </c>
      <c r="B510">
        <v>290.7</v>
      </c>
      <c r="C510">
        <v>87.850000000000009</v>
      </c>
      <c r="D510">
        <v>5.4</v>
      </c>
      <c r="E510">
        <v>290.7</v>
      </c>
      <c r="F510">
        <v>86.500000000000014</v>
      </c>
      <c r="G510">
        <v>5.4</v>
      </c>
      <c r="H510">
        <v>1.2</v>
      </c>
      <c r="I510">
        <v>470.20311383399996</v>
      </c>
      <c r="J510">
        <v>0.60616471357344437</v>
      </c>
      <c r="K510">
        <v>1000</v>
      </c>
      <c r="L510">
        <v>0</v>
      </c>
      <c r="N510">
        <v>36</v>
      </c>
      <c r="O510" s="60" t="s">
        <v>1491</v>
      </c>
      <c r="P510" t="s">
        <v>1057</v>
      </c>
      <c r="Q510" t="s">
        <v>884</v>
      </c>
    </row>
    <row r="511" spans="1:17" x14ac:dyDescent="0.25">
      <c r="A511" t="s">
        <v>19</v>
      </c>
      <c r="B511">
        <v>290.7</v>
      </c>
      <c r="C511">
        <v>86.5</v>
      </c>
      <c r="D511">
        <v>5.4</v>
      </c>
      <c r="E511">
        <v>129.29999999999998</v>
      </c>
      <c r="F511">
        <v>86.5</v>
      </c>
      <c r="G511">
        <v>5.4</v>
      </c>
      <c r="H511">
        <v>1.2</v>
      </c>
      <c r="I511">
        <v>470.20311383399996</v>
      </c>
      <c r="J511">
        <v>72.470359089447655</v>
      </c>
      <c r="K511">
        <v>1250</v>
      </c>
      <c r="L511">
        <v>0</v>
      </c>
      <c r="N511">
        <v>36</v>
      </c>
      <c r="O511" s="60" t="s">
        <v>1492</v>
      </c>
      <c r="P511" t="s">
        <v>1054</v>
      </c>
      <c r="Q511" t="s">
        <v>906</v>
      </c>
    </row>
    <row r="512" spans="1:17" x14ac:dyDescent="0.25">
      <c r="A512" t="s">
        <v>19</v>
      </c>
      <c r="B512">
        <v>129.29999999999998</v>
      </c>
      <c r="C512">
        <v>86.5</v>
      </c>
      <c r="D512">
        <v>5.4</v>
      </c>
      <c r="E512">
        <v>129.29999999999998</v>
      </c>
      <c r="F512">
        <v>85.15</v>
      </c>
      <c r="G512">
        <v>5.4</v>
      </c>
      <c r="H512">
        <v>1.2</v>
      </c>
      <c r="I512">
        <v>470.20311383399996</v>
      </c>
      <c r="J512">
        <v>0.60616471357344437</v>
      </c>
      <c r="K512">
        <v>1000</v>
      </c>
      <c r="L512">
        <v>0</v>
      </c>
      <c r="N512">
        <v>36</v>
      </c>
      <c r="O512" s="60" t="s">
        <v>1493</v>
      </c>
      <c r="P512" t="s">
        <v>1055</v>
      </c>
      <c r="Q512" t="s">
        <v>876</v>
      </c>
    </row>
    <row r="513" spans="1:17" x14ac:dyDescent="0.25">
      <c r="A513" t="s">
        <v>19</v>
      </c>
      <c r="B513">
        <v>129.29999999999998</v>
      </c>
      <c r="C513">
        <v>85.15</v>
      </c>
      <c r="D513">
        <v>5.4</v>
      </c>
      <c r="E513">
        <v>290.7</v>
      </c>
      <c r="F513">
        <v>85.15</v>
      </c>
      <c r="G513">
        <v>5.4</v>
      </c>
      <c r="H513">
        <v>1.2</v>
      </c>
      <c r="I513">
        <v>470.20311383399996</v>
      </c>
      <c r="J513">
        <v>72.470359089447655</v>
      </c>
      <c r="K513">
        <v>1250</v>
      </c>
      <c r="L513">
        <v>0</v>
      </c>
      <c r="N513">
        <v>36</v>
      </c>
      <c r="O513" s="60" t="s">
        <v>1494</v>
      </c>
      <c r="P513" t="s">
        <v>1056</v>
      </c>
      <c r="Q513" t="s">
        <v>907</v>
      </c>
    </row>
    <row r="514" spans="1:17" x14ac:dyDescent="0.25">
      <c r="A514" t="s">
        <v>19</v>
      </c>
      <c r="B514">
        <v>290.7</v>
      </c>
      <c r="C514">
        <v>85.15</v>
      </c>
      <c r="D514">
        <v>5.4</v>
      </c>
      <c r="E514">
        <v>290.7</v>
      </c>
      <c r="F514">
        <v>83.800000000000011</v>
      </c>
      <c r="G514">
        <v>5.4</v>
      </c>
      <c r="H514">
        <v>1.2</v>
      </c>
      <c r="I514">
        <v>470.20311383399996</v>
      </c>
      <c r="J514">
        <v>0.60616471357344437</v>
      </c>
      <c r="K514">
        <v>1000</v>
      </c>
      <c r="L514">
        <v>0</v>
      </c>
      <c r="N514">
        <v>36</v>
      </c>
      <c r="O514" s="60" t="s">
        <v>1495</v>
      </c>
      <c r="P514" t="s">
        <v>1057</v>
      </c>
      <c r="Q514" t="s">
        <v>885</v>
      </c>
    </row>
    <row r="515" spans="1:17" x14ac:dyDescent="0.25">
      <c r="A515" t="s">
        <v>19</v>
      </c>
      <c r="B515">
        <v>290.7</v>
      </c>
      <c r="C515">
        <v>83.8</v>
      </c>
      <c r="D515">
        <v>5.4</v>
      </c>
      <c r="E515">
        <v>129.29999999999998</v>
      </c>
      <c r="F515">
        <v>83.8</v>
      </c>
      <c r="G515">
        <v>5.4</v>
      </c>
      <c r="H515">
        <v>1.2</v>
      </c>
      <c r="I515">
        <v>470.20311383399996</v>
      </c>
      <c r="J515">
        <v>72.470359089447655</v>
      </c>
      <c r="K515">
        <v>1250</v>
      </c>
      <c r="L515">
        <v>0</v>
      </c>
      <c r="N515">
        <v>36</v>
      </c>
      <c r="O515" s="60" t="s">
        <v>1496</v>
      </c>
      <c r="P515" t="s">
        <v>1054</v>
      </c>
      <c r="Q515" t="s">
        <v>906</v>
      </c>
    </row>
    <row r="516" spans="1:17" x14ac:dyDescent="0.25">
      <c r="A516" t="s">
        <v>19</v>
      </c>
      <c r="B516">
        <v>129.29999999999998</v>
      </c>
      <c r="C516">
        <v>83.8</v>
      </c>
      <c r="D516">
        <v>5.4</v>
      </c>
      <c r="E516">
        <v>129.29999999999998</v>
      </c>
      <c r="F516">
        <v>82.45</v>
      </c>
      <c r="G516">
        <v>5.4</v>
      </c>
      <c r="H516">
        <v>1.2</v>
      </c>
      <c r="I516">
        <v>470.20311383399996</v>
      </c>
      <c r="J516">
        <v>0.60616471357344437</v>
      </c>
      <c r="K516">
        <v>1000</v>
      </c>
      <c r="L516">
        <v>0</v>
      </c>
      <c r="N516">
        <v>36</v>
      </c>
      <c r="O516" s="60" t="s">
        <v>1497</v>
      </c>
      <c r="P516" t="s">
        <v>1055</v>
      </c>
      <c r="Q516" t="s">
        <v>877</v>
      </c>
    </row>
    <row r="517" spans="1:17" x14ac:dyDescent="0.25">
      <c r="A517" t="s">
        <v>19</v>
      </c>
      <c r="B517">
        <v>129.29999999999998</v>
      </c>
      <c r="C517">
        <v>82.45</v>
      </c>
      <c r="D517">
        <v>5.4</v>
      </c>
      <c r="E517">
        <v>290.7</v>
      </c>
      <c r="F517">
        <v>82.45</v>
      </c>
      <c r="G517">
        <v>5.4</v>
      </c>
      <c r="H517">
        <v>1.2</v>
      </c>
      <c r="I517">
        <v>470.20311383399996</v>
      </c>
      <c r="J517">
        <v>72.470359089447655</v>
      </c>
      <c r="K517">
        <v>1250</v>
      </c>
      <c r="L517">
        <v>0</v>
      </c>
      <c r="N517">
        <v>36</v>
      </c>
      <c r="O517" s="60" t="s">
        <v>1498</v>
      </c>
      <c r="P517" t="s">
        <v>1056</v>
      </c>
      <c r="Q517" t="s">
        <v>907</v>
      </c>
    </row>
    <row r="518" spans="1:17" x14ac:dyDescent="0.25">
      <c r="A518" t="s">
        <v>19</v>
      </c>
      <c r="B518">
        <v>290.7</v>
      </c>
      <c r="C518">
        <v>82.45</v>
      </c>
      <c r="D518">
        <v>5.4</v>
      </c>
      <c r="E518">
        <v>290.7</v>
      </c>
      <c r="F518">
        <v>81.100000000000009</v>
      </c>
      <c r="G518">
        <v>5.4</v>
      </c>
      <c r="H518">
        <v>1.2</v>
      </c>
      <c r="I518">
        <v>470.20311383399996</v>
      </c>
      <c r="J518">
        <v>0.60616471357344437</v>
      </c>
      <c r="K518">
        <v>1000</v>
      </c>
      <c r="L518">
        <v>0</v>
      </c>
      <c r="N518">
        <v>36</v>
      </c>
      <c r="O518" s="60" t="s">
        <v>1499</v>
      </c>
      <c r="P518" t="s">
        <v>1057</v>
      </c>
      <c r="Q518" t="s">
        <v>886</v>
      </c>
    </row>
    <row r="519" spans="1:17" x14ac:dyDescent="0.25">
      <c r="A519" t="s">
        <v>19</v>
      </c>
      <c r="B519">
        <v>290.7</v>
      </c>
      <c r="C519">
        <v>81.099999999999994</v>
      </c>
      <c r="D519">
        <v>5.4</v>
      </c>
      <c r="E519">
        <v>129.29999999999998</v>
      </c>
      <c r="F519">
        <v>81.099999999999994</v>
      </c>
      <c r="G519">
        <v>5.4</v>
      </c>
      <c r="H519">
        <v>1.2</v>
      </c>
      <c r="I519">
        <v>470.20311383399996</v>
      </c>
      <c r="J519">
        <v>72.470359089447655</v>
      </c>
      <c r="K519">
        <v>1250</v>
      </c>
      <c r="L519">
        <v>0</v>
      </c>
      <c r="N519">
        <v>36</v>
      </c>
      <c r="O519" s="60" t="s">
        <v>1500</v>
      </c>
      <c r="P519" t="s">
        <v>1054</v>
      </c>
      <c r="Q519" t="s">
        <v>906</v>
      </c>
    </row>
    <row r="520" spans="1:17" x14ac:dyDescent="0.25">
      <c r="A520" t="s">
        <v>19</v>
      </c>
      <c r="B520">
        <v>129.29999999999998</v>
      </c>
      <c r="C520">
        <v>81.099999999999994</v>
      </c>
      <c r="D520">
        <v>5.4</v>
      </c>
      <c r="E520">
        <v>129.29999999999998</v>
      </c>
      <c r="F520">
        <v>79.75</v>
      </c>
      <c r="G520">
        <v>5.4</v>
      </c>
      <c r="H520">
        <v>1.2</v>
      </c>
      <c r="I520">
        <v>470.20311383399996</v>
      </c>
      <c r="J520">
        <v>0.60616471357344437</v>
      </c>
      <c r="K520">
        <v>1000</v>
      </c>
      <c r="L520">
        <v>0</v>
      </c>
      <c r="N520">
        <v>36</v>
      </c>
      <c r="O520" s="60" t="s">
        <v>1501</v>
      </c>
      <c r="P520" t="s">
        <v>1055</v>
      </c>
      <c r="Q520" t="s">
        <v>878</v>
      </c>
    </row>
    <row r="521" spans="1:17" x14ac:dyDescent="0.25">
      <c r="A521" t="s">
        <v>19</v>
      </c>
      <c r="B521">
        <v>129.29999999999998</v>
      </c>
      <c r="C521">
        <v>79.75</v>
      </c>
      <c r="D521">
        <v>5.4</v>
      </c>
      <c r="E521">
        <v>290.7</v>
      </c>
      <c r="F521">
        <v>79.75</v>
      </c>
      <c r="G521">
        <v>5.4</v>
      </c>
      <c r="H521">
        <v>1.2</v>
      </c>
      <c r="I521">
        <v>470.20311383399996</v>
      </c>
      <c r="J521">
        <v>72.470359089447655</v>
      </c>
      <c r="K521">
        <v>1250</v>
      </c>
      <c r="L521">
        <v>0</v>
      </c>
      <c r="N521">
        <v>36</v>
      </c>
      <c r="O521" s="60" t="s">
        <v>1502</v>
      </c>
      <c r="P521" t="s">
        <v>1056</v>
      </c>
      <c r="Q521" t="s">
        <v>907</v>
      </c>
    </row>
    <row r="522" spans="1:17" x14ac:dyDescent="0.25">
      <c r="A522" t="s">
        <v>19</v>
      </c>
      <c r="B522">
        <v>290.7</v>
      </c>
      <c r="C522">
        <v>79.75</v>
      </c>
      <c r="D522">
        <v>5.4</v>
      </c>
      <c r="E522">
        <v>290.7</v>
      </c>
      <c r="F522">
        <v>78.400000000000006</v>
      </c>
      <c r="G522">
        <v>5.4</v>
      </c>
      <c r="H522">
        <v>1.2</v>
      </c>
      <c r="I522">
        <v>470.20311383399996</v>
      </c>
      <c r="J522">
        <v>0.60616471357344437</v>
      </c>
      <c r="K522">
        <v>1000</v>
      </c>
      <c r="L522">
        <v>0</v>
      </c>
      <c r="N522">
        <v>36</v>
      </c>
      <c r="O522" s="60" t="s">
        <v>1503</v>
      </c>
      <c r="P522" t="s">
        <v>1057</v>
      </c>
      <c r="Q522" t="s">
        <v>887</v>
      </c>
    </row>
    <row r="523" spans="1:17" x14ac:dyDescent="0.25">
      <c r="A523" t="s">
        <v>19</v>
      </c>
      <c r="B523">
        <v>290.7</v>
      </c>
      <c r="C523">
        <v>78.400000000000006</v>
      </c>
      <c r="D523">
        <v>5.4</v>
      </c>
      <c r="E523">
        <v>129.29999999999998</v>
      </c>
      <c r="F523">
        <v>78.400000000000006</v>
      </c>
      <c r="G523">
        <v>5.4</v>
      </c>
      <c r="H523">
        <v>1.2</v>
      </c>
      <c r="I523">
        <v>470.20311383399996</v>
      </c>
      <c r="J523">
        <v>72.470359089447655</v>
      </c>
      <c r="K523">
        <v>1250</v>
      </c>
      <c r="L523">
        <v>0</v>
      </c>
      <c r="N523">
        <v>36</v>
      </c>
      <c r="O523" s="60" t="s">
        <v>1504</v>
      </c>
      <c r="P523" t="s">
        <v>1054</v>
      </c>
      <c r="Q523" t="s">
        <v>906</v>
      </c>
    </row>
    <row r="524" spans="1:17" x14ac:dyDescent="0.25">
      <c r="A524" t="s">
        <v>19</v>
      </c>
      <c r="B524">
        <v>129.29999999999998</v>
      </c>
      <c r="C524">
        <v>78.400000000000006</v>
      </c>
      <c r="D524">
        <v>5.4</v>
      </c>
      <c r="E524">
        <v>129.29999999999998</v>
      </c>
      <c r="F524">
        <v>77.050000000000011</v>
      </c>
      <c r="G524">
        <v>5.4</v>
      </c>
      <c r="H524">
        <v>1.2</v>
      </c>
      <c r="I524">
        <v>470.20311383399996</v>
      </c>
      <c r="J524">
        <v>0.60616471357344437</v>
      </c>
      <c r="K524">
        <v>1000</v>
      </c>
      <c r="L524">
        <v>0</v>
      </c>
      <c r="N524">
        <v>36</v>
      </c>
      <c r="O524" s="60" t="s">
        <v>1505</v>
      </c>
      <c r="P524" t="s">
        <v>1055</v>
      </c>
      <c r="Q524" t="s">
        <v>879</v>
      </c>
    </row>
    <row r="525" spans="1:17" x14ac:dyDescent="0.25">
      <c r="A525" t="s">
        <v>19</v>
      </c>
      <c r="B525">
        <v>129.29999999999998</v>
      </c>
      <c r="C525">
        <v>77.050000000000011</v>
      </c>
      <c r="D525">
        <v>5.4</v>
      </c>
      <c r="E525">
        <v>290.7</v>
      </c>
      <c r="F525">
        <v>77.050000000000011</v>
      </c>
      <c r="G525">
        <v>5.4</v>
      </c>
      <c r="H525">
        <v>1.2</v>
      </c>
      <c r="I525">
        <v>470.20311383399996</v>
      </c>
      <c r="J525">
        <v>72.470359089447655</v>
      </c>
      <c r="K525">
        <v>1250</v>
      </c>
      <c r="L525">
        <v>0</v>
      </c>
      <c r="N525">
        <v>36</v>
      </c>
      <c r="O525" s="60" t="s">
        <v>1506</v>
      </c>
      <c r="P525" t="s">
        <v>1056</v>
      </c>
      <c r="Q525" t="s">
        <v>907</v>
      </c>
    </row>
    <row r="526" spans="1:17" x14ac:dyDescent="0.25">
      <c r="A526" t="s">
        <v>19</v>
      </c>
      <c r="B526">
        <v>290.7</v>
      </c>
      <c r="C526">
        <v>77.050000000000011</v>
      </c>
      <c r="D526">
        <v>5.4</v>
      </c>
      <c r="E526">
        <v>290.7</v>
      </c>
      <c r="F526">
        <v>75.700000000000017</v>
      </c>
      <c r="G526">
        <v>5.4</v>
      </c>
      <c r="H526">
        <v>1.2</v>
      </c>
      <c r="I526">
        <v>470.20311383399996</v>
      </c>
      <c r="J526">
        <v>0.60616471357344437</v>
      </c>
      <c r="K526">
        <v>1000</v>
      </c>
      <c r="L526">
        <v>0</v>
      </c>
      <c r="N526">
        <v>36</v>
      </c>
      <c r="O526" s="60" t="s">
        <v>1507</v>
      </c>
      <c r="P526" t="s">
        <v>1057</v>
      </c>
      <c r="Q526" t="s">
        <v>888</v>
      </c>
    </row>
    <row r="527" spans="1:17" x14ac:dyDescent="0.25">
      <c r="A527" t="s">
        <v>23</v>
      </c>
      <c r="B527">
        <v>290.7</v>
      </c>
      <c r="C527">
        <v>75.700000000000017</v>
      </c>
      <c r="D527">
        <v>5.4</v>
      </c>
      <c r="E527">
        <v>290.7</v>
      </c>
      <c r="F527">
        <v>100</v>
      </c>
      <c r="G527">
        <v>5.3999999999999995</v>
      </c>
      <c r="H527">
        <v>0</v>
      </c>
      <c r="I527">
        <v>0</v>
      </c>
      <c r="K527">
        <v>3000</v>
      </c>
      <c r="N527">
        <v>0</v>
      </c>
      <c r="O527" s="60">
        <v>0</v>
      </c>
      <c r="P527" t="s">
        <v>659</v>
      </c>
      <c r="Q527" t="s">
        <v>1052</v>
      </c>
    </row>
    <row r="528" spans="1:17" x14ac:dyDescent="0.25">
      <c r="A528" t="s">
        <v>19</v>
      </c>
      <c r="B528">
        <v>290.7</v>
      </c>
      <c r="C528">
        <v>100</v>
      </c>
      <c r="D528">
        <v>5.3999999999999995</v>
      </c>
      <c r="E528">
        <v>129.29999999999998</v>
      </c>
      <c r="F528">
        <v>100</v>
      </c>
      <c r="G528">
        <v>5.3999999999999995</v>
      </c>
      <c r="H528">
        <v>1.2</v>
      </c>
      <c r="I528">
        <v>470.20311383399996</v>
      </c>
      <c r="J528">
        <v>72.470359089447655</v>
      </c>
      <c r="K528">
        <v>1250</v>
      </c>
      <c r="L528">
        <v>0</v>
      </c>
      <c r="N528">
        <v>36</v>
      </c>
      <c r="O528" s="60" t="s">
        <v>1508</v>
      </c>
      <c r="P528" t="s">
        <v>842</v>
      </c>
      <c r="Q528" t="s">
        <v>906</v>
      </c>
    </row>
    <row r="529" spans="1:17" x14ac:dyDescent="0.25">
      <c r="A529" t="s">
        <v>19</v>
      </c>
      <c r="B529">
        <v>129.29999999999998</v>
      </c>
      <c r="C529">
        <v>100</v>
      </c>
      <c r="D529">
        <v>5.3999999999999995</v>
      </c>
      <c r="E529">
        <v>129.29999999999998</v>
      </c>
      <c r="F529">
        <v>98.65</v>
      </c>
      <c r="G529">
        <v>5.3999999999999995</v>
      </c>
      <c r="H529">
        <v>1.2</v>
      </c>
      <c r="I529">
        <v>470.20311383399996</v>
      </c>
      <c r="J529">
        <v>0.60616471357344437</v>
      </c>
      <c r="K529">
        <v>1000</v>
      </c>
      <c r="L529">
        <v>0</v>
      </c>
      <c r="N529">
        <v>36</v>
      </c>
      <c r="O529" s="60" t="s">
        <v>1509</v>
      </c>
      <c r="P529" t="s">
        <v>843</v>
      </c>
      <c r="Q529" t="s">
        <v>801</v>
      </c>
    </row>
    <row r="530" spans="1:17" x14ac:dyDescent="0.25">
      <c r="A530" t="s">
        <v>19</v>
      </c>
      <c r="B530">
        <v>129.29999999999998</v>
      </c>
      <c r="C530">
        <v>98.65</v>
      </c>
      <c r="D530">
        <v>5.3999999999999995</v>
      </c>
      <c r="E530">
        <v>290.7</v>
      </c>
      <c r="F530">
        <v>98.65</v>
      </c>
      <c r="G530">
        <v>5.3999999999999995</v>
      </c>
      <c r="H530">
        <v>1.2</v>
      </c>
      <c r="I530">
        <v>470.20311383399996</v>
      </c>
      <c r="J530">
        <v>72.470359089447655</v>
      </c>
      <c r="K530">
        <v>1250</v>
      </c>
      <c r="L530">
        <v>0</v>
      </c>
      <c r="N530">
        <v>36</v>
      </c>
      <c r="O530" s="60" t="s">
        <v>1510</v>
      </c>
      <c r="P530" t="s">
        <v>844</v>
      </c>
      <c r="Q530" t="s">
        <v>907</v>
      </c>
    </row>
    <row r="531" spans="1:17" x14ac:dyDescent="0.25">
      <c r="A531" t="s">
        <v>19</v>
      </c>
      <c r="B531">
        <v>290.7</v>
      </c>
      <c r="C531">
        <v>98.65</v>
      </c>
      <c r="D531">
        <v>5.3999999999999995</v>
      </c>
      <c r="E531">
        <v>290.7</v>
      </c>
      <c r="F531">
        <v>97.300000000000011</v>
      </c>
      <c r="G531">
        <v>5.3999999999999995</v>
      </c>
      <c r="H531">
        <v>1.2</v>
      </c>
      <c r="I531">
        <v>470.20311383399996</v>
      </c>
      <c r="J531">
        <v>0.60616471357344437</v>
      </c>
      <c r="K531">
        <v>1000</v>
      </c>
      <c r="L531">
        <v>0</v>
      </c>
      <c r="N531">
        <v>36</v>
      </c>
      <c r="O531" s="60" t="s">
        <v>1511</v>
      </c>
      <c r="P531" t="s">
        <v>845</v>
      </c>
      <c r="Q531" t="s">
        <v>880</v>
      </c>
    </row>
    <row r="532" spans="1:17" x14ac:dyDescent="0.25">
      <c r="A532" t="s">
        <v>19</v>
      </c>
      <c r="B532">
        <v>290.7</v>
      </c>
      <c r="C532">
        <v>97.3</v>
      </c>
      <c r="D532">
        <v>5.3999999999999995</v>
      </c>
      <c r="E532">
        <v>129.29999999999998</v>
      </c>
      <c r="F532">
        <v>97.3</v>
      </c>
      <c r="G532">
        <v>5.3999999999999995</v>
      </c>
      <c r="H532">
        <v>1.2</v>
      </c>
      <c r="I532">
        <v>470.20311383399996</v>
      </c>
      <c r="J532">
        <v>72.470359089447655</v>
      </c>
      <c r="K532">
        <v>1250</v>
      </c>
      <c r="L532">
        <v>0</v>
      </c>
      <c r="N532">
        <v>36</v>
      </c>
      <c r="O532" s="60" t="s">
        <v>1512</v>
      </c>
      <c r="P532" t="s">
        <v>850</v>
      </c>
      <c r="Q532" t="s">
        <v>906</v>
      </c>
    </row>
    <row r="533" spans="1:17" x14ac:dyDescent="0.25">
      <c r="A533" t="s">
        <v>19</v>
      </c>
      <c r="B533">
        <v>129.29999999999998</v>
      </c>
      <c r="C533">
        <v>97.3</v>
      </c>
      <c r="D533">
        <v>5.3999999999999995</v>
      </c>
      <c r="E533">
        <v>129.29999999999998</v>
      </c>
      <c r="F533">
        <v>95.95</v>
      </c>
      <c r="G533">
        <v>5.3999999999999995</v>
      </c>
      <c r="H533">
        <v>1.2</v>
      </c>
      <c r="I533">
        <v>470.20311383399996</v>
      </c>
      <c r="J533">
        <v>0.60616471357344437</v>
      </c>
      <c r="K533">
        <v>1000</v>
      </c>
      <c r="L533">
        <v>0</v>
      </c>
      <c r="N533">
        <v>36</v>
      </c>
      <c r="O533" s="60" t="s">
        <v>1513</v>
      </c>
      <c r="P533" t="s">
        <v>851</v>
      </c>
      <c r="Q533" t="s">
        <v>870</v>
      </c>
    </row>
    <row r="534" spans="1:17" x14ac:dyDescent="0.25">
      <c r="A534" t="s">
        <v>19</v>
      </c>
      <c r="B534">
        <v>129.29999999999998</v>
      </c>
      <c r="C534">
        <v>95.95</v>
      </c>
      <c r="D534">
        <v>5.3999999999999995</v>
      </c>
      <c r="E534">
        <v>290.7</v>
      </c>
      <c r="F534">
        <v>95.95</v>
      </c>
      <c r="G534">
        <v>5.3999999999999995</v>
      </c>
      <c r="H534">
        <v>1.2</v>
      </c>
      <c r="I534">
        <v>470.20311383399996</v>
      </c>
      <c r="J534">
        <v>72.470359089447655</v>
      </c>
      <c r="K534">
        <v>1250</v>
      </c>
      <c r="L534">
        <v>0</v>
      </c>
      <c r="N534">
        <v>36</v>
      </c>
      <c r="O534" s="60" t="s">
        <v>1514</v>
      </c>
      <c r="P534" t="s">
        <v>852</v>
      </c>
      <c r="Q534" t="s">
        <v>907</v>
      </c>
    </row>
    <row r="535" spans="1:17" x14ac:dyDescent="0.25">
      <c r="A535" t="s">
        <v>19</v>
      </c>
      <c r="B535">
        <v>290.7</v>
      </c>
      <c r="C535">
        <v>95.95</v>
      </c>
      <c r="D535">
        <v>5.3999999999999995</v>
      </c>
      <c r="E535">
        <v>290.7</v>
      </c>
      <c r="F535">
        <v>94.600000000000009</v>
      </c>
      <c r="G535">
        <v>5.3999999999999995</v>
      </c>
      <c r="H535">
        <v>1.2</v>
      </c>
      <c r="I535">
        <v>470.20311383399996</v>
      </c>
      <c r="J535">
        <v>0.60616471357344437</v>
      </c>
      <c r="K535">
        <v>1000</v>
      </c>
      <c r="L535">
        <v>0</v>
      </c>
      <c r="N535">
        <v>36</v>
      </c>
      <c r="O535" s="60" t="s">
        <v>1515</v>
      </c>
      <c r="P535" t="s">
        <v>853</v>
      </c>
      <c r="Q535" t="s">
        <v>881</v>
      </c>
    </row>
    <row r="536" spans="1:17" x14ac:dyDescent="0.25">
      <c r="A536" t="s">
        <v>19</v>
      </c>
      <c r="B536">
        <v>290.7</v>
      </c>
      <c r="C536">
        <v>94.6</v>
      </c>
      <c r="D536">
        <v>5.3999999999999995</v>
      </c>
      <c r="E536">
        <v>129.29999999999998</v>
      </c>
      <c r="F536">
        <v>94.6</v>
      </c>
      <c r="G536">
        <v>5.3999999999999995</v>
      </c>
      <c r="H536">
        <v>1.2</v>
      </c>
      <c r="I536">
        <v>470.20311383399996</v>
      </c>
      <c r="J536">
        <v>72.470359089447655</v>
      </c>
      <c r="K536">
        <v>1250</v>
      </c>
      <c r="L536">
        <v>0</v>
      </c>
      <c r="N536">
        <v>36</v>
      </c>
      <c r="O536" s="60" t="s">
        <v>1516</v>
      </c>
      <c r="P536" t="s">
        <v>850</v>
      </c>
      <c r="Q536" t="s">
        <v>906</v>
      </c>
    </row>
    <row r="537" spans="1:17" x14ac:dyDescent="0.25">
      <c r="A537" t="s">
        <v>19</v>
      </c>
      <c r="B537">
        <v>129.29999999999998</v>
      </c>
      <c r="C537">
        <v>94.6</v>
      </c>
      <c r="D537">
        <v>5.3999999999999995</v>
      </c>
      <c r="E537">
        <v>129.29999999999998</v>
      </c>
      <c r="F537">
        <v>93.25</v>
      </c>
      <c r="G537">
        <v>5.3999999999999995</v>
      </c>
      <c r="H537">
        <v>1.2</v>
      </c>
      <c r="I537">
        <v>470.20311383399996</v>
      </c>
      <c r="J537">
        <v>0.60616471357344437</v>
      </c>
      <c r="K537">
        <v>1000</v>
      </c>
      <c r="L537">
        <v>0</v>
      </c>
      <c r="N537">
        <v>36</v>
      </c>
      <c r="O537" s="60" t="s">
        <v>1517</v>
      </c>
      <c r="P537" t="s">
        <v>851</v>
      </c>
      <c r="Q537" t="s">
        <v>873</v>
      </c>
    </row>
    <row r="538" spans="1:17" x14ac:dyDescent="0.25">
      <c r="A538" t="s">
        <v>19</v>
      </c>
      <c r="B538">
        <v>129.29999999999998</v>
      </c>
      <c r="C538">
        <v>93.25</v>
      </c>
      <c r="D538">
        <v>5.3999999999999995</v>
      </c>
      <c r="E538">
        <v>290.7</v>
      </c>
      <c r="F538">
        <v>93.25</v>
      </c>
      <c r="G538">
        <v>5.3999999999999995</v>
      </c>
      <c r="H538">
        <v>1.2</v>
      </c>
      <c r="I538">
        <v>470.20311383399996</v>
      </c>
      <c r="J538">
        <v>72.470359089447655</v>
      </c>
      <c r="K538">
        <v>1250</v>
      </c>
      <c r="L538">
        <v>0</v>
      </c>
      <c r="N538">
        <v>36</v>
      </c>
      <c r="O538" s="60" t="s">
        <v>1518</v>
      </c>
      <c r="P538" t="s">
        <v>852</v>
      </c>
      <c r="Q538" t="s">
        <v>907</v>
      </c>
    </row>
    <row r="539" spans="1:17" x14ac:dyDescent="0.25">
      <c r="A539" t="s">
        <v>19</v>
      </c>
      <c r="B539">
        <v>290.7</v>
      </c>
      <c r="C539">
        <v>93.25</v>
      </c>
      <c r="D539">
        <v>5.3999999999999995</v>
      </c>
      <c r="E539">
        <v>290.7</v>
      </c>
      <c r="F539">
        <v>91.9</v>
      </c>
      <c r="G539">
        <v>5.3999999999999995</v>
      </c>
      <c r="H539">
        <v>1.2</v>
      </c>
      <c r="I539">
        <v>470.20311383399996</v>
      </c>
      <c r="J539">
        <v>0.60616471357344437</v>
      </c>
      <c r="K539">
        <v>1000</v>
      </c>
      <c r="L539">
        <v>0</v>
      </c>
      <c r="N539">
        <v>36</v>
      </c>
      <c r="O539" s="60" t="s">
        <v>1519</v>
      </c>
      <c r="P539" t="s">
        <v>853</v>
      </c>
      <c r="Q539" t="s">
        <v>882</v>
      </c>
    </row>
    <row r="540" spans="1:17" x14ac:dyDescent="0.25">
      <c r="A540" t="s">
        <v>19</v>
      </c>
      <c r="B540">
        <v>290.7</v>
      </c>
      <c r="C540">
        <v>91.9</v>
      </c>
      <c r="D540">
        <v>5.3999999999999995</v>
      </c>
      <c r="E540">
        <v>129.29999999999998</v>
      </c>
      <c r="F540">
        <v>91.9</v>
      </c>
      <c r="G540">
        <v>5.3999999999999995</v>
      </c>
      <c r="H540">
        <v>1.2</v>
      </c>
      <c r="I540">
        <v>470.20311383399996</v>
      </c>
      <c r="J540">
        <v>72.470359089447655</v>
      </c>
      <c r="K540">
        <v>1250</v>
      </c>
      <c r="L540">
        <v>0</v>
      </c>
      <c r="N540">
        <v>36</v>
      </c>
      <c r="O540" s="60" t="s">
        <v>1520</v>
      </c>
      <c r="P540" t="s">
        <v>850</v>
      </c>
      <c r="Q540" t="s">
        <v>906</v>
      </c>
    </row>
    <row r="541" spans="1:17" x14ac:dyDescent="0.25">
      <c r="A541" t="s">
        <v>19</v>
      </c>
      <c r="B541">
        <v>129.29999999999998</v>
      </c>
      <c r="C541">
        <v>91.9</v>
      </c>
      <c r="D541">
        <v>5.3999999999999995</v>
      </c>
      <c r="E541">
        <v>129.29999999999998</v>
      </c>
      <c r="F541">
        <v>90.550000000000011</v>
      </c>
      <c r="G541">
        <v>5.3999999999999995</v>
      </c>
      <c r="H541">
        <v>1.2</v>
      </c>
      <c r="I541">
        <v>470.20311383399996</v>
      </c>
      <c r="J541">
        <v>0.60616471357344437</v>
      </c>
      <c r="K541">
        <v>1000</v>
      </c>
      <c r="L541">
        <v>0</v>
      </c>
      <c r="N541">
        <v>36</v>
      </c>
      <c r="O541" s="60" t="s">
        <v>1521</v>
      </c>
      <c r="P541" t="s">
        <v>851</v>
      </c>
      <c r="Q541" t="s">
        <v>874</v>
      </c>
    </row>
    <row r="542" spans="1:17" x14ac:dyDescent="0.25">
      <c r="A542" t="s">
        <v>19</v>
      </c>
      <c r="B542">
        <v>129.29999999999998</v>
      </c>
      <c r="C542">
        <v>90.550000000000011</v>
      </c>
      <c r="D542">
        <v>5.3999999999999995</v>
      </c>
      <c r="E542">
        <v>290.7</v>
      </c>
      <c r="F542">
        <v>90.550000000000011</v>
      </c>
      <c r="G542">
        <v>5.3999999999999995</v>
      </c>
      <c r="H542">
        <v>1.2</v>
      </c>
      <c r="I542">
        <v>470.20311383399996</v>
      </c>
      <c r="J542">
        <v>72.470359089447655</v>
      </c>
      <c r="K542">
        <v>1250</v>
      </c>
      <c r="L542">
        <v>0</v>
      </c>
      <c r="N542">
        <v>36</v>
      </c>
      <c r="O542" s="60" t="s">
        <v>1522</v>
      </c>
      <c r="P542" t="s">
        <v>852</v>
      </c>
      <c r="Q542" t="s">
        <v>907</v>
      </c>
    </row>
    <row r="543" spans="1:17" x14ac:dyDescent="0.25">
      <c r="A543" t="s">
        <v>19</v>
      </c>
      <c r="B543">
        <v>290.7</v>
      </c>
      <c r="C543">
        <v>90.550000000000011</v>
      </c>
      <c r="D543">
        <v>5.3999999999999995</v>
      </c>
      <c r="E543">
        <v>290.7</v>
      </c>
      <c r="F543">
        <v>89.200000000000017</v>
      </c>
      <c r="G543">
        <v>5.3999999999999995</v>
      </c>
      <c r="H543">
        <v>1.2</v>
      </c>
      <c r="I543">
        <v>470.20311383399996</v>
      </c>
      <c r="J543">
        <v>0.60616471357344437</v>
      </c>
      <c r="K543">
        <v>1000</v>
      </c>
      <c r="L543">
        <v>0</v>
      </c>
      <c r="N543">
        <v>36</v>
      </c>
      <c r="O543" s="60" t="s">
        <v>1523</v>
      </c>
      <c r="P543" t="s">
        <v>853</v>
      </c>
      <c r="Q543" t="s">
        <v>883</v>
      </c>
    </row>
    <row r="544" spans="1:17" x14ac:dyDescent="0.25">
      <c r="A544" t="s">
        <v>19</v>
      </c>
      <c r="B544">
        <v>290.7</v>
      </c>
      <c r="C544">
        <v>89.2</v>
      </c>
      <c r="D544">
        <v>5.3999999999999995</v>
      </c>
      <c r="E544">
        <v>129.29999999999998</v>
      </c>
      <c r="F544">
        <v>89.2</v>
      </c>
      <c r="G544">
        <v>5.3999999999999995</v>
      </c>
      <c r="H544">
        <v>1.2</v>
      </c>
      <c r="I544">
        <v>470.20311383399996</v>
      </c>
      <c r="J544">
        <v>72.470359089447655</v>
      </c>
      <c r="K544">
        <v>1250</v>
      </c>
      <c r="L544">
        <v>0</v>
      </c>
      <c r="N544">
        <v>36</v>
      </c>
      <c r="O544" s="60" t="s">
        <v>1524</v>
      </c>
      <c r="P544" t="s">
        <v>850</v>
      </c>
      <c r="Q544" t="s">
        <v>906</v>
      </c>
    </row>
    <row r="545" spans="1:17" x14ac:dyDescent="0.25">
      <c r="A545" t="s">
        <v>19</v>
      </c>
      <c r="B545">
        <v>129.29999999999998</v>
      </c>
      <c r="C545">
        <v>89.2</v>
      </c>
      <c r="D545">
        <v>5.3999999999999995</v>
      </c>
      <c r="E545">
        <v>129.29999999999998</v>
      </c>
      <c r="F545">
        <v>87.850000000000009</v>
      </c>
      <c r="G545">
        <v>5.3999999999999995</v>
      </c>
      <c r="H545">
        <v>1.2</v>
      </c>
      <c r="I545">
        <v>470.20311383399996</v>
      </c>
      <c r="J545">
        <v>0.60616471357344437</v>
      </c>
      <c r="K545">
        <v>1000</v>
      </c>
      <c r="L545">
        <v>0</v>
      </c>
      <c r="N545">
        <v>36</v>
      </c>
      <c r="O545" s="60" t="s">
        <v>1525</v>
      </c>
      <c r="P545" t="s">
        <v>851</v>
      </c>
      <c r="Q545" t="s">
        <v>875</v>
      </c>
    </row>
    <row r="546" spans="1:17" x14ac:dyDescent="0.25">
      <c r="A546" t="s">
        <v>19</v>
      </c>
      <c r="B546">
        <v>129.29999999999998</v>
      </c>
      <c r="C546">
        <v>87.850000000000009</v>
      </c>
      <c r="D546">
        <v>5.3999999999999995</v>
      </c>
      <c r="E546">
        <v>290.7</v>
      </c>
      <c r="F546">
        <v>87.850000000000009</v>
      </c>
      <c r="G546">
        <v>5.3999999999999995</v>
      </c>
      <c r="H546">
        <v>1.2</v>
      </c>
      <c r="I546">
        <v>470.20311383399996</v>
      </c>
      <c r="J546">
        <v>72.470359089447655</v>
      </c>
      <c r="K546">
        <v>1250</v>
      </c>
      <c r="L546">
        <v>0</v>
      </c>
      <c r="N546">
        <v>36</v>
      </c>
      <c r="O546" s="60" t="s">
        <v>1526</v>
      </c>
      <c r="P546" t="s">
        <v>852</v>
      </c>
      <c r="Q546" t="s">
        <v>907</v>
      </c>
    </row>
    <row r="547" spans="1:17" x14ac:dyDescent="0.25">
      <c r="A547" t="s">
        <v>19</v>
      </c>
      <c r="B547">
        <v>290.7</v>
      </c>
      <c r="C547">
        <v>87.850000000000009</v>
      </c>
      <c r="D547">
        <v>5.3999999999999995</v>
      </c>
      <c r="E547">
        <v>290.7</v>
      </c>
      <c r="F547">
        <v>86.500000000000014</v>
      </c>
      <c r="G547">
        <v>5.3999999999999995</v>
      </c>
      <c r="H547">
        <v>1.2</v>
      </c>
      <c r="I547">
        <v>470.20311383399996</v>
      </c>
      <c r="J547">
        <v>0.60616471357344437</v>
      </c>
      <c r="K547">
        <v>1000</v>
      </c>
      <c r="L547">
        <v>0</v>
      </c>
      <c r="N547">
        <v>36</v>
      </c>
      <c r="O547" s="60" t="s">
        <v>1527</v>
      </c>
      <c r="P547" t="s">
        <v>853</v>
      </c>
      <c r="Q547" t="s">
        <v>884</v>
      </c>
    </row>
    <row r="548" spans="1:17" x14ac:dyDescent="0.25">
      <c r="A548" t="s">
        <v>19</v>
      </c>
      <c r="B548">
        <v>290.7</v>
      </c>
      <c r="C548">
        <v>86.5</v>
      </c>
      <c r="D548">
        <v>5.3999999999999995</v>
      </c>
      <c r="E548">
        <v>129.29999999999998</v>
      </c>
      <c r="F548">
        <v>86.5</v>
      </c>
      <c r="G548">
        <v>5.3999999999999995</v>
      </c>
      <c r="H548">
        <v>1.2</v>
      </c>
      <c r="I548">
        <v>470.20311383399996</v>
      </c>
      <c r="J548">
        <v>72.470359089447655</v>
      </c>
      <c r="K548">
        <v>1250</v>
      </c>
      <c r="L548">
        <v>0</v>
      </c>
      <c r="N548">
        <v>36</v>
      </c>
      <c r="O548" s="60" t="s">
        <v>1528</v>
      </c>
      <c r="P548" t="s">
        <v>850</v>
      </c>
      <c r="Q548" t="s">
        <v>906</v>
      </c>
    </row>
    <row r="549" spans="1:17" x14ac:dyDescent="0.25">
      <c r="A549" t="s">
        <v>19</v>
      </c>
      <c r="B549">
        <v>129.29999999999998</v>
      </c>
      <c r="C549">
        <v>86.5</v>
      </c>
      <c r="D549">
        <v>5.3999999999999995</v>
      </c>
      <c r="E549">
        <v>129.29999999999998</v>
      </c>
      <c r="F549">
        <v>85.15</v>
      </c>
      <c r="G549">
        <v>5.3999999999999995</v>
      </c>
      <c r="H549">
        <v>1.2</v>
      </c>
      <c r="I549">
        <v>470.20311383399996</v>
      </c>
      <c r="J549">
        <v>0.60616471357344437</v>
      </c>
      <c r="K549">
        <v>1000</v>
      </c>
      <c r="L549">
        <v>0</v>
      </c>
      <c r="N549">
        <v>36</v>
      </c>
      <c r="O549" s="60" t="s">
        <v>1529</v>
      </c>
      <c r="P549" t="s">
        <v>851</v>
      </c>
      <c r="Q549" t="s">
        <v>876</v>
      </c>
    </row>
    <row r="550" spans="1:17" x14ac:dyDescent="0.25">
      <c r="A550" t="s">
        <v>19</v>
      </c>
      <c r="B550">
        <v>129.29999999999998</v>
      </c>
      <c r="C550">
        <v>85.15</v>
      </c>
      <c r="D550">
        <v>5.3999999999999995</v>
      </c>
      <c r="E550">
        <v>290.7</v>
      </c>
      <c r="F550">
        <v>85.15</v>
      </c>
      <c r="G550">
        <v>5.3999999999999995</v>
      </c>
      <c r="H550">
        <v>1.2</v>
      </c>
      <c r="I550">
        <v>470.20311383399996</v>
      </c>
      <c r="J550">
        <v>72.470359089447655</v>
      </c>
      <c r="K550">
        <v>1250</v>
      </c>
      <c r="L550">
        <v>0</v>
      </c>
      <c r="N550">
        <v>36</v>
      </c>
      <c r="O550" s="60" t="s">
        <v>1530</v>
      </c>
      <c r="P550" t="s">
        <v>852</v>
      </c>
      <c r="Q550" t="s">
        <v>907</v>
      </c>
    </row>
    <row r="551" spans="1:17" x14ac:dyDescent="0.25">
      <c r="A551" t="s">
        <v>19</v>
      </c>
      <c r="B551">
        <v>290.7</v>
      </c>
      <c r="C551">
        <v>85.15</v>
      </c>
      <c r="D551">
        <v>5.3999999999999995</v>
      </c>
      <c r="E551">
        <v>290.7</v>
      </c>
      <c r="F551">
        <v>83.800000000000011</v>
      </c>
      <c r="G551">
        <v>5.3999999999999995</v>
      </c>
      <c r="H551">
        <v>1.2</v>
      </c>
      <c r="I551">
        <v>470.20311383399996</v>
      </c>
      <c r="J551">
        <v>0.60616471357344437</v>
      </c>
      <c r="K551">
        <v>1000</v>
      </c>
      <c r="L551">
        <v>0</v>
      </c>
      <c r="N551">
        <v>36</v>
      </c>
      <c r="O551" s="60" t="s">
        <v>1531</v>
      </c>
      <c r="P551" t="s">
        <v>853</v>
      </c>
      <c r="Q551" t="s">
        <v>885</v>
      </c>
    </row>
    <row r="552" spans="1:17" x14ac:dyDescent="0.25">
      <c r="A552" t="s">
        <v>19</v>
      </c>
      <c r="B552">
        <v>290.7</v>
      </c>
      <c r="C552">
        <v>83.8</v>
      </c>
      <c r="D552">
        <v>5.3999999999999995</v>
      </c>
      <c r="E552">
        <v>129.29999999999998</v>
      </c>
      <c r="F552">
        <v>83.8</v>
      </c>
      <c r="G552">
        <v>5.3999999999999995</v>
      </c>
      <c r="H552">
        <v>1.2</v>
      </c>
      <c r="I552">
        <v>470.20311383399996</v>
      </c>
      <c r="J552">
        <v>72.470359089447655</v>
      </c>
      <c r="K552">
        <v>1250</v>
      </c>
      <c r="L552">
        <v>0</v>
      </c>
      <c r="N552">
        <v>36</v>
      </c>
      <c r="O552" s="60" t="s">
        <v>1532</v>
      </c>
      <c r="P552" t="s">
        <v>850</v>
      </c>
      <c r="Q552" t="s">
        <v>906</v>
      </c>
    </row>
    <row r="553" spans="1:17" x14ac:dyDescent="0.25">
      <c r="A553" t="s">
        <v>19</v>
      </c>
      <c r="B553">
        <v>129.29999999999998</v>
      </c>
      <c r="C553">
        <v>83.8</v>
      </c>
      <c r="D553">
        <v>5.3999999999999995</v>
      </c>
      <c r="E553">
        <v>129.29999999999998</v>
      </c>
      <c r="F553">
        <v>82.45</v>
      </c>
      <c r="G553">
        <v>5.3999999999999995</v>
      </c>
      <c r="H553">
        <v>1.2</v>
      </c>
      <c r="I553">
        <v>470.20311383399996</v>
      </c>
      <c r="J553">
        <v>0.60616471357344437</v>
      </c>
      <c r="K553">
        <v>1000</v>
      </c>
      <c r="L553">
        <v>0</v>
      </c>
      <c r="N553">
        <v>36</v>
      </c>
      <c r="O553" s="60" t="s">
        <v>1533</v>
      </c>
      <c r="P553" t="s">
        <v>851</v>
      </c>
      <c r="Q553" t="s">
        <v>877</v>
      </c>
    </row>
    <row r="554" spans="1:17" x14ac:dyDescent="0.25">
      <c r="A554" t="s">
        <v>19</v>
      </c>
      <c r="B554">
        <v>129.29999999999998</v>
      </c>
      <c r="C554">
        <v>82.45</v>
      </c>
      <c r="D554">
        <v>5.3999999999999995</v>
      </c>
      <c r="E554">
        <v>290.7</v>
      </c>
      <c r="F554">
        <v>82.45</v>
      </c>
      <c r="G554">
        <v>5.3999999999999995</v>
      </c>
      <c r="H554">
        <v>1.2</v>
      </c>
      <c r="I554">
        <v>470.20311383399996</v>
      </c>
      <c r="J554">
        <v>72.470359089447655</v>
      </c>
      <c r="K554">
        <v>1250</v>
      </c>
      <c r="L554">
        <v>0</v>
      </c>
      <c r="N554">
        <v>36</v>
      </c>
      <c r="O554" s="60" t="s">
        <v>1534</v>
      </c>
      <c r="P554" t="s">
        <v>852</v>
      </c>
      <c r="Q554" t="s">
        <v>907</v>
      </c>
    </row>
    <row r="555" spans="1:17" x14ac:dyDescent="0.25">
      <c r="A555" t="s">
        <v>19</v>
      </c>
      <c r="B555">
        <v>290.7</v>
      </c>
      <c r="C555">
        <v>82.45</v>
      </c>
      <c r="D555">
        <v>5.3999999999999995</v>
      </c>
      <c r="E555">
        <v>290.7</v>
      </c>
      <c r="F555">
        <v>81.100000000000009</v>
      </c>
      <c r="G555">
        <v>5.3999999999999995</v>
      </c>
      <c r="H555">
        <v>1.2</v>
      </c>
      <c r="I555">
        <v>470.20311383399996</v>
      </c>
      <c r="J555">
        <v>0.60616471357344437</v>
      </c>
      <c r="K555">
        <v>1000</v>
      </c>
      <c r="L555">
        <v>0</v>
      </c>
      <c r="N555">
        <v>36</v>
      </c>
      <c r="O555" s="60" t="s">
        <v>1535</v>
      </c>
      <c r="P555" t="s">
        <v>853</v>
      </c>
      <c r="Q555" t="s">
        <v>886</v>
      </c>
    </row>
    <row r="556" spans="1:17" x14ac:dyDescent="0.25">
      <c r="A556" t="s">
        <v>19</v>
      </c>
      <c r="B556">
        <v>290.7</v>
      </c>
      <c r="C556">
        <v>81.099999999999994</v>
      </c>
      <c r="D556">
        <v>5.3999999999999995</v>
      </c>
      <c r="E556">
        <v>129.29999999999998</v>
      </c>
      <c r="F556">
        <v>81.099999999999994</v>
      </c>
      <c r="G556">
        <v>5.3999999999999995</v>
      </c>
      <c r="H556">
        <v>1.2</v>
      </c>
      <c r="I556">
        <v>470.20311383399996</v>
      </c>
      <c r="J556">
        <v>72.470359089447655</v>
      </c>
      <c r="K556">
        <v>1250</v>
      </c>
      <c r="L556">
        <v>0</v>
      </c>
      <c r="N556">
        <v>36</v>
      </c>
      <c r="O556" s="60" t="s">
        <v>1536</v>
      </c>
      <c r="P556" t="s">
        <v>850</v>
      </c>
      <c r="Q556" t="s">
        <v>906</v>
      </c>
    </row>
    <row r="557" spans="1:17" x14ac:dyDescent="0.25">
      <c r="A557" t="s">
        <v>19</v>
      </c>
      <c r="B557">
        <v>129.29999999999998</v>
      </c>
      <c r="C557">
        <v>81.099999999999994</v>
      </c>
      <c r="D557">
        <v>5.3999999999999995</v>
      </c>
      <c r="E557">
        <v>129.29999999999998</v>
      </c>
      <c r="F557">
        <v>79.75</v>
      </c>
      <c r="G557">
        <v>5.3999999999999995</v>
      </c>
      <c r="H557">
        <v>1.2</v>
      </c>
      <c r="I557">
        <v>470.20311383399996</v>
      </c>
      <c r="J557">
        <v>0.60616471357344437</v>
      </c>
      <c r="K557">
        <v>1000</v>
      </c>
      <c r="L557">
        <v>0</v>
      </c>
      <c r="N557">
        <v>36</v>
      </c>
      <c r="O557" s="60" t="s">
        <v>1537</v>
      </c>
      <c r="P557" t="s">
        <v>851</v>
      </c>
      <c r="Q557" t="s">
        <v>878</v>
      </c>
    </row>
    <row r="558" spans="1:17" x14ac:dyDescent="0.25">
      <c r="A558" t="s">
        <v>19</v>
      </c>
      <c r="B558">
        <v>129.29999999999998</v>
      </c>
      <c r="C558">
        <v>79.75</v>
      </c>
      <c r="D558">
        <v>5.3999999999999995</v>
      </c>
      <c r="E558">
        <v>290.7</v>
      </c>
      <c r="F558">
        <v>79.75</v>
      </c>
      <c r="G558">
        <v>5.3999999999999995</v>
      </c>
      <c r="H558">
        <v>1.2</v>
      </c>
      <c r="I558">
        <v>470.20311383399996</v>
      </c>
      <c r="J558">
        <v>72.470359089447655</v>
      </c>
      <c r="K558">
        <v>1250</v>
      </c>
      <c r="L558">
        <v>0</v>
      </c>
      <c r="N558">
        <v>36</v>
      </c>
      <c r="O558" s="60" t="s">
        <v>1538</v>
      </c>
      <c r="P558" t="s">
        <v>852</v>
      </c>
      <c r="Q558" t="s">
        <v>907</v>
      </c>
    </row>
    <row r="559" spans="1:17" x14ac:dyDescent="0.25">
      <c r="A559" t="s">
        <v>19</v>
      </c>
      <c r="B559">
        <v>290.7</v>
      </c>
      <c r="C559">
        <v>79.75</v>
      </c>
      <c r="D559">
        <v>5.3999999999999995</v>
      </c>
      <c r="E559">
        <v>290.7</v>
      </c>
      <c r="F559">
        <v>78.400000000000006</v>
      </c>
      <c r="G559">
        <v>5.3999999999999995</v>
      </c>
      <c r="H559">
        <v>1.2</v>
      </c>
      <c r="I559">
        <v>470.20311383399996</v>
      </c>
      <c r="J559">
        <v>0.60616471357344437</v>
      </c>
      <c r="K559">
        <v>1000</v>
      </c>
      <c r="L559">
        <v>0</v>
      </c>
      <c r="N559">
        <v>36</v>
      </c>
      <c r="O559" s="60" t="s">
        <v>1539</v>
      </c>
      <c r="P559" t="s">
        <v>853</v>
      </c>
      <c r="Q559" t="s">
        <v>887</v>
      </c>
    </row>
    <row r="560" spans="1:17" x14ac:dyDescent="0.25">
      <c r="A560" t="s">
        <v>19</v>
      </c>
      <c r="B560">
        <v>290.7</v>
      </c>
      <c r="C560">
        <v>78.400000000000006</v>
      </c>
      <c r="D560">
        <v>5.3999999999999995</v>
      </c>
      <c r="E560">
        <v>129.29999999999998</v>
      </c>
      <c r="F560">
        <v>78.400000000000006</v>
      </c>
      <c r="G560">
        <v>5.3999999999999995</v>
      </c>
      <c r="H560">
        <v>1.2</v>
      </c>
      <c r="I560">
        <v>470.20311383399996</v>
      </c>
      <c r="J560">
        <v>72.470359089447655</v>
      </c>
      <c r="K560">
        <v>1250</v>
      </c>
      <c r="L560">
        <v>0</v>
      </c>
      <c r="N560">
        <v>36</v>
      </c>
      <c r="O560" s="60" t="s">
        <v>1540</v>
      </c>
      <c r="P560" t="s">
        <v>850</v>
      </c>
      <c r="Q560" t="s">
        <v>906</v>
      </c>
    </row>
    <row r="561" spans="1:17" x14ac:dyDescent="0.25">
      <c r="A561" t="s">
        <v>19</v>
      </c>
      <c r="B561">
        <v>129.29999999999998</v>
      </c>
      <c r="C561">
        <v>78.400000000000006</v>
      </c>
      <c r="D561">
        <v>5.3999999999999995</v>
      </c>
      <c r="E561">
        <v>129.29999999999998</v>
      </c>
      <c r="F561">
        <v>77.050000000000011</v>
      </c>
      <c r="G561">
        <v>5.3999999999999995</v>
      </c>
      <c r="H561">
        <v>1.2</v>
      </c>
      <c r="I561">
        <v>470.20311383399996</v>
      </c>
      <c r="J561">
        <v>0.60616471357344437</v>
      </c>
      <c r="K561">
        <v>1000</v>
      </c>
      <c r="L561">
        <v>0</v>
      </c>
      <c r="N561">
        <v>36</v>
      </c>
      <c r="O561" s="60" t="s">
        <v>1541</v>
      </c>
      <c r="P561" t="s">
        <v>851</v>
      </c>
      <c r="Q561" t="s">
        <v>879</v>
      </c>
    </row>
    <row r="562" spans="1:17" x14ac:dyDescent="0.25">
      <c r="A562" t="s">
        <v>19</v>
      </c>
      <c r="B562">
        <v>129.29999999999998</v>
      </c>
      <c r="C562">
        <v>77.050000000000011</v>
      </c>
      <c r="D562">
        <v>5.3999999999999995</v>
      </c>
      <c r="E562">
        <v>290.7</v>
      </c>
      <c r="F562">
        <v>77.050000000000011</v>
      </c>
      <c r="G562">
        <v>5.3999999999999995</v>
      </c>
      <c r="H562">
        <v>1.2</v>
      </c>
      <c r="I562">
        <v>470.20311383399996</v>
      </c>
      <c r="J562">
        <v>72.470359089447655</v>
      </c>
      <c r="K562">
        <v>1250</v>
      </c>
      <c r="L562">
        <v>0</v>
      </c>
      <c r="N562">
        <v>36</v>
      </c>
      <c r="O562" s="60" t="s">
        <v>1542</v>
      </c>
      <c r="P562" t="s">
        <v>852</v>
      </c>
      <c r="Q562" t="s">
        <v>907</v>
      </c>
    </row>
    <row r="563" spans="1:17" x14ac:dyDescent="0.25">
      <c r="A563" t="s">
        <v>19</v>
      </c>
      <c r="B563">
        <v>290.7</v>
      </c>
      <c r="C563">
        <v>77.050000000000011</v>
      </c>
      <c r="D563">
        <v>5.3999999999999995</v>
      </c>
      <c r="E563">
        <v>290.7</v>
      </c>
      <c r="F563">
        <v>75.700000000000017</v>
      </c>
      <c r="G563">
        <v>5.3999999999999995</v>
      </c>
      <c r="H563">
        <v>1.2</v>
      </c>
      <c r="I563">
        <v>470.20311383399996</v>
      </c>
      <c r="J563">
        <v>0.60616471357344437</v>
      </c>
      <c r="K563">
        <v>1000</v>
      </c>
      <c r="L563">
        <v>0</v>
      </c>
      <c r="N563">
        <v>36</v>
      </c>
      <c r="O563" s="60" t="s">
        <v>1543</v>
      </c>
      <c r="P563" t="s">
        <v>853</v>
      </c>
      <c r="Q563" t="s">
        <v>888</v>
      </c>
    </row>
    <row r="564" spans="1:17" x14ac:dyDescent="0.25">
      <c r="A564" t="s">
        <v>39</v>
      </c>
      <c r="B564">
        <v>0</v>
      </c>
      <c r="C564">
        <v>0</v>
      </c>
      <c r="N564">
        <v>36</v>
      </c>
      <c r="O564" s="60" t="s">
        <v>1544</v>
      </c>
      <c r="P564" t="s">
        <v>1471</v>
      </c>
      <c r="Q564" t="s">
        <v>897</v>
      </c>
    </row>
    <row r="565" spans="1:17" x14ac:dyDescent="0.25">
      <c r="A565" t="s">
        <v>898</v>
      </c>
      <c r="B565">
        <v>0.9</v>
      </c>
      <c r="C565">
        <v>3000</v>
      </c>
      <c r="N565">
        <v>36</v>
      </c>
      <c r="O565" s="60" t="s">
        <v>1544</v>
      </c>
      <c r="P565" t="s">
        <v>1471</v>
      </c>
      <c r="Q565" t="s">
        <v>904</v>
      </c>
    </row>
    <row r="566" spans="1:17" x14ac:dyDescent="0.25">
      <c r="A566" t="s">
        <v>23</v>
      </c>
      <c r="B566">
        <v>290.7</v>
      </c>
      <c r="C566">
        <v>75.700000000000017</v>
      </c>
      <c r="D566">
        <v>5.3999999999999995</v>
      </c>
      <c r="E566">
        <v>290.7</v>
      </c>
      <c r="F566">
        <v>100</v>
      </c>
      <c r="G566">
        <v>6.3</v>
      </c>
      <c r="H566">
        <v>0</v>
      </c>
      <c r="I566">
        <v>0</v>
      </c>
      <c r="K566">
        <v>3000</v>
      </c>
      <c r="N566">
        <v>0</v>
      </c>
      <c r="O566" s="60">
        <v>0</v>
      </c>
      <c r="P566" t="s">
        <v>659</v>
      </c>
      <c r="Q566" t="s">
        <v>1053</v>
      </c>
    </row>
    <row r="567" spans="1:17" x14ac:dyDescent="0.25">
      <c r="A567" t="s">
        <v>19</v>
      </c>
      <c r="B567">
        <v>290.7</v>
      </c>
      <c r="C567">
        <v>100</v>
      </c>
      <c r="D567">
        <v>6.3</v>
      </c>
      <c r="E567">
        <v>129.29999999999998</v>
      </c>
      <c r="F567">
        <v>100</v>
      </c>
      <c r="G567">
        <v>6.3</v>
      </c>
      <c r="H567">
        <v>1.2</v>
      </c>
      <c r="I567">
        <v>470.20311383399996</v>
      </c>
      <c r="J567">
        <v>72.470359089447655</v>
      </c>
      <c r="K567">
        <v>1250</v>
      </c>
      <c r="L567">
        <v>0</v>
      </c>
      <c r="N567">
        <v>36</v>
      </c>
      <c r="O567" s="60" t="s">
        <v>1545</v>
      </c>
      <c r="P567" t="s">
        <v>846</v>
      </c>
      <c r="Q567" t="s">
        <v>906</v>
      </c>
    </row>
    <row r="568" spans="1:17" x14ac:dyDescent="0.25">
      <c r="A568" t="s">
        <v>19</v>
      </c>
      <c r="B568">
        <v>129.29999999999998</v>
      </c>
      <c r="C568">
        <v>100</v>
      </c>
      <c r="D568">
        <v>6.3</v>
      </c>
      <c r="E568">
        <v>129.29999999999998</v>
      </c>
      <c r="F568">
        <v>98.65</v>
      </c>
      <c r="G568">
        <v>6.3</v>
      </c>
      <c r="H568">
        <v>1.2</v>
      </c>
      <c r="I568">
        <v>470.20311383399996</v>
      </c>
      <c r="J568">
        <v>0.60616471357344437</v>
      </c>
      <c r="K568">
        <v>1000</v>
      </c>
      <c r="L568">
        <v>0</v>
      </c>
      <c r="N568">
        <v>36</v>
      </c>
      <c r="O568" s="60" t="s">
        <v>1546</v>
      </c>
      <c r="P568" t="s">
        <v>847</v>
      </c>
      <c r="Q568" t="s">
        <v>801</v>
      </c>
    </row>
    <row r="569" spans="1:17" x14ac:dyDescent="0.25">
      <c r="A569" t="s">
        <v>19</v>
      </c>
      <c r="B569">
        <v>129.29999999999998</v>
      </c>
      <c r="C569">
        <v>98.65</v>
      </c>
      <c r="D569">
        <v>6.3</v>
      </c>
      <c r="E569">
        <v>290.7</v>
      </c>
      <c r="F569">
        <v>98.65</v>
      </c>
      <c r="G569">
        <v>6.3</v>
      </c>
      <c r="H569">
        <v>1.2</v>
      </c>
      <c r="I569">
        <v>470.20311383399996</v>
      </c>
      <c r="J569">
        <v>72.470359089447655</v>
      </c>
      <c r="K569">
        <v>1250</v>
      </c>
      <c r="L569">
        <v>0</v>
      </c>
      <c r="N569">
        <v>36</v>
      </c>
      <c r="O569" s="60" t="s">
        <v>1547</v>
      </c>
      <c r="P569" t="s">
        <v>848</v>
      </c>
      <c r="Q569" t="s">
        <v>907</v>
      </c>
    </row>
    <row r="570" spans="1:17" x14ac:dyDescent="0.25">
      <c r="A570" t="s">
        <v>19</v>
      </c>
      <c r="B570">
        <v>290.7</v>
      </c>
      <c r="C570">
        <v>98.65</v>
      </c>
      <c r="D570">
        <v>6.3</v>
      </c>
      <c r="E570">
        <v>290.7</v>
      </c>
      <c r="F570">
        <v>97.300000000000011</v>
      </c>
      <c r="G570">
        <v>6.3</v>
      </c>
      <c r="H570">
        <v>1.2</v>
      </c>
      <c r="I570">
        <v>470.20311383399996</v>
      </c>
      <c r="J570">
        <v>0.60616471357344437</v>
      </c>
      <c r="K570">
        <v>1000</v>
      </c>
      <c r="L570">
        <v>0</v>
      </c>
      <c r="N570">
        <v>36</v>
      </c>
      <c r="O570" s="60" t="s">
        <v>1548</v>
      </c>
      <c r="P570" t="s">
        <v>849</v>
      </c>
      <c r="Q570" t="s">
        <v>880</v>
      </c>
    </row>
    <row r="571" spans="1:17" x14ac:dyDescent="0.25">
      <c r="A571" t="s">
        <v>19</v>
      </c>
      <c r="B571">
        <v>290.7</v>
      </c>
      <c r="C571">
        <v>97.3</v>
      </c>
      <c r="D571">
        <v>6.3</v>
      </c>
      <c r="E571">
        <v>129.29999999999998</v>
      </c>
      <c r="F571">
        <v>97.3</v>
      </c>
      <c r="G571">
        <v>6.3</v>
      </c>
      <c r="H571">
        <v>1.2</v>
      </c>
      <c r="I571">
        <v>470.20311383399996</v>
      </c>
      <c r="J571">
        <v>72.470359089447655</v>
      </c>
      <c r="K571">
        <v>1250</v>
      </c>
      <c r="L571">
        <v>0</v>
      </c>
      <c r="N571">
        <v>36</v>
      </c>
      <c r="O571" s="60" t="s">
        <v>1549</v>
      </c>
      <c r="P571" t="s">
        <v>1054</v>
      </c>
      <c r="Q571" t="s">
        <v>906</v>
      </c>
    </row>
    <row r="572" spans="1:17" x14ac:dyDescent="0.25">
      <c r="A572" t="s">
        <v>19</v>
      </c>
      <c r="B572">
        <v>129.29999999999998</v>
      </c>
      <c r="C572">
        <v>97.3</v>
      </c>
      <c r="D572">
        <v>6.3</v>
      </c>
      <c r="E572">
        <v>129.29999999999998</v>
      </c>
      <c r="F572">
        <v>95.95</v>
      </c>
      <c r="G572">
        <v>6.3</v>
      </c>
      <c r="H572">
        <v>1.2</v>
      </c>
      <c r="I572">
        <v>470.20311383399996</v>
      </c>
      <c r="J572">
        <v>0.60616471357344437</v>
      </c>
      <c r="K572">
        <v>1000</v>
      </c>
      <c r="L572">
        <v>0</v>
      </c>
      <c r="N572">
        <v>36</v>
      </c>
      <c r="O572" s="60" t="s">
        <v>1550</v>
      </c>
      <c r="P572" t="s">
        <v>1055</v>
      </c>
      <c r="Q572" t="s">
        <v>870</v>
      </c>
    </row>
    <row r="573" spans="1:17" x14ac:dyDescent="0.25">
      <c r="A573" t="s">
        <v>19</v>
      </c>
      <c r="B573">
        <v>129.29999999999998</v>
      </c>
      <c r="C573">
        <v>95.95</v>
      </c>
      <c r="D573">
        <v>6.3</v>
      </c>
      <c r="E573">
        <v>290.7</v>
      </c>
      <c r="F573">
        <v>95.95</v>
      </c>
      <c r="G573">
        <v>6.3</v>
      </c>
      <c r="H573">
        <v>1.2</v>
      </c>
      <c r="I573">
        <v>470.20311383399996</v>
      </c>
      <c r="J573">
        <v>72.470359089447655</v>
      </c>
      <c r="K573">
        <v>1250</v>
      </c>
      <c r="L573">
        <v>0</v>
      </c>
      <c r="N573">
        <v>36</v>
      </c>
      <c r="O573" s="60" t="s">
        <v>1551</v>
      </c>
      <c r="P573" t="s">
        <v>1056</v>
      </c>
      <c r="Q573" t="s">
        <v>907</v>
      </c>
    </row>
    <row r="574" spans="1:17" x14ac:dyDescent="0.25">
      <c r="A574" t="s">
        <v>19</v>
      </c>
      <c r="B574">
        <v>290.7</v>
      </c>
      <c r="C574">
        <v>95.95</v>
      </c>
      <c r="D574">
        <v>6.3</v>
      </c>
      <c r="E574">
        <v>290.7</v>
      </c>
      <c r="F574">
        <v>94.600000000000009</v>
      </c>
      <c r="G574">
        <v>6.3</v>
      </c>
      <c r="H574">
        <v>1.2</v>
      </c>
      <c r="I574">
        <v>470.20311383399996</v>
      </c>
      <c r="J574">
        <v>0.60616471357344437</v>
      </c>
      <c r="K574">
        <v>1000</v>
      </c>
      <c r="L574">
        <v>0</v>
      </c>
      <c r="N574">
        <v>36</v>
      </c>
      <c r="O574" s="60" t="s">
        <v>1552</v>
      </c>
      <c r="P574" t="s">
        <v>1057</v>
      </c>
      <c r="Q574" t="s">
        <v>881</v>
      </c>
    </row>
    <row r="575" spans="1:17" x14ac:dyDescent="0.25">
      <c r="A575" t="s">
        <v>19</v>
      </c>
      <c r="B575">
        <v>290.7</v>
      </c>
      <c r="C575">
        <v>94.6</v>
      </c>
      <c r="D575">
        <v>6.3</v>
      </c>
      <c r="E575">
        <v>129.29999999999998</v>
      </c>
      <c r="F575">
        <v>94.6</v>
      </c>
      <c r="G575">
        <v>6.3</v>
      </c>
      <c r="H575">
        <v>1.2</v>
      </c>
      <c r="I575">
        <v>470.20311383399996</v>
      </c>
      <c r="J575">
        <v>72.470359089447655</v>
      </c>
      <c r="K575">
        <v>1250</v>
      </c>
      <c r="L575">
        <v>0</v>
      </c>
      <c r="N575">
        <v>36</v>
      </c>
      <c r="O575" s="60" t="s">
        <v>1553</v>
      </c>
      <c r="P575" t="s">
        <v>1054</v>
      </c>
      <c r="Q575" t="s">
        <v>906</v>
      </c>
    </row>
    <row r="576" spans="1:17" x14ac:dyDescent="0.25">
      <c r="A576" t="s">
        <v>19</v>
      </c>
      <c r="B576">
        <v>129.29999999999998</v>
      </c>
      <c r="C576">
        <v>94.6</v>
      </c>
      <c r="D576">
        <v>6.3</v>
      </c>
      <c r="E576">
        <v>129.29999999999998</v>
      </c>
      <c r="F576">
        <v>93.25</v>
      </c>
      <c r="G576">
        <v>6.3</v>
      </c>
      <c r="H576">
        <v>1.2</v>
      </c>
      <c r="I576">
        <v>470.20311383399996</v>
      </c>
      <c r="J576">
        <v>0.60616471357344437</v>
      </c>
      <c r="K576">
        <v>1000</v>
      </c>
      <c r="L576">
        <v>0</v>
      </c>
      <c r="N576">
        <v>36</v>
      </c>
      <c r="O576" s="60" t="s">
        <v>1554</v>
      </c>
      <c r="P576" t="s">
        <v>1055</v>
      </c>
      <c r="Q576" t="s">
        <v>873</v>
      </c>
    </row>
    <row r="577" spans="1:17" x14ac:dyDescent="0.25">
      <c r="A577" t="s">
        <v>19</v>
      </c>
      <c r="B577">
        <v>129.29999999999998</v>
      </c>
      <c r="C577">
        <v>93.25</v>
      </c>
      <c r="D577">
        <v>6.3</v>
      </c>
      <c r="E577">
        <v>290.7</v>
      </c>
      <c r="F577">
        <v>93.25</v>
      </c>
      <c r="G577">
        <v>6.3</v>
      </c>
      <c r="H577">
        <v>1.2</v>
      </c>
      <c r="I577">
        <v>470.20311383399996</v>
      </c>
      <c r="J577">
        <v>72.470359089447655</v>
      </c>
      <c r="K577">
        <v>1250</v>
      </c>
      <c r="L577">
        <v>0</v>
      </c>
      <c r="N577">
        <v>36</v>
      </c>
      <c r="O577" s="60" t="s">
        <v>1555</v>
      </c>
      <c r="P577" t="s">
        <v>1056</v>
      </c>
      <c r="Q577" t="s">
        <v>907</v>
      </c>
    </row>
    <row r="578" spans="1:17" x14ac:dyDescent="0.25">
      <c r="A578" t="s">
        <v>19</v>
      </c>
      <c r="B578">
        <v>290.7</v>
      </c>
      <c r="C578">
        <v>93.25</v>
      </c>
      <c r="D578">
        <v>6.3</v>
      </c>
      <c r="E578">
        <v>290.7</v>
      </c>
      <c r="F578">
        <v>91.9</v>
      </c>
      <c r="G578">
        <v>6.3</v>
      </c>
      <c r="H578">
        <v>1.2</v>
      </c>
      <c r="I578">
        <v>470.20311383399996</v>
      </c>
      <c r="J578">
        <v>0.60616471357344437</v>
      </c>
      <c r="K578">
        <v>1000</v>
      </c>
      <c r="L578">
        <v>0</v>
      </c>
      <c r="N578">
        <v>36</v>
      </c>
      <c r="O578" s="60" t="s">
        <v>1556</v>
      </c>
      <c r="P578" t="s">
        <v>1057</v>
      </c>
      <c r="Q578" t="s">
        <v>882</v>
      </c>
    </row>
    <row r="579" spans="1:17" x14ac:dyDescent="0.25">
      <c r="A579" t="s">
        <v>19</v>
      </c>
      <c r="B579">
        <v>290.7</v>
      </c>
      <c r="C579">
        <v>91.9</v>
      </c>
      <c r="D579">
        <v>6.3</v>
      </c>
      <c r="E579">
        <v>129.29999999999998</v>
      </c>
      <c r="F579">
        <v>91.9</v>
      </c>
      <c r="G579">
        <v>6.3</v>
      </c>
      <c r="H579">
        <v>1.2</v>
      </c>
      <c r="I579">
        <v>470.20311383399996</v>
      </c>
      <c r="J579">
        <v>72.470359089447655</v>
      </c>
      <c r="K579">
        <v>1250</v>
      </c>
      <c r="L579">
        <v>0</v>
      </c>
      <c r="N579">
        <v>36</v>
      </c>
      <c r="O579" s="60" t="s">
        <v>1557</v>
      </c>
      <c r="P579" t="s">
        <v>1054</v>
      </c>
      <c r="Q579" t="s">
        <v>906</v>
      </c>
    </row>
    <row r="580" spans="1:17" x14ac:dyDescent="0.25">
      <c r="A580" t="s">
        <v>19</v>
      </c>
      <c r="B580">
        <v>129.29999999999998</v>
      </c>
      <c r="C580">
        <v>91.9</v>
      </c>
      <c r="D580">
        <v>6.3</v>
      </c>
      <c r="E580">
        <v>129.29999999999998</v>
      </c>
      <c r="F580">
        <v>90.550000000000011</v>
      </c>
      <c r="G580">
        <v>6.3</v>
      </c>
      <c r="H580">
        <v>1.2</v>
      </c>
      <c r="I580">
        <v>470.20311383399996</v>
      </c>
      <c r="J580">
        <v>0.60616471357344437</v>
      </c>
      <c r="K580">
        <v>1000</v>
      </c>
      <c r="L580">
        <v>0</v>
      </c>
      <c r="N580">
        <v>36</v>
      </c>
      <c r="O580" s="60" t="s">
        <v>1558</v>
      </c>
      <c r="P580" t="s">
        <v>1055</v>
      </c>
      <c r="Q580" t="s">
        <v>874</v>
      </c>
    </row>
    <row r="581" spans="1:17" x14ac:dyDescent="0.25">
      <c r="A581" t="s">
        <v>19</v>
      </c>
      <c r="B581">
        <v>129.29999999999998</v>
      </c>
      <c r="C581">
        <v>90.550000000000011</v>
      </c>
      <c r="D581">
        <v>6.3</v>
      </c>
      <c r="E581">
        <v>290.7</v>
      </c>
      <c r="F581">
        <v>90.550000000000011</v>
      </c>
      <c r="G581">
        <v>6.3</v>
      </c>
      <c r="H581">
        <v>1.2</v>
      </c>
      <c r="I581">
        <v>470.20311383399996</v>
      </c>
      <c r="J581">
        <v>72.470359089447655</v>
      </c>
      <c r="K581">
        <v>1250</v>
      </c>
      <c r="L581">
        <v>0</v>
      </c>
      <c r="N581">
        <v>36</v>
      </c>
      <c r="O581" s="60" t="s">
        <v>1559</v>
      </c>
      <c r="P581" t="s">
        <v>1056</v>
      </c>
      <c r="Q581" t="s">
        <v>907</v>
      </c>
    </row>
    <row r="582" spans="1:17" x14ac:dyDescent="0.25">
      <c r="A582" t="s">
        <v>19</v>
      </c>
      <c r="B582">
        <v>290.7</v>
      </c>
      <c r="C582">
        <v>90.550000000000011</v>
      </c>
      <c r="D582">
        <v>6.3</v>
      </c>
      <c r="E582">
        <v>290.7</v>
      </c>
      <c r="F582">
        <v>89.200000000000017</v>
      </c>
      <c r="G582">
        <v>6.3</v>
      </c>
      <c r="H582">
        <v>1.2</v>
      </c>
      <c r="I582">
        <v>470.20311383399996</v>
      </c>
      <c r="J582">
        <v>0.60616471357344437</v>
      </c>
      <c r="K582">
        <v>1000</v>
      </c>
      <c r="L582">
        <v>0</v>
      </c>
      <c r="N582">
        <v>36</v>
      </c>
      <c r="O582" s="60" t="s">
        <v>1560</v>
      </c>
      <c r="P582" t="s">
        <v>1057</v>
      </c>
      <c r="Q582" t="s">
        <v>883</v>
      </c>
    </row>
    <row r="583" spans="1:17" x14ac:dyDescent="0.25">
      <c r="A583" t="s">
        <v>19</v>
      </c>
      <c r="B583">
        <v>290.7</v>
      </c>
      <c r="C583">
        <v>89.2</v>
      </c>
      <c r="D583">
        <v>6.3</v>
      </c>
      <c r="E583">
        <v>129.29999999999998</v>
      </c>
      <c r="F583">
        <v>89.2</v>
      </c>
      <c r="G583">
        <v>6.3</v>
      </c>
      <c r="H583">
        <v>1.2</v>
      </c>
      <c r="I583">
        <v>470.20311383399996</v>
      </c>
      <c r="J583">
        <v>72.470359089447655</v>
      </c>
      <c r="K583">
        <v>1250</v>
      </c>
      <c r="L583">
        <v>0</v>
      </c>
      <c r="N583">
        <v>36</v>
      </c>
      <c r="O583" s="60" t="s">
        <v>1561</v>
      </c>
      <c r="P583" t="s">
        <v>1054</v>
      </c>
      <c r="Q583" t="s">
        <v>906</v>
      </c>
    </row>
    <row r="584" spans="1:17" x14ac:dyDescent="0.25">
      <c r="A584" t="s">
        <v>19</v>
      </c>
      <c r="B584">
        <v>129.29999999999998</v>
      </c>
      <c r="C584">
        <v>89.2</v>
      </c>
      <c r="D584">
        <v>6.3</v>
      </c>
      <c r="E584">
        <v>129.29999999999998</v>
      </c>
      <c r="F584">
        <v>87.850000000000009</v>
      </c>
      <c r="G584">
        <v>6.3</v>
      </c>
      <c r="H584">
        <v>1.2</v>
      </c>
      <c r="I584">
        <v>470.20311383399996</v>
      </c>
      <c r="J584">
        <v>0.60616471357344437</v>
      </c>
      <c r="K584">
        <v>1000</v>
      </c>
      <c r="L584">
        <v>0</v>
      </c>
      <c r="N584">
        <v>36</v>
      </c>
      <c r="O584" s="60" t="s">
        <v>1562</v>
      </c>
      <c r="P584" t="s">
        <v>1055</v>
      </c>
      <c r="Q584" t="s">
        <v>875</v>
      </c>
    </row>
    <row r="585" spans="1:17" x14ac:dyDescent="0.25">
      <c r="A585" t="s">
        <v>19</v>
      </c>
      <c r="B585">
        <v>129.29999999999998</v>
      </c>
      <c r="C585">
        <v>87.850000000000009</v>
      </c>
      <c r="D585">
        <v>6.3</v>
      </c>
      <c r="E585">
        <v>290.7</v>
      </c>
      <c r="F585">
        <v>87.850000000000009</v>
      </c>
      <c r="G585">
        <v>6.3</v>
      </c>
      <c r="H585">
        <v>1.2</v>
      </c>
      <c r="I585">
        <v>470.20311383399996</v>
      </c>
      <c r="J585">
        <v>72.470359089447655</v>
      </c>
      <c r="K585">
        <v>1250</v>
      </c>
      <c r="L585">
        <v>0</v>
      </c>
      <c r="N585">
        <v>36</v>
      </c>
      <c r="O585" s="60" t="s">
        <v>1563</v>
      </c>
      <c r="P585" t="s">
        <v>1056</v>
      </c>
      <c r="Q585" t="s">
        <v>907</v>
      </c>
    </row>
    <row r="586" spans="1:17" x14ac:dyDescent="0.25">
      <c r="A586" t="s">
        <v>19</v>
      </c>
      <c r="B586">
        <v>290.7</v>
      </c>
      <c r="C586">
        <v>87.850000000000009</v>
      </c>
      <c r="D586">
        <v>6.3</v>
      </c>
      <c r="E586">
        <v>290.7</v>
      </c>
      <c r="F586">
        <v>86.500000000000014</v>
      </c>
      <c r="G586">
        <v>6.3</v>
      </c>
      <c r="H586">
        <v>1.2</v>
      </c>
      <c r="I586">
        <v>470.20311383399996</v>
      </c>
      <c r="J586">
        <v>0.60616471357344437</v>
      </c>
      <c r="K586">
        <v>1000</v>
      </c>
      <c r="L586">
        <v>0</v>
      </c>
      <c r="N586">
        <v>36</v>
      </c>
      <c r="O586" s="60" t="s">
        <v>1564</v>
      </c>
      <c r="P586" t="s">
        <v>1057</v>
      </c>
      <c r="Q586" t="s">
        <v>884</v>
      </c>
    </row>
    <row r="587" spans="1:17" x14ac:dyDescent="0.25">
      <c r="A587" t="s">
        <v>19</v>
      </c>
      <c r="B587">
        <v>290.7</v>
      </c>
      <c r="C587">
        <v>86.5</v>
      </c>
      <c r="D587">
        <v>6.3</v>
      </c>
      <c r="E587">
        <v>129.29999999999998</v>
      </c>
      <c r="F587">
        <v>86.5</v>
      </c>
      <c r="G587">
        <v>6.3</v>
      </c>
      <c r="H587">
        <v>1.2</v>
      </c>
      <c r="I587">
        <v>470.20311383399996</v>
      </c>
      <c r="J587">
        <v>72.470359089447655</v>
      </c>
      <c r="K587">
        <v>1250</v>
      </c>
      <c r="L587">
        <v>0</v>
      </c>
      <c r="N587">
        <v>36</v>
      </c>
      <c r="O587" s="60" t="s">
        <v>1565</v>
      </c>
      <c r="P587" t="s">
        <v>1054</v>
      </c>
      <c r="Q587" t="s">
        <v>906</v>
      </c>
    </row>
    <row r="588" spans="1:17" x14ac:dyDescent="0.25">
      <c r="A588" t="s">
        <v>19</v>
      </c>
      <c r="B588">
        <v>129.29999999999998</v>
      </c>
      <c r="C588">
        <v>86.5</v>
      </c>
      <c r="D588">
        <v>6.3</v>
      </c>
      <c r="E588">
        <v>129.29999999999998</v>
      </c>
      <c r="F588">
        <v>85.15</v>
      </c>
      <c r="G588">
        <v>6.3</v>
      </c>
      <c r="H588">
        <v>1.2</v>
      </c>
      <c r="I588">
        <v>470.20311383399996</v>
      </c>
      <c r="J588">
        <v>0.60616471357344437</v>
      </c>
      <c r="K588">
        <v>1000</v>
      </c>
      <c r="L588">
        <v>0</v>
      </c>
      <c r="N588">
        <v>36</v>
      </c>
      <c r="O588" s="60" t="s">
        <v>1566</v>
      </c>
      <c r="P588" t="s">
        <v>1055</v>
      </c>
      <c r="Q588" t="s">
        <v>876</v>
      </c>
    </row>
    <row r="589" spans="1:17" x14ac:dyDescent="0.25">
      <c r="A589" t="s">
        <v>19</v>
      </c>
      <c r="B589">
        <v>129.29999999999998</v>
      </c>
      <c r="C589">
        <v>85.15</v>
      </c>
      <c r="D589">
        <v>6.3</v>
      </c>
      <c r="E589">
        <v>290.7</v>
      </c>
      <c r="F589">
        <v>85.15</v>
      </c>
      <c r="G589">
        <v>6.3</v>
      </c>
      <c r="H589">
        <v>1.2</v>
      </c>
      <c r="I589">
        <v>470.20311383399996</v>
      </c>
      <c r="J589">
        <v>72.470359089447655</v>
      </c>
      <c r="K589">
        <v>1250</v>
      </c>
      <c r="L589">
        <v>0</v>
      </c>
      <c r="N589">
        <v>36</v>
      </c>
      <c r="O589" s="60" t="s">
        <v>1567</v>
      </c>
      <c r="P589" t="s">
        <v>1056</v>
      </c>
      <c r="Q589" t="s">
        <v>907</v>
      </c>
    </row>
    <row r="590" spans="1:17" x14ac:dyDescent="0.25">
      <c r="A590" t="s">
        <v>19</v>
      </c>
      <c r="B590">
        <v>290.7</v>
      </c>
      <c r="C590">
        <v>85.15</v>
      </c>
      <c r="D590">
        <v>6.3</v>
      </c>
      <c r="E590">
        <v>290.7</v>
      </c>
      <c r="F590">
        <v>83.800000000000011</v>
      </c>
      <c r="G590">
        <v>6.3</v>
      </c>
      <c r="H590">
        <v>1.2</v>
      </c>
      <c r="I590">
        <v>470.20311383399996</v>
      </c>
      <c r="J590">
        <v>0.60616471357344437</v>
      </c>
      <c r="K590">
        <v>1000</v>
      </c>
      <c r="L590">
        <v>0</v>
      </c>
      <c r="N590">
        <v>36</v>
      </c>
      <c r="O590" s="60" t="s">
        <v>1568</v>
      </c>
      <c r="P590" t="s">
        <v>1057</v>
      </c>
      <c r="Q590" t="s">
        <v>885</v>
      </c>
    </row>
    <row r="591" spans="1:17" x14ac:dyDescent="0.25">
      <c r="A591" t="s">
        <v>19</v>
      </c>
      <c r="B591">
        <v>290.7</v>
      </c>
      <c r="C591">
        <v>83.8</v>
      </c>
      <c r="D591">
        <v>6.3</v>
      </c>
      <c r="E591">
        <v>129.29999999999998</v>
      </c>
      <c r="F591">
        <v>83.8</v>
      </c>
      <c r="G591">
        <v>6.3</v>
      </c>
      <c r="H591">
        <v>1.2</v>
      </c>
      <c r="I591">
        <v>470.20311383399996</v>
      </c>
      <c r="J591">
        <v>72.470359089447655</v>
      </c>
      <c r="K591">
        <v>1250</v>
      </c>
      <c r="L591">
        <v>0</v>
      </c>
      <c r="N591">
        <v>36</v>
      </c>
      <c r="O591" s="60" t="s">
        <v>1569</v>
      </c>
      <c r="P591" t="s">
        <v>1054</v>
      </c>
      <c r="Q591" t="s">
        <v>906</v>
      </c>
    </row>
    <row r="592" spans="1:17" x14ac:dyDescent="0.25">
      <c r="A592" t="s">
        <v>19</v>
      </c>
      <c r="B592">
        <v>129.29999999999998</v>
      </c>
      <c r="C592">
        <v>83.8</v>
      </c>
      <c r="D592">
        <v>6.3</v>
      </c>
      <c r="E592">
        <v>129.29999999999998</v>
      </c>
      <c r="F592">
        <v>82.45</v>
      </c>
      <c r="G592">
        <v>6.3</v>
      </c>
      <c r="H592">
        <v>1.2</v>
      </c>
      <c r="I592">
        <v>470.20311383399996</v>
      </c>
      <c r="J592">
        <v>0.60616471357344437</v>
      </c>
      <c r="K592">
        <v>1000</v>
      </c>
      <c r="L592">
        <v>0</v>
      </c>
      <c r="N592">
        <v>36</v>
      </c>
      <c r="O592" s="60" t="s">
        <v>1570</v>
      </c>
      <c r="P592" t="s">
        <v>1055</v>
      </c>
      <c r="Q592" t="s">
        <v>877</v>
      </c>
    </row>
    <row r="593" spans="1:17" x14ac:dyDescent="0.25">
      <c r="A593" t="s">
        <v>19</v>
      </c>
      <c r="B593">
        <v>129.29999999999998</v>
      </c>
      <c r="C593">
        <v>82.45</v>
      </c>
      <c r="D593">
        <v>6.3</v>
      </c>
      <c r="E593">
        <v>290.7</v>
      </c>
      <c r="F593">
        <v>82.45</v>
      </c>
      <c r="G593">
        <v>6.3</v>
      </c>
      <c r="H593">
        <v>1.2</v>
      </c>
      <c r="I593">
        <v>470.20311383399996</v>
      </c>
      <c r="J593">
        <v>72.470359089447655</v>
      </c>
      <c r="K593">
        <v>1250</v>
      </c>
      <c r="L593">
        <v>0</v>
      </c>
      <c r="N593">
        <v>36</v>
      </c>
      <c r="O593" s="60" t="s">
        <v>1571</v>
      </c>
      <c r="P593" t="s">
        <v>1056</v>
      </c>
      <c r="Q593" t="s">
        <v>907</v>
      </c>
    </row>
    <row r="594" spans="1:17" x14ac:dyDescent="0.25">
      <c r="A594" t="s">
        <v>19</v>
      </c>
      <c r="B594">
        <v>290.7</v>
      </c>
      <c r="C594">
        <v>82.45</v>
      </c>
      <c r="D594">
        <v>6.3</v>
      </c>
      <c r="E594">
        <v>290.7</v>
      </c>
      <c r="F594">
        <v>81.100000000000009</v>
      </c>
      <c r="G594">
        <v>6.3</v>
      </c>
      <c r="H594">
        <v>1.2</v>
      </c>
      <c r="I594">
        <v>470.20311383399996</v>
      </c>
      <c r="J594">
        <v>0.60616471357344437</v>
      </c>
      <c r="K594">
        <v>1000</v>
      </c>
      <c r="L594">
        <v>0</v>
      </c>
      <c r="N594">
        <v>36</v>
      </c>
      <c r="O594" s="60" t="s">
        <v>1572</v>
      </c>
      <c r="P594" t="s">
        <v>1057</v>
      </c>
      <c r="Q594" t="s">
        <v>886</v>
      </c>
    </row>
    <row r="595" spans="1:17" x14ac:dyDescent="0.25">
      <c r="A595" t="s">
        <v>19</v>
      </c>
      <c r="B595">
        <v>290.7</v>
      </c>
      <c r="C595">
        <v>81.099999999999994</v>
      </c>
      <c r="D595">
        <v>6.3</v>
      </c>
      <c r="E595">
        <v>129.29999999999998</v>
      </c>
      <c r="F595">
        <v>81.099999999999994</v>
      </c>
      <c r="G595">
        <v>6.3</v>
      </c>
      <c r="H595">
        <v>1.2</v>
      </c>
      <c r="I595">
        <v>470.20311383399996</v>
      </c>
      <c r="J595">
        <v>72.470359089447655</v>
      </c>
      <c r="K595">
        <v>1250</v>
      </c>
      <c r="L595">
        <v>0</v>
      </c>
      <c r="N595">
        <v>36</v>
      </c>
      <c r="O595" s="60" t="s">
        <v>1573</v>
      </c>
      <c r="P595" t="s">
        <v>1054</v>
      </c>
      <c r="Q595" t="s">
        <v>906</v>
      </c>
    </row>
    <row r="596" spans="1:17" x14ac:dyDescent="0.25">
      <c r="A596" t="s">
        <v>19</v>
      </c>
      <c r="B596">
        <v>129.29999999999998</v>
      </c>
      <c r="C596">
        <v>81.099999999999994</v>
      </c>
      <c r="D596">
        <v>6.3</v>
      </c>
      <c r="E596">
        <v>129.29999999999998</v>
      </c>
      <c r="F596">
        <v>79.75</v>
      </c>
      <c r="G596">
        <v>6.3</v>
      </c>
      <c r="H596">
        <v>1.2</v>
      </c>
      <c r="I596">
        <v>470.20311383399996</v>
      </c>
      <c r="J596">
        <v>0.60616471357344437</v>
      </c>
      <c r="K596">
        <v>1000</v>
      </c>
      <c r="L596">
        <v>0</v>
      </c>
      <c r="N596">
        <v>36</v>
      </c>
      <c r="O596" s="60" t="s">
        <v>1574</v>
      </c>
      <c r="P596" t="s">
        <v>1055</v>
      </c>
      <c r="Q596" t="s">
        <v>878</v>
      </c>
    </row>
    <row r="597" spans="1:17" x14ac:dyDescent="0.25">
      <c r="A597" t="s">
        <v>19</v>
      </c>
      <c r="B597">
        <v>129.29999999999998</v>
      </c>
      <c r="C597">
        <v>79.75</v>
      </c>
      <c r="D597">
        <v>6.3</v>
      </c>
      <c r="E597">
        <v>290.7</v>
      </c>
      <c r="F597">
        <v>79.75</v>
      </c>
      <c r="G597">
        <v>6.3</v>
      </c>
      <c r="H597">
        <v>1.2</v>
      </c>
      <c r="I597">
        <v>470.20311383399996</v>
      </c>
      <c r="J597">
        <v>72.470359089447655</v>
      </c>
      <c r="K597">
        <v>1250</v>
      </c>
      <c r="L597">
        <v>0</v>
      </c>
      <c r="N597">
        <v>36</v>
      </c>
      <c r="O597" s="60" t="s">
        <v>1575</v>
      </c>
      <c r="P597" t="s">
        <v>1056</v>
      </c>
      <c r="Q597" t="s">
        <v>907</v>
      </c>
    </row>
    <row r="598" spans="1:17" x14ac:dyDescent="0.25">
      <c r="A598" t="s">
        <v>19</v>
      </c>
      <c r="B598">
        <v>290.7</v>
      </c>
      <c r="C598">
        <v>79.75</v>
      </c>
      <c r="D598">
        <v>6.3</v>
      </c>
      <c r="E598">
        <v>290.7</v>
      </c>
      <c r="F598">
        <v>78.400000000000006</v>
      </c>
      <c r="G598">
        <v>6.3</v>
      </c>
      <c r="H598">
        <v>1.2</v>
      </c>
      <c r="I598">
        <v>470.20311383399996</v>
      </c>
      <c r="J598">
        <v>0.60616471357344437</v>
      </c>
      <c r="K598">
        <v>1000</v>
      </c>
      <c r="L598">
        <v>0</v>
      </c>
      <c r="N598">
        <v>36</v>
      </c>
      <c r="O598" s="60" t="s">
        <v>1576</v>
      </c>
      <c r="P598" t="s">
        <v>1057</v>
      </c>
      <c r="Q598" t="s">
        <v>887</v>
      </c>
    </row>
    <row r="599" spans="1:17" x14ac:dyDescent="0.25">
      <c r="A599" t="s">
        <v>19</v>
      </c>
      <c r="B599">
        <v>290.7</v>
      </c>
      <c r="C599">
        <v>78.400000000000006</v>
      </c>
      <c r="D599">
        <v>6.3</v>
      </c>
      <c r="E599">
        <v>129.29999999999998</v>
      </c>
      <c r="F599">
        <v>78.400000000000006</v>
      </c>
      <c r="G599">
        <v>6.3</v>
      </c>
      <c r="H599">
        <v>1.2</v>
      </c>
      <c r="I599">
        <v>470.20311383399996</v>
      </c>
      <c r="J599">
        <v>72.470359089447655</v>
      </c>
      <c r="K599">
        <v>1250</v>
      </c>
      <c r="L599">
        <v>0</v>
      </c>
      <c r="N599">
        <v>36</v>
      </c>
      <c r="O599" s="60" t="s">
        <v>1577</v>
      </c>
      <c r="P599" t="s">
        <v>1054</v>
      </c>
      <c r="Q599" t="s">
        <v>906</v>
      </c>
    </row>
    <row r="600" spans="1:17" x14ac:dyDescent="0.25">
      <c r="A600" t="s">
        <v>19</v>
      </c>
      <c r="B600">
        <v>129.29999999999998</v>
      </c>
      <c r="C600">
        <v>78.400000000000006</v>
      </c>
      <c r="D600">
        <v>6.3</v>
      </c>
      <c r="E600">
        <v>129.29999999999998</v>
      </c>
      <c r="F600">
        <v>77.050000000000011</v>
      </c>
      <c r="G600">
        <v>6.3</v>
      </c>
      <c r="H600">
        <v>1.2</v>
      </c>
      <c r="I600">
        <v>470.20311383399996</v>
      </c>
      <c r="J600">
        <v>0.60616471357344437</v>
      </c>
      <c r="K600">
        <v>1000</v>
      </c>
      <c r="L600">
        <v>0</v>
      </c>
      <c r="N600">
        <v>36</v>
      </c>
      <c r="O600" s="60" t="s">
        <v>1578</v>
      </c>
      <c r="P600" t="s">
        <v>1055</v>
      </c>
      <c r="Q600" t="s">
        <v>879</v>
      </c>
    </row>
    <row r="601" spans="1:17" x14ac:dyDescent="0.25">
      <c r="A601" t="s">
        <v>19</v>
      </c>
      <c r="B601">
        <v>129.29999999999998</v>
      </c>
      <c r="C601">
        <v>77.050000000000011</v>
      </c>
      <c r="D601">
        <v>6.3</v>
      </c>
      <c r="E601">
        <v>290.7</v>
      </c>
      <c r="F601">
        <v>77.050000000000011</v>
      </c>
      <c r="G601">
        <v>6.3</v>
      </c>
      <c r="H601">
        <v>1.2</v>
      </c>
      <c r="I601">
        <v>470.20311383399996</v>
      </c>
      <c r="J601">
        <v>72.470359089447655</v>
      </c>
      <c r="K601">
        <v>1250</v>
      </c>
      <c r="L601">
        <v>0</v>
      </c>
      <c r="N601">
        <v>36</v>
      </c>
      <c r="O601" s="60" t="s">
        <v>1579</v>
      </c>
      <c r="P601" t="s">
        <v>1056</v>
      </c>
      <c r="Q601" t="s">
        <v>907</v>
      </c>
    </row>
    <row r="602" spans="1:17" x14ac:dyDescent="0.25">
      <c r="A602" t="s">
        <v>19</v>
      </c>
      <c r="B602">
        <v>290.7</v>
      </c>
      <c r="C602">
        <v>77.050000000000011</v>
      </c>
      <c r="D602">
        <v>6.3</v>
      </c>
      <c r="E602">
        <v>290.7</v>
      </c>
      <c r="F602">
        <v>75.700000000000017</v>
      </c>
      <c r="G602">
        <v>6.3</v>
      </c>
      <c r="H602">
        <v>1.2</v>
      </c>
      <c r="I602">
        <v>470.20311383399996</v>
      </c>
      <c r="J602">
        <v>0.60616471357344437</v>
      </c>
      <c r="K602">
        <v>1000</v>
      </c>
      <c r="L602">
        <v>0</v>
      </c>
      <c r="N602">
        <v>36</v>
      </c>
      <c r="O602" s="60" t="s">
        <v>1580</v>
      </c>
      <c r="P602" t="s">
        <v>1057</v>
      </c>
      <c r="Q602" t="s">
        <v>888</v>
      </c>
    </row>
    <row r="603" spans="1:17" x14ac:dyDescent="0.25">
      <c r="A603" t="s">
        <v>23</v>
      </c>
      <c r="B603">
        <v>290.7</v>
      </c>
      <c r="C603">
        <v>75.700000000000017</v>
      </c>
      <c r="D603">
        <v>6.3</v>
      </c>
      <c r="E603">
        <v>290.7</v>
      </c>
      <c r="F603">
        <v>100</v>
      </c>
      <c r="G603">
        <v>6.3</v>
      </c>
      <c r="H603">
        <v>0</v>
      </c>
      <c r="I603">
        <v>0</v>
      </c>
      <c r="K603">
        <v>3000</v>
      </c>
      <c r="N603">
        <v>0</v>
      </c>
      <c r="O603" s="60">
        <v>0</v>
      </c>
      <c r="P603" t="s">
        <v>659</v>
      </c>
      <c r="Q603" t="s">
        <v>1052</v>
      </c>
    </row>
    <row r="604" spans="1:17" x14ac:dyDescent="0.25">
      <c r="A604" t="s">
        <v>19</v>
      </c>
      <c r="B604">
        <v>290.7</v>
      </c>
      <c r="C604">
        <v>100</v>
      </c>
      <c r="D604">
        <v>6.3</v>
      </c>
      <c r="E604">
        <v>129.29999999999998</v>
      </c>
      <c r="F604">
        <v>100</v>
      </c>
      <c r="G604">
        <v>6.3</v>
      </c>
      <c r="H604">
        <v>1.2</v>
      </c>
      <c r="I604">
        <v>470.20311383399996</v>
      </c>
      <c r="J604">
        <v>72.470359089447655</v>
      </c>
      <c r="K604">
        <v>1250</v>
      </c>
      <c r="L604">
        <v>0</v>
      </c>
      <c r="N604">
        <v>36</v>
      </c>
      <c r="O604" s="60" t="s">
        <v>1581</v>
      </c>
      <c r="P604" t="s">
        <v>842</v>
      </c>
      <c r="Q604" t="s">
        <v>906</v>
      </c>
    </row>
    <row r="605" spans="1:17" x14ac:dyDescent="0.25">
      <c r="A605" t="s">
        <v>19</v>
      </c>
      <c r="B605">
        <v>129.29999999999998</v>
      </c>
      <c r="C605">
        <v>100</v>
      </c>
      <c r="D605">
        <v>6.3</v>
      </c>
      <c r="E605">
        <v>129.29999999999998</v>
      </c>
      <c r="F605">
        <v>98.65</v>
      </c>
      <c r="G605">
        <v>6.3</v>
      </c>
      <c r="H605">
        <v>1.2</v>
      </c>
      <c r="I605">
        <v>470.20311383399996</v>
      </c>
      <c r="J605">
        <v>0.60616471357344437</v>
      </c>
      <c r="K605">
        <v>1000</v>
      </c>
      <c r="L605">
        <v>0</v>
      </c>
      <c r="N605">
        <v>36</v>
      </c>
      <c r="O605" s="60" t="s">
        <v>1582</v>
      </c>
      <c r="P605" t="s">
        <v>843</v>
      </c>
      <c r="Q605" t="s">
        <v>801</v>
      </c>
    </row>
    <row r="606" spans="1:17" x14ac:dyDescent="0.25">
      <c r="A606" t="s">
        <v>19</v>
      </c>
      <c r="B606">
        <v>129.29999999999998</v>
      </c>
      <c r="C606">
        <v>98.65</v>
      </c>
      <c r="D606">
        <v>6.3</v>
      </c>
      <c r="E606">
        <v>290.7</v>
      </c>
      <c r="F606">
        <v>98.65</v>
      </c>
      <c r="G606">
        <v>6.3</v>
      </c>
      <c r="H606">
        <v>1.2</v>
      </c>
      <c r="I606">
        <v>470.20311383399996</v>
      </c>
      <c r="J606">
        <v>72.470359089447655</v>
      </c>
      <c r="K606">
        <v>1250</v>
      </c>
      <c r="L606">
        <v>0</v>
      </c>
      <c r="N606">
        <v>36</v>
      </c>
      <c r="O606" s="60" t="s">
        <v>1583</v>
      </c>
      <c r="P606" t="s">
        <v>844</v>
      </c>
      <c r="Q606" t="s">
        <v>907</v>
      </c>
    </row>
    <row r="607" spans="1:17" x14ac:dyDescent="0.25">
      <c r="A607" t="s">
        <v>19</v>
      </c>
      <c r="B607">
        <v>290.7</v>
      </c>
      <c r="C607">
        <v>98.65</v>
      </c>
      <c r="D607">
        <v>6.3</v>
      </c>
      <c r="E607">
        <v>290.7</v>
      </c>
      <c r="F607">
        <v>97.300000000000011</v>
      </c>
      <c r="G607">
        <v>6.3</v>
      </c>
      <c r="H607">
        <v>1.2</v>
      </c>
      <c r="I607">
        <v>470.20311383399996</v>
      </c>
      <c r="J607">
        <v>0.60616471357344437</v>
      </c>
      <c r="K607">
        <v>1000</v>
      </c>
      <c r="L607">
        <v>0</v>
      </c>
      <c r="N607">
        <v>36</v>
      </c>
      <c r="O607" s="60" t="s">
        <v>1584</v>
      </c>
      <c r="P607" t="s">
        <v>845</v>
      </c>
      <c r="Q607" t="s">
        <v>880</v>
      </c>
    </row>
    <row r="608" spans="1:17" x14ac:dyDescent="0.25">
      <c r="A608" t="s">
        <v>19</v>
      </c>
      <c r="B608">
        <v>290.7</v>
      </c>
      <c r="C608">
        <v>97.3</v>
      </c>
      <c r="D608">
        <v>6.3</v>
      </c>
      <c r="E608">
        <v>129.29999999999998</v>
      </c>
      <c r="F608">
        <v>97.3</v>
      </c>
      <c r="G608">
        <v>6.3</v>
      </c>
      <c r="H608">
        <v>1.2</v>
      </c>
      <c r="I608">
        <v>470.20311383399996</v>
      </c>
      <c r="J608">
        <v>72.470359089447655</v>
      </c>
      <c r="K608">
        <v>1250</v>
      </c>
      <c r="L608">
        <v>0</v>
      </c>
      <c r="N608">
        <v>36</v>
      </c>
      <c r="O608" s="60" t="s">
        <v>1585</v>
      </c>
      <c r="P608" t="s">
        <v>850</v>
      </c>
      <c r="Q608" t="s">
        <v>906</v>
      </c>
    </row>
    <row r="609" spans="1:17" x14ac:dyDescent="0.25">
      <c r="A609" t="s">
        <v>19</v>
      </c>
      <c r="B609">
        <v>129.29999999999998</v>
      </c>
      <c r="C609">
        <v>97.3</v>
      </c>
      <c r="D609">
        <v>6.3</v>
      </c>
      <c r="E609">
        <v>129.29999999999998</v>
      </c>
      <c r="F609">
        <v>95.95</v>
      </c>
      <c r="G609">
        <v>6.3</v>
      </c>
      <c r="H609">
        <v>1.2</v>
      </c>
      <c r="I609">
        <v>470.20311383399996</v>
      </c>
      <c r="J609">
        <v>0.60616471357344437</v>
      </c>
      <c r="K609">
        <v>1000</v>
      </c>
      <c r="L609">
        <v>0</v>
      </c>
      <c r="N609">
        <v>36</v>
      </c>
      <c r="O609" s="60" t="s">
        <v>1586</v>
      </c>
      <c r="P609" t="s">
        <v>851</v>
      </c>
      <c r="Q609" t="s">
        <v>870</v>
      </c>
    </row>
    <row r="610" spans="1:17" x14ac:dyDescent="0.25">
      <c r="A610" t="s">
        <v>19</v>
      </c>
      <c r="B610">
        <v>129.29999999999998</v>
      </c>
      <c r="C610">
        <v>95.95</v>
      </c>
      <c r="D610">
        <v>6.3</v>
      </c>
      <c r="E610">
        <v>290.7</v>
      </c>
      <c r="F610">
        <v>95.95</v>
      </c>
      <c r="G610">
        <v>6.3</v>
      </c>
      <c r="H610">
        <v>1.2</v>
      </c>
      <c r="I610">
        <v>470.20311383399996</v>
      </c>
      <c r="J610">
        <v>72.470359089447655</v>
      </c>
      <c r="K610">
        <v>1250</v>
      </c>
      <c r="L610">
        <v>0</v>
      </c>
      <c r="N610">
        <v>36</v>
      </c>
      <c r="O610" s="60" t="s">
        <v>1587</v>
      </c>
      <c r="P610" t="s">
        <v>852</v>
      </c>
      <c r="Q610" t="s">
        <v>907</v>
      </c>
    </row>
    <row r="611" spans="1:17" x14ac:dyDescent="0.25">
      <c r="A611" t="s">
        <v>19</v>
      </c>
      <c r="B611">
        <v>290.7</v>
      </c>
      <c r="C611">
        <v>95.95</v>
      </c>
      <c r="D611">
        <v>6.3</v>
      </c>
      <c r="E611">
        <v>290.7</v>
      </c>
      <c r="F611">
        <v>94.600000000000009</v>
      </c>
      <c r="G611">
        <v>6.3</v>
      </c>
      <c r="H611">
        <v>1.2</v>
      </c>
      <c r="I611">
        <v>470.20311383399996</v>
      </c>
      <c r="J611">
        <v>0.60616471357344437</v>
      </c>
      <c r="K611">
        <v>1000</v>
      </c>
      <c r="L611">
        <v>0</v>
      </c>
      <c r="N611">
        <v>36</v>
      </c>
      <c r="O611" s="60" t="s">
        <v>1588</v>
      </c>
      <c r="P611" t="s">
        <v>853</v>
      </c>
      <c r="Q611" t="s">
        <v>881</v>
      </c>
    </row>
    <row r="612" spans="1:17" x14ac:dyDescent="0.25">
      <c r="A612" t="s">
        <v>19</v>
      </c>
      <c r="B612">
        <v>290.7</v>
      </c>
      <c r="C612">
        <v>94.6</v>
      </c>
      <c r="D612">
        <v>6.3</v>
      </c>
      <c r="E612">
        <v>129.29999999999998</v>
      </c>
      <c r="F612">
        <v>94.6</v>
      </c>
      <c r="G612">
        <v>6.3</v>
      </c>
      <c r="H612">
        <v>1.2</v>
      </c>
      <c r="I612">
        <v>470.20311383399996</v>
      </c>
      <c r="J612">
        <v>72.470359089447655</v>
      </c>
      <c r="K612">
        <v>1250</v>
      </c>
      <c r="L612">
        <v>0</v>
      </c>
      <c r="N612">
        <v>36</v>
      </c>
      <c r="O612" s="60" t="s">
        <v>1589</v>
      </c>
      <c r="P612" t="s">
        <v>850</v>
      </c>
      <c r="Q612" t="s">
        <v>906</v>
      </c>
    </row>
    <row r="613" spans="1:17" x14ac:dyDescent="0.25">
      <c r="A613" t="s">
        <v>19</v>
      </c>
      <c r="B613">
        <v>129.29999999999998</v>
      </c>
      <c r="C613">
        <v>94.6</v>
      </c>
      <c r="D613">
        <v>6.3</v>
      </c>
      <c r="E613">
        <v>129.29999999999998</v>
      </c>
      <c r="F613">
        <v>93.25</v>
      </c>
      <c r="G613">
        <v>6.3</v>
      </c>
      <c r="H613">
        <v>1.2</v>
      </c>
      <c r="I613">
        <v>470.20311383399996</v>
      </c>
      <c r="J613">
        <v>0.60616471357344437</v>
      </c>
      <c r="K613">
        <v>1000</v>
      </c>
      <c r="L613">
        <v>0</v>
      </c>
      <c r="N613">
        <v>36</v>
      </c>
      <c r="O613" s="60" t="s">
        <v>1590</v>
      </c>
      <c r="P613" t="s">
        <v>851</v>
      </c>
      <c r="Q613" t="s">
        <v>873</v>
      </c>
    </row>
    <row r="614" spans="1:17" x14ac:dyDescent="0.25">
      <c r="A614" t="s">
        <v>19</v>
      </c>
      <c r="B614">
        <v>129.29999999999998</v>
      </c>
      <c r="C614">
        <v>93.25</v>
      </c>
      <c r="D614">
        <v>6.3</v>
      </c>
      <c r="E614">
        <v>290.7</v>
      </c>
      <c r="F614">
        <v>93.25</v>
      </c>
      <c r="G614">
        <v>6.3</v>
      </c>
      <c r="H614">
        <v>1.2</v>
      </c>
      <c r="I614">
        <v>470.20311383399996</v>
      </c>
      <c r="J614">
        <v>72.470359089447655</v>
      </c>
      <c r="K614">
        <v>1250</v>
      </c>
      <c r="L614">
        <v>0</v>
      </c>
      <c r="N614">
        <v>36</v>
      </c>
      <c r="O614" s="60" t="s">
        <v>1591</v>
      </c>
      <c r="P614" t="s">
        <v>852</v>
      </c>
      <c r="Q614" t="s">
        <v>907</v>
      </c>
    </row>
    <row r="615" spans="1:17" x14ac:dyDescent="0.25">
      <c r="A615" t="s">
        <v>19</v>
      </c>
      <c r="B615">
        <v>290.7</v>
      </c>
      <c r="C615">
        <v>93.25</v>
      </c>
      <c r="D615">
        <v>6.3</v>
      </c>
      <c r="E615">
        <v>290.7</v>
      </c>
      <c r="F615">
        <v>91.9</v>
      </c>
      <c r="G615">
        <v>6.3</v>
      </c>
      <c r="H615">
        <v>1.2</v>
      </c>
      <c r="I615">
        <v>470.20311383399996</v>
      </c>
      <c r="J615">
        <v>0.60616471357344437</v>
      </c>
      <c r="K615">
        <v>1000</v>
      </c>
      <c r="L615">
        <v>0</v>
      </c>
      <c r="N615">
        <v>36</v>
      </c>
      <c r="O615" s="60" t="s">
        <v>1592</v>
      </c>
      <c r="P615" t="s">
        <v>853</v>
      </c>
      <c r="Q615" t="s">
        <v>882</v>
      </c>
    </row>
    <row r="616" spans="1:17" x14ac:dyDescent="0.25">
      <c r="A616" t="s">
        <v>19</v>
      </c>
      <c r="B616">
        <v>290.7</v>
      </c>
      <c r="C616">
        <v>91.9</v>
      </c>
      <c r="D616">
        <v>6.3</v>
      </c>
      <c r="E616">
        <v>129.29999999999998</v>
      </c>
      <c r="F616">
        <v>91.9</v>
      </c>
      <c r="G616">
        <v>6.3</v>
      </c>
      <c r="H616">
        <v>1.2</v>
      </c>
      <c r="I616">
        <v>470.20311383399996</v>
      </c>
      <c r="J616">
        <v>72.470359089447655</v>
      </c>
      <c r="K616">
        <v>1250</v>
      </c>
      <c r="L616">
        <v>0</v>
      </c>
      <c r="N616">
        <v>36</v>
      </c>
      <c r="O616" s="60" t="s">
        <v>1593</v>
      </c>
      <c r="P616" t="s">
        <v>850</v>
      </c>
      <c r="Q616" t="s">
        <v>906</v>
      </c>
    </row>
    <row r="617" spans="1:17" x14ac:dyDescent="0.25">
      <c r="A617" t="s">
        <v>19</v>
      </c>
      <c r="B617">
        <v>129.29999999999998</v>
      </c>
      <c r="C617">
        <v>91.9</v>
      </c>
      <c r="D617">
        <v>6.3</v>
      </c>
      <c r="E617">
        <v>129.29999999999998</v>
      </c>
      <c r="F617">
        <v>90.550000000000011</v>
      </c>
      <c r="G617">
        <v>6.3</v>
      </c>
      <c r="H617">
        <v>1.2</v>
      </c>
      <c r="I617">
        <v>470.20311383399996</v>
      </c>
      <c r="J617">
        <v>0.60616471357344437</v>
      </c>
      <c r="K617">
        <v>1000</v>
      </c>
      <c r="L617">
        <v>0</v>
      </c>
      <c r="N617">
        <v>36</v>
      </c>
      <c r="O617" s="60" t="s">
        <v>1594</v>
      </c>
      <c r="P617" t="s">
        <v>851</v>
      </c>
      <c r="Q617" t="s">
        <v>874</v>
      </c>
    </row>
    <row r="618" spans="1:17" x14ac:dyDescent="0.25">
      <c r="A618" t="s">
        <v>19</v>
      </c>
      <c r="B618">
        <v>129.29999999999998</v>
      </c>
      <c r="C618">
        <v>90.550000000000011</v>
      </c>
      <c r="D618">
        <v>6.3</v>
      </c>
      <c r="E618">
        <v>290.7</v>
      </c>
      <c r="F618">
        <v>90.550000000000011</v>
      </c>
      <c r="G618">
        <v>6.3</v>
      </c>
      <c r="H618">
        <v>1.2</v>
      </c>
      <c r="I618">
        <v>470.20311383399996</v>
      </c>
      <c r="J618">
        <v>72.470359089447655</v>
      </c>
      <c r="K618">
        <v>1250</v>
      </c>
      <c r="L618">
        <v>0</v>
      </c>
      <c r="N618">
        <v>36</v>
      </c>
      <c r="O618" s="60" t="s">
        <v>1595</v>
      </c>
      <c r="P618" t="s">
        <v>852</v>
      </c>
      <c r="Q618" t="s">
        <v>907</v>
      </c>
    </row>
    <row r="619" spans="1:17" x14ac:dyDescent="0.25">
      <c r="A619" t="s">
        <v>19</v>
      </c>
      <c r="B619">
        <v>290.7</v>
      </c>
      <c r="C619">
        <v>90.550000000000011</v>
      </c>
      <c r="D619">
        <v>6.3</v>
      </c>
      <c r="E619">
        <v>290.7</v>
      </c>
      <c r="F619">
        <v>89.200000000000017</v>
      </c>
      <c r="G619">
        <v>6.3</v>
      </c>
      <c r="H619">
        <v>1.2</v>
      </c>
      <c r="I619">
        <v>470.20311383399996</v>
      </c>
      <c r="J619">
        <v>0.60616471357344437</v>
      </c>
      <c r="K619">
        <v>1000</v>
      </c>
      <c r="L619">
        <v>0</v>
      </c>
      <c r="N619">
        <v>36</v>
      </c>
      <c r="O619" s="60" t="s">
        <v>1596</v>
      </c>
      <c r="P619" t="s">
        <v>853</v>
      </c>
      <c r="Q619" t="s">
        <v>883</v>
      </c>
    </row>
    <row r="620" spans="1:17" x14ac:dyDescent="0.25">
      <c r="A620" t="s">
        <v>19</v>
      </c>
      <c r="B620">
        <v>290.7</v>
      </c>
      <c r="C620">
        <v>89.2</v>
      </c>
      <c r="D620">
        <v>6.3</v>
      </c>
      <c r="E620">
        <v>129.29999999999998</v>
      </c>
      <c r="F620">
        <v>89.2</v>
      </c>
      <c r="G620">
        <v>6.3</v>
      </c>
      <c r="H620">
        <v>1.2</v>
      </c>
      <c r="I620">
        <v>470.20311383399996</v>
      </c>
      <c r="J620">
        <v>72.470359089447655</v>
      </c>
      <c r="K620">
        <v>1250</v>
      </c>
      <c r="L620">
        <v>0</v>
      </c>
      <c r="N620">
        <v>36</v>
      </c>
      <c r="O620" s="60" t="s">
        <v>1597</v>
      </c>
      <c r="P620" t="s">
        <v>850</v>
      </c>
      <c r="Q620" t="s">
        <v>906</v>
      </c>
    </row>
    <row r="621" spans="1:17" x14ac:dyDescent="0.25">
      <c r="A621" t="s">
        <v>19</v>
      </c>
      <c r="B621">
        <v>129.29999999999998</v>
      </c>
      <c r="C621">
        <v>89.2</v>
      </c>
      <c r="D621">
        <v>6.3</v>
      </c>
      <c r="E621">
        <v>129.29999999999998</v>
      </c>
      <c r="F621">
        <v>87.850000000000009</v>
      </c>
      <c r="G621">
        <v>6.3</v>
      </c>
      <c r="H621">
        <v>1.2</v>
      </c>
      <c r="I621">
        <v>470.20311383399996</v>
      </c>
      <c r="J621">
        <v>0.60616471357344437</v>
      </c>
      <c r="K621">
        <v>1000</v>
      </c>
      <c r="L621">
        <v>0</v>
      </c>
      <c r="N621">
        <v>36</v>
      </c>
      <c r="O621" s="60" t="s">
        <v>1598</v>
      </c>
      <c r="P621" t="s">
        <v>851</v>
      </c>
      <c r="Q621" t="s">
        <v>875</v>
      </c>
    </row>
    <row r="622" spans="1:17" x14ac:dyDescent="0.25">
      <c r="A622" t="s">
        <v>19</v>
      </c>
      <c r="B622">
        <v>129.29999999999998</v>
      </c>
      <c r="C622">
        <v>87.850000000000009</v>
      </c>
      <c r="D622">
        <v>6.3</v>
      </c>
      <c r="E622">
        <v>290.7</v>
      </c>
      <c r="F622">
        <v>87.850000000000009</v>
      </c>
      <c r="G622">
        <v>6.3</v>
      </c>
      <c r="H622">
        <v>1.2</v>
      </c>
      <c r="I622">
        <v>470.20311383399996</v>
      </c>
      <c r="J622">
        <v>72.470359089447655</v>
      </c>
      <c r="K622">
        <v>1250</v>
      </c>
      <c r="L622">
        <v>0</v>
      </c>
      <c r="N622">
        <v>36</v>
      </c>
      <c r="O622" s="60" t="s">
        <v>1599</v>
      </c>
      <c r="P622" t="s">
        <v>852</v>
      </c>
      <c r="Q622" t="s">
        <v>907</v>
      </c>
    </row>
    <row r="623" spans="1:17" x14ac:dyDescent="0.25">
      <c r="A623" t="s">
        <v>19</v>
      </c>
      <c r="B623">
        <v>290.7</v>
      </c>
      <c r="C623">
        <v>87.850000000000009</v>
      </c>
      <c r="D623">
        <v>6.3</v>
      </c>
      <c r="E623">
        <v>290.7</v>
      </c>
      <c r="F623">
        <v>86.500000000000014</v>
      </c>
      <c r="G623">
        <v>6.3</v>
      </c>
      <c r="H623">
        <v>1.2</v>
      </c>
      <c r="I623">
        <v>470.20311383399996</v>
      </c>
      <c r="J623">
        <v>0.60616471357344437</v>
      </c>
      <c r="K623">
        <v>1000</v>
      </c>
      <c r="L623">
        <v>0</v>
      </c>
      <c r="N623">
        <v>36</v>
      </c>
      <c r="O623" s="60" t="s">
        <v>1600</v>
      </c>
      <c r="P623" t="s">
        <v>853</v>
      </c>
      <c r="Q623" t="s">
        <v>884</v>
      </c>
    </row>
    <row r="624" spans="1:17" x14ac:dyDescent="0.25">
      <c r="A624" t="s">
        <v>19</v>
      </c>
      <c r="B624">
        <v>290.7</v>
      </c>
      <c r="C624">
        <v>86.5</v>
      </c>
      <c r="D624">
        <v>6.3</v>
      </c>
      <c r="E624">
        <v>129.29999999999998</v>
      </c>
      <c r="F624">
        <v>86.5</v>
      </c>
      <c r="G624">
        <v>6.3</v>
      </c>
      <c r="H624">
        <v>1.2</v>
      </c>
      <c r="I624">
        <v>470.20311383399996</v>
      </c>
      <c r="J624">
        <v>72.470359089447655</v>
      </c>
      <c r="K624">
        <v>1250</v>
      </c>
      <c r="L624">
        <v>0</v>
      </c>
      <c r="N624">
        <v>36</v>
      </c>
      <c r="O624" s="60" t="s">
        <v>1601</v>
      </c>
      <c r="P624" t="s">
        <v>850</v>
      </c>
      <c r="Q624" t="s">
        <v>906</v>
      </c>
    </row>
    <row r="625" spans="1:17" x14ac:dyDescent="0.25">
      <c r="A625" t="s">
        <v>19</v>
      </c>
      <c r="B625">
        <v>129.29999999999998</v>
      </c>
      <c r="C625">
        <v>86.5</v>
      </c>
      <c r="D625">
        <v>6.3</v>
      </c>
      <c r="E625">
        <v>129.29999999999998</v>
      </c>
      <c r="F625">
        <v>85.15</v>
      </c>
      <c r="G625">
        <v>6.3</v>
      </c>
      <c r="H625">
        <v>1.2</v>
      </c>
      <c r="I625">
        <v>470.20311383399996</v>
      </c>
      <c r="J625">
        <v>0.60616471357344437</v>
      </c>
      <c r="K625">
        <v>1000</v>
      </c>
      <c r="L625">
        <v>0</v>
      </c>
      <c r="N625">
        <v>36</v>
      </c>
      <c r="O625" s="60" t="s">
        <v>1602</v>
      </c>
      <c r="P625" t="s">
        <v>851</v>
      </c>
      <c r="Q625" t="s">
        <v>876</v>
      </c>
    </row>
    <row r="626" spans="1:17" x14ac:dyDescent="0.25">
      <c r="A626" t="s">
        <v>19</v>
      </c>
      <c r="B626">
        <v>129.29999999999998</v>
      </c>
      <c r="C626">
        <v>85.15</v>
      </c>
      <c r="D626">
        <v>6.3</v>
      </c>
      <c r="E626">
        <v>290.7</v>
      </c>
      <c r="F626">
        <v>85.15</v>
      </c>
      <c r="G626">
        <v>6.3</v>
      </c>
      <c r="H626">
        <v>1.2</v>
      </c>
      <c r="I626">
        <v>470.20311383399996</v>
      </c>
      <c r="J626">
        <v>72.470359089447655</v>
      </c>
      <c r="K626">
        <v>1250</v>
      </c>
      <c r="L626">
        <v>0</v>
      </c>
      <c r="N626">
        <v>36</v>
      </c>
      <c r="O626" s="60" t="s">
        <v>1603</v>
      </c>
      <c r="P626" t="s">
        <v>852</v>
      </c>
      <c r="Q626" t="s">
        <v>907</v>
      </c>
    </row>
    <row r="627" spans="1:17" x14ac:dyDescent="0.25">
      <c r="A627" t="s">
        <v>19</v>
      </c>
      <c r="B627">
        <v>290.7</v>
      </c>
      <c r="C627">
        <v>85.15</v>
      </c>
      <c r="D627">
        <v>6.3</v>
      </c>
      <c r="E627">
        <v>290.7</v>
      </c>
      <c r="F627">
        <v>83.800000000000011</v>
      </c>
      <c r="G627">
        <v>6.3</v>
      </c>
      <c r="H627">
        <v>1.2</v>
      </c>
      <c r="I627">
        <v>470.20311383399996</v>
      </c>
      <c r="J627">
        <v>0.60616471357344437</v>
      </c>
      <c r="K627">
        <v>1000</v>
      </c>
      <c r="L627">
        <v>0</v>
      </c>
      <c r="N627">
        <v>36</v>
      </c>
      <c r="O627" s="60" t="s">
        <v>1604</v>
      </c>
      <c r="P627" t="s">
        <v>853</v>
      </c>
      <c r="Q627" t="s">
        <v>885</v>
      </c>
    </row>
    <row r="628" spans="1:17" x14ac:dyDescent="0.25">
      <c r="A628" t="s">
        <v>19</v>
      </c>
      <c r="B628">
        <v>290.7</v>
      </c>
      <c r="C628">
        <v>83.8</v>
      </c>
      <c r="D628">
        <v>6.3</v>
      </c>
      <c r="E628">
        <v>129.29999999999998</v>
      </c>
      <c r="F628">
        <v>83.8</v>
      </c>
      <c r="G628">
        <v>6.3</v>
      </c>
      <c r="H628">
        <v>1.2</v>
      </c>
      <c r="I628">
        <v>470.20311383399996</v>
      </c>
      <c r="J628">
        <v>72.470359089447655</v>
      </c>
      <c r="K628">
        <v>1250</v>
      </c>
      <c r="L628">
        <v>0</v>
      </c>
      <c r="N628">
        <v>36</v>
      </c>
      <c r="O628" s="60" t="s">
        <v>1605</v>
      </c>
      <c r="P628" t="s">
        <v>850</v>
      </c>
      <c r="Q628" t="s">
        <v>906</v>
      </c>
    </row>
    <row r="629" spans="1:17" x14ac:dyDescent="0.25">
      <c r="A629" t="s">
        <v>19</v>
      </c>
      <c r="B629">
        <v>129.29999999999998</v>
      </c>
      <c r="C629">
        <v>83.8</v>
      </c>
      <c r="D629">
        <v>6.3</v>
      </c>
      <c r="E629">
        <v>129.29999999999998</v>
      </c>
      <c r="F629">
        <v>82.45</v>
      </c>
      <c r="G629">
        <v>6.3</v>
      </c>
      <c r="H629">
        <v>1.2</v>
      </c>
      <c r="I629">
        <v>470.20311383399996</v>
      </c>
      <c r="J629">
        <v>0.60616471357344437</v>
      </c>
      <c r="K629">
        <v>1000</v>
      </c>
      <c r="L629">
        <v>0</v>
      </c>
      <c r="N629">
        <v>36</v>
      </c>
      <c r="O629" s="60" t="s">
        <v>1606</v>
      </c>
      <c r="P629" t="s">
        <v>851</v>
      </c>
      <c r="Q629" t="s">
        <v>877</v>
      </c>
    </row>
    <row r="630" spans="1:17" x14ac:dyDescent="0.25">
      <c r="A630" t="s">
        <v>19</v>
      </c>
      <c r="B630">
        <v>129.29999999999998</v>
      </c>
      <c r="C630">
        <v>82.45</v>
      </c>
      <c r="D630">
        <v>6.3</v>
      </c>
      <c r="E630">
        <v>290.7</v>
      </c>
      <c r="F630">
        <v>82.45</v>
      </c>
      <c r="G630">
        <v>6.3</v>
      </c>
      <c r="H630">
        <v>1.2</v>
      </c>
      <c r="I630">
        <v>470.20311383399996</v>
      </c>
      <c r="J630">
        <v>72.470359089447655</v>
      </c>
      <c r="K630">
        <v>1250</v>
      </c>
      <c r="L630">
        <v>0</v>
      </c>
      <c r="N630">
        <v>36</v>
      </c>
      <c r="O630" s="60" t="s">
        <v>1607</v>
      </c>
      <c r="P630" t="s">
        <v>852</v>
      </c>
      <c r="Q630" t="s">
        <v>907</v>
      </c>
    </row>
    <row r="631" spans="1:17" x14ac:dyDescent="0.25">
      <c r="A631" t="s">
        <v>19</v>
      </c>
      <c r="B631">
        <v>290.7</v>
      </c>
      <c r="C631">
        <v>82.45</v>
      </c>
      <c r="D631">
        <v>6.3</v>
      </c>
      <c r="E631">
        <v>290.7</v>
      </c>
      <c r="F631">
        <v>81.100000000000009</v>
      </c>
      <c r="G631">
        <v>6.3</v>
      </c>
      <c r="H631">
        <v>1.2</v>
      </c>
      <c r="I631">
        <v>470.20311383399996</v>
      </c>
      <c r="J631">
        <v>0.60616471357344437</v>
      </c>
      <c r="K631">
        <v>1000</v>
      </c>
      <c r="L631">
        <v>0</v>
      </c>
      <c r="N631">
        <v>36</v>
      </c>
      <c r="O631" s="60" t="s">
        <v>1608</v>
      </c>
      <c r="P631" t="s">
        <v>853</v>
      </c>
      <c r="Q631" t="s">
        <v>886</v>
      </c>
    </row>
    <row r="632" spans="1:17" x14ac:dyDescent="0.25">
      <c r="A632" t="s">
        <v>19</v>
      </c>
      <c r="B632">
        <v>290.7</v>
      </c>
      <c r="C632">
        <v>81.099999999999994</v>
      </c>
      <c r="D632">
        <v>6.3</v>
      </c>
      <c r="E632">
        <v>129.29999999999998</v>
      </c>
      <c r="F632">
        <v>81.099999999999994</v>
      </c>
      <c r="G632">
        <v>6.3</v>
      </c>
      <c r="H632">
        <v>1.2</v>
      </c>
      <c r="I632">
        <v>470.20311383399996</v>
      </c>
      <c r="J632">
        <v>72.470359089447655</v>
      </c>
      <c r="K632">
        <v>1250</v>
      </c>
      <c r="L632">
        <v>0</v>
      </c>
      <c r="N632">
        <v>36</v>
      </c>
      <c r="O632" s="60" t="s">
        <v>1609</v>
      </c>
      <c r="P632" t="s">
        <v>850</v>
      </c>
      <c r="Q632" t="s">
        <v>906</v>
      </c>
    </row>
    <row r="633" spans="1:17" x14ac:dyDescent="0.25">
      <c r="A633" t="s">
        <v>19</v>
      </c>
      <c r="B633">
        <v>129.29999999999998</v>
      </c>
      <c r="C633">
        <v>81.099999999999994</v>
      </c>
      <c r="D633">
        <v>6.3</v>
      </c>
      <c r="E633">
        <v>129.29999999999998</v>
      </c>
      <c r="F633">
        <v>79.75</v>
      </c>
      <c r="G633">
        <v>6.3</v>
      </c>
      <c r="H633">
        <v>1.2</v>
      </c>
      <c r="I633">
        <v>470.20311383399996</v>
      </c>
      <c r="J633">
        <v>0.60616471357344437</v>
      </c>
      <c r="K633">
        <v>1000</v>
      </c>
      <c r="L633">
        <v>0</v>
      </c>
      <c r="N633">
        <v>36</v>
      </c>
      <c r="O633" s="60" t="s">
        <v>1610</v>
      </c>
      <c r="P633" t="s">
        <v>851</v>
      </c>
      <c r="Q633" t="s">
        <v>878</v>
      </c>
    </row>
    <row r="634" spans="1:17" x14ac:dyDescent="0.25">
      <c r="A634" t="s">
        <v>19</v>
      </c>
      <c r="B634">
        <v>129.29999999999998</v>
      </c>
      <c r="C634">
        <v>79.75</v>
      </c>
      <c r="D634">
        <v>6.3</v>
      </c>
      <c r="E634">
        <v>290.7</v>
      </c>
      <c r="F634">
        <v>79.75</v>
      </c>
      <c r="G634">
        <v>6.3</v>
      </c>
      <c r="H634">
        <v>1.2</v>
      </c>
      <c r="I634">
        <v>470.20311383399996</v>
      </c>
      <c r="J634">
        <v>72.470359089447655</v>
      </c>
      <c r="K634">
        <v>1250</v>
      </c>
      <c r="L634">
        <v>0</v>
      </c>
      <c r="N634">
        <v>36</v>
      </c>
      <c r="O634" s="60" t="s">
        <v>1611</v>
      </c>
      <c r="P634" t="s">
        <v>852</v>
      </c>
      <c r="Q634" t="s">
        <v>907</v>
      </c>
    </row>
    <row r="635" spans="1:17" x14ac:dyDescent="0.25">
      <c r="A635" t="s">
        <v>19</v>
      </c>
      <c r="B635">
        <v>290.7</v>
      </c>
      <c r="C635">
        <v>79.75</v>
      </c>
      <c r="D635">
        <v>6.3</v>
      </c>
      <c r="E635">
        <v>290.7</v>
      </c>
      <c r="F635">
        <v>78.400000000000006</v>
      </c>
      <c r="G635">
        <v>6.3</v>
      </c>
      <c r="H635">
        <v>1.2</v>
      </c>
      <c r="I635">
        <v>470.20311383399996</v>
      </c>
      <c r="J635">
        <v>0.60616471357344437</v>
      </c>
      <c r="K635">
        <v>1000</v>
      </c>
      <c r="L635">
        <v>0</v>
      </c>
      <c r="N635">
        <v>36</v>
      </c>
      <c r="O635" s="60" t="s">
        <v>1612</v>
      </c>
      <c r="P635" t="s">
        <v>853</v>
      </c>
      <c r="Q635" t="s">
        <v>887</v>
      </c>
    </row>
    <row r="636" spans="1:17" x14ac:dyDescent="0.25">
      <c r="A636" t="s">
        <v>19</v>
      </c>
      <c r="B636">
        <v>290.7</v>
      </c>
      <c r="C636">
        <v>78.400000000000006</v>
      </c>
      <c r="D636">
        <v>6.3</v>
      </c>
      <c r="E636">
        <v>129.29999999999998</v>
      </c>
      <c r="F636">
        <v>78.400000000000006</v>
      </c>
      <c r="G636">
        <v>6.3</v>
      </c>
      <c r="H636">
        <v>1.2</v>
      </c>
      <c r="I636">
        <v>470.20311383399996</v>
      </c>
      <c r="J636">
        <v>72.470359089447655</v>
      </c>
      <c r="K636">
        <v>1250</v>
      </c>
      <c r="L636">
        <v>0</v>
      </c>
      <c r="N636">
        <v>36</v>
      </c>
      <c r="O636" s="60" t="s">
        <v>1613</v>
      </c>
      <c r="P636" t="s">
        <v>850</v>
      </c>
      <c r="Q636" t="s">
        <v>906</v>
      </c>
    </row>
    <row r="637" spans="1:17" x14ac:dyDescent="0.25">
      <c r="A637" t="s">
        <v>19</v>
      </c>
      <c r="B637">
        <v>129.29999999999998</v>
      </c>
      <c r="C637">
        <v>78.400000000000006</v>
      </c>
      <c r="D637">
        <v>6.3</v>
      </c>
      <c r="E637">
        <v>129.29999999999998</v>
      </c>
      <c r="F637">
        <v>77.050000000000011</v>
      </c>
      <c r="G637">
        <v>6.3</v>
      </c>
      <c r="H637">
        <v>1.2</v>
      </c>
      <c r="I637">
        <v>470.20311383399996</v>
      </c>
      <c r="J637">
        <v>0.60616471357344437</v>
      </c>
      <c r="K637">
        <v>1000</v>
      </c>
      <c r="L637">
        <v>0</v>
      </c>
      <c r="N637">
        <v>36</v>
      </c>
      <c r="O637" s="60" t="s">
        <v>1614</v>
      </c>
      <c r="P637" t="s">
        <v>851</v>
      </c>
      <c r="Q637" t="s">
        <v>879</v>
      </c>
    </row>
    <row r="638" spans="1:17" x14ac:dyDescent="0.25">
      <c r="A638" t="s">
        <v>19</v>
      </c>
      <c r="B638">
        <v>129.29999999999998</v>
      </c>
      <c r="C638">
        <v>77.050000000000011</v>
      </c>
      <c r="D638">
        <v>6.3</v>
      </c>
      <c r="E638">
        <v>290.7</v>
      </c>
      <c r="F638">
        <v>77.050000000000011</v>
      </c>
      <c r="G638">
        <v>6.3</v>
      </c>
      <c r="H638">
        <v>1.2</v>
      </c>
      <c r="I638">
        <v>470.20311383399996</v>
      </c>
      <c r="J638">
        <v>72.470359089447655</v>
      </c>
      <c r="K638">
        <v>1250</v>
      </c>
      <c r="L638">
        <v>0</v>
      </c>
      <c r="N638">
        <v>36</v>
      </c>
      <c r="O638" s="60" t="s">
        <v>1615</v>
      </c>
      <c r="P638" t="s">
        <v>852</v>
      </c>
      <c r="Q638" t="s">
        <v>907</v>
      </c>
    </row>
    <row r="639" spans="1:17" x14ac:dyDescent="0.25">
      <c r="A639" t="s">
        <v>19</v>
      </c>
      <c r="B639">
        <v>290.7</v>
      </c>
      <c r="C639">
        <v>77.050000000000011</v>
      </c>
      <c r="D639">
        <v>6.3</v>
      </c>
      <c r="E639">
        <v>290.7</v>
      </c>
      <c r="F639">
        <v>75.700000000000017</v>
      </c>
      <c r="G639">
        <v>6.3</v>
      </c>
      <c r="H639">
        <v>1.2</v>
      </c>
      <c r="I639">
        <v>470.20311383399996</v>
      </c>
      <c r="J639">
        <v>0.60616471357344437</v>
      </c>
      <c r="K639">
        <v>1000</v>
      </c>
      <c r="L639">
        <v>0</v>
      </c>
      <c r="N639">
        <v>36</v>
      </c>
      <c r="O639" s="60" t="s">
        <v>1616</v>
      </c>
      <c r="P639" t="s">
        <v>853</v>
      </c>
      <c r="Q639" t="s">
        <v>888</v>
      </c>
    </row>
    <row r="640" spans="1:17" x14ac:dyDescent="0.25">
      <c r="A640" t="s">
        <v>39</v>
      </c>
      <c r="B640">
        <v>0</v>
      </c>
      <c r="C640">
        <v>0</v>
      </c>
      <c r="N640">
        <v>36</v>
      </c>
      <c r="O640" s="60" t="s">
        <v>1617</v>
      </c>
      <c r="P640" t="s">
        <v>1471</v>
      </c>
      <c r="Q640" t="s">
        <v>897</v>
      </c>
    </row>
    <row r="641" spans="1:17" x14ac:dyDescent="0.25">
      <c r="A641" t="s">
        <v>898</v>
      </c>
      <c r="B641">
        <v>0.9</v>
      </c>
      <c r="C641">
        <v>3000</v>
      </c>
      <c r="N641">
        <v>36</v>
      </c>
      <c r="O641" s="60" t="s">
        <v>1617</v>
      </c>
      <c r="P641" t="s">
        <v>1471</v>
      </c>
      <c r="Q641" t="s">
        <v>905</v>
      </c>
    </row>
    <row r="642" spans="1:17" x14ac:dyDescent="0.25">
      <c r="A642" t="s">
        <v>23</v>
      </c>
      <c r="B642">
        <v>290.7</v>
      </c>
      <c r="C642">
        <v>75.700000000000017</v>
      </c>
      <c r="D642">
        <v>6.3</v>
      </c>
      <c r="E642">
        <v>290.7</v>
      </c>
      <c r="F642">
        <v>100</v>
      </c>
      <c r="G642">
        <v>7.2</v>
      </c>
      <c r="H642">
        <v>0</v>
      </c>
      <c r="I642">
        <v>0</v>
      </c>
      <c r="K642">
        <v>3000</v>
      </c>
      <c r="N642">
        <v>0</v>
      </c>
      <c r="O642" s="60">
        <v>0</v>
      </c>
      <c r="P642" t="s">
        <v>659</v>
      </c>
      <c r="Q642" t="s">
        <v>1058</v>
      </c>
    </row>
    <row r="643" spans="1:17" x14ac:dyDescent="0.25">
      <c r="A643" t="s">
        <v>19</v>
      </c>
      <c r="B643">
        <v>290.7</v>
      </c>
      <c r="C643">
        <v>100</v>
      </c>
      <c r="D643">
        <v>7.2</v>
      </c>
      <c r="E643">
        <v>129.29999999999998</v>
      </c>
      <c r="F643">
        <v>100</v>
      </c>
      <c r="G643">
        <v>7.2</v>
      </c>
      <c r="H643">
        <v>1.2</v>
      </c>
      <c r="I643">
        <v>470.20311383399996</v>
      </c>
      <c r="J643">
        <v>72.470359089447655</v>
      </c>
      <c r="K643">
        <v>1250</v>
      </c>
      <c r="L643">
        <v>0</v>
      </c>
      <c r="N643">
        <v>36</v>
      </c>
      <c r="O643" s="60" t="s">
        <v>1618</v>
      </c>
      <c r="P643" t="s">
        <v>846</v>
      </c>
      <c r="Q643" t="s">
        <v>906</v>
      </c>
    </row>
    <row r="644" spans="1:17" x14ac:dyDescent="0.25">
      <c r="A644" t="s">
        <v>19</v>
      </c>
      <c r="B644">
        <v>129.29999999999998</v>
      </c>
      <c r="C644">
        <v>100</v>
      </c>
      <c r="D644">
        <v>7.2</v>
      </c>
      <c r="E644">
        <v>129.29999999999998</v>
      </c>
      <c r="F644">
        <v>98.65</v>
      </c>
      <c r="G644">
        <v>7.2</v>
      </c>
      <c r="H644">
        <v>1.2</v>
      </c>
      <c r="I644">
        <v>470.20311383399996</v>
      </c>
      <c r="J644">
        <v>0.60616471357344437</v>
      </c>
      <c r="K644">
        <v>1000</v>
      </c>
      <c r="L644">
        <v>0</v>
      </c>
      <c r="N644">
        <v>36</v>
      </c>
      <c r="O644" s="60" t="s">
        <v>1619</v>
      </c>
      <c r="P644" t="s">
        <v>847</v>
      </c>
      <c r="Q644" t="s">
        <v>801</v>
      </c>
    </row>
    <row r="645" spans="1:17" x14ac:dyDescent="0.25">
      <c r="A645" t="s">
        <v>19</v>
      </c>
      <c r="B645">
        <v>129.29999999999998</v>
      </c>
      <c r="C645">
        <v>98.65</v>
      </c>
      <c r="D645">
        <v>7.2</v>
      </c>
      <c r="E645">
        <v>290.7</v>
      </c>
      <c r="F645">
        <v>98.65</v>
      </c>
      <c r="G645">
        <v>7.2</v>
      </c>
      <c r="H645">
        <v>1.2</v>
      </c>
      <c r="I645">
        <v>470.20311383399996</v>
      </c>
      <c r="J645">
        <v>72.470359089447655</v>
      </c>
      <c r="K645">
        <v>1250</v>
      </c>
      <c r="L645">
        <v>0</v>
      </c>
      <c r="N645">
        <v>36</v>
      </c>
      <c r="O645" s="60" t="s">
        <v>1620</v>
      </c>
      <c r="P645" t="s">
        <v>848</v>
      </c>
      <c r="Q645" t="s">
        <v>907</v>
      </c>
    </row>
    <row r="646" spans="1:17" x14ac:dyDescent="0.25">
      <c r="A646" t="s">
        <v>19</v>
      </c>
      <c r="B646">
        <v>290.7</v>
      </c>
      <c r="C646">
        <v>98.65</v>
      </c>
      <c r="D646">
        <v>7.2</v>
      </c>
      <c r="E646">
        <v>290.7</v>
      </c>
      <c r="F646">
        <v>97.300000000000011</v>
      </c>
      <c r="G646">
        <v>7.2</v>
      </c>
      <c r="H646">
        <v>1.2</v>
      </c>
      <c r="I646">
        <v>470.20311383399996</v>
      </c>
      <c r="J646">
        <v>0.60616471357344437</v>
      </c>
      <c r="K646">
        <v>1000</v>
      </c>
      <c r="L646">
        <v>0</v>
      </c>
      <c r="N646">
        <v>36</v>
      </c>
      <c r="O646" s="60" t="s">
        <v>1621</v>
      </c>
      <c r="P646" t="s">
        <v>849</v>
      </c>
      <c r="Q646" t="s">
        <v>880</v>
      </c>
    </row>
    <row r="647" spans="1:17" x14ac:dyDescent="0.25">
      <c r="A647" t="s">
        <v>19</v>
      </c>
      <c r="B647">
        <v>290.7</v>
      </c>
      <c r="C647">
        <v>97.3</v>
      </c>
      <c r="D647">
        <v>7.2</v>
      </c>
      <c r="E647">
        <v>129.29999999999998</v>
      </c>
      <c r="F647">
        <v>97.3</v>
      </c>
      <c r="G647">
        <v>7.2</v>
      </c>
      <c r="H647">
        <v>1.2</v>
      </c>
      <c r="I647">
        <v>470.20311383399996</v>
      </c>
      <c r="J647">
        <v>72.470359089447655</v>
      </c>
      <c r="K647">
        <v>1250</v>
      </c>
      <c r="L647">
        <v>0</v>
      </c>
      <c r="N647">
        <v>36</v>
      </c>
      <c r="O647" s="60" t="s">
        <v>1622</v>
      </c>
      <c r="P647" t="s">
        <v>1054</v>
      </c>
      <c r="Q647" t="s">
        <v>906</v>
      </c>
    </row>
    <row r="648" spans="1:17" x14ac:dyDescent="0.25">
      <c r="A648" t="s">
        <v>19</v>
      </c>
      <c r="B648">
        <v>129.29999999999998</v>
      </c>
      <c r="C648">
        <v>97.3</v>
      </c>
      <c r="D648">
        <v>7.2</v>
      </c>
      <c r="E648">
        <v>129.29999999999998</v>
      </c>
      <c r="F648">
        <v>95.95</v>
      </c>
      <c r="G648">
        <v>7.2</v>
      </c>
      <c r="H648">
        <v>1.2</v>
      </c>
      <c r="I648">
        <v>470.20311383399996</v>
      </c>
      <c r="J648">
        <v>0.60616471357344437</v>
      </c>
      <c r="K648">
        <v>1000</v>
      </c>
      <c r="L648">
        <v>0</v>
      </c>
      <c r="N648">
        <v>36</v>
      </c>
      <c r="O648" s="60" t="s">
        <v>1623</v>
      </c>
      <c r="P648" t="s">
        <v>1055</v>
      </c>
      <c r="Q648" t="s">
        <v>870</v>
      </c>
    </row>
    <row r="649" spans="1:17" x14ac:dyDescent="0.25">
      <c r="A649" t="s">
        <v>19</v>
      </c>
      <c r="B649">
        <v>129.29999999999998</v>
      </c>
      <c r="C649">
        <v>95.95</v>
      </c>
      <c r="D649">
        <v>7.2</v>
      </c>
      <c r="E649">
        <v>290.7</v>
      </c>
      <c r="F649">
        <v>95.95</v>
      </c>
      <c r="G649">
        <v>7.2</v>
      </c>
      <c r="H649">
        <v>1.2</v>
      </c>
      <c r="I649">
        <v>470.20311383399996</v>
      </c>
      <c r="J649">
        <v>72.470359089447655</v>
      </c>
      <c r="K649">
        <v>1250</v>
      </c>
      <c r="L649">
        <v>0</v>
      </c>
      <c r="N649">
        <v>36</v>
      </c>
      <c r="O649" s="60" t="s">
        <v>1624</v>
      </c>
      <c r="P649" t="s">
        <v>1056</v>
      </c>
      <c r="Q649" t="s">
        <v>907</v>
      </c>
    </row>
    <row r="650" spans="1:17" x14ac:dyDescent="0.25">
      <c r="A650" t="s">
        <v>19</v>
      </c>
      <c r="B650">
        <v>290.7</v>
      </c>
      <c r="C650">
        <v>95.95</v>
      </c>
      <c r="D650">
        <v>7.2</v>
      </c>
      <c r="E650">
        <v>290.7</v>
      </c>
      <c r="F650">
        <v>94.600000000000009</v>
      </c>
      <c r="G650">
        <v>7.2</v>
      </c>
      <c r="H650">
        <v>1.2</v>
      </c>
      <c r="I650">
        <v>470.20311383399996</v>
      </c>
      <c r="J650">
        <v>0.60616471357344437</v>
      </c>
      <c r="K650">
        <v>1000</v>
      </c>
      <c r="L650">
        <v>0</v>
      </c>
      <c r="N650">
        <v>36</v>
      </c>
      <c r="O650" s="60" t="s">
        <v>1625</v>
      </c>
      <c r="P650" t="s">
        <v>1057</v>
      </c>
      <c r="Q650" t="s">
        <v>881</v>
      </c>
    </row>
    <row r="651" spans="1:17" x14ac:dyDescent="0.25">
      <c r="A651" t="s">
        <v>19</v>
      </c>
      <c r="B651">
        <v>290.7</v>
      </c>
      <c r="C651">
        <v>94.6</v>
      </c>
      <c r="D651">
        <v>7.2</v>
      </c>
      <c r="E651">
        <v>129.29999999999998</v>
      </c>
      <c r="F651">
        <v>94.6</v>
      </c>
      <c r="G651">
        <v>7.2</v>
      </c>
      <c r="H651">
        <v>1.2</v>
      </c>
      <c r="I651">
        <v>470.20311383399996</v>
      </c>
      <c r="J651">
        <v>72.470359089447655</v>
      </c>
      <c r="K651">
        <v>1250</v>
      </c>
      <c r="L651">
        <v>0</v>
      </c>
      <c r="N651">
        <v>36</v>
      </c>
      <c r="O651" s="60" t="s">
        <v>1626</v>
      </c>
      <c r="P651" t="s">
        <v>1054</v>
      </c>
      <c r="Q651" t="s">
        <v>906</v>
      </c>
    </row>
    <row r="652" spans="1:17" x14ac:dyDescent="0.25">
      <c r="A652" t="s">
        <v>19</v>
      </c>
      <c r="B652">
        <v>129.29999999999998</v>
      </c>
      <c r="C652">
        <v>94.6</v>
      </c>
      <c r="D652">
        <v>7.2</v>
      </c>
      <c r="E652">
        <v>129.29999999999998</v>
      </c>
      <c r="F652">
        <v>93.25</v>
      </c>
      <c r="G652">
        <v>7.2</v>
      </c>
      <c r="H652">
        <v>1.2</v>
      </c>
      <c r="I652">
        <v>470.20311383399996</v>
      </c>
      <c r="J652">
        <v>0.60616471357344437</v>
      </c>
      <c r="K652">
        <v>1000</v>
      </c>
      <c r="L652">
        <v>0</v>
      </c>
      <c r="N652">
        <v>36</v>
      </c>
      <c r="O652" s="60" t="s">
        <v>1627</v>
      </c>
      <c r="P652" t="s">
        <v>1055</v>
      </c>
      <c r="Q652" t="s">
        <v>873</v>
      </c>
    </row>
    <row r="653" spans="1:17" x14ac:dyDescent="0.25">
      <c r="A653" t="s">
        <v>19</v>
      </c>
      <c r="B653">
        <v>129.29999999999998</v>
      </c>
      <c r="C653">
        <v>93.25</v>
      </c>
      <c r="D653">
        <v>7.2</v>
      </c>
      <c r="E653">
        <v>290.7</v>
      </c>
      <c r="F653">
        <v>93.25</v>
      </c>
      <c r="G653">
        <v>7.2</v>
      </c>
      <c r="H653">
        <v>1.2</v>
      </c>
      <c r="I653">
        <v>470.20311383399996</v>
      </c>
      <c r="J653">
        <v>72.470359089447655</v>
      </c>
      <c r="K653">
        <v>1250</v>
      </c>
      <c r="L653">
        <v>0</v>
      </c>
      <c r="N653">
        <v>36</v>
      </c>
      <c r="O653" s="60" t="s">
        <v>1628</v>
      </c>
      <c r="P653" t="s">
        <v>1056</v>
      </c>
      <c r="Q653" t="s">
        <v>907</v>
      </c>
    </row>
    <row r="654" spans="1:17" x14ac:dyDescent="0.25">
      <c r="A654" t="s">
        <v>19</v>
      </c>
      <c r="B654">
        <v>290.7</v>
      </c>
      <c r="C654">
        <v>93.25</v>
      </c>
      <c r="D654">
        <v>7.2</v>
      </c>
      <c r="E654">
        <v>290.7</v>
      </c>
      <c r="F654">
        <v>91.9</v>
      </c>
      <c r="G654">
        <v>7.2</v>
      </c>
      <c r="H654">
        <v>1.2</v>
      </c>
      <c r="I654">
        <v>470.20311383399996</v>
      </c>
      <c r="J654">
        <v>0.60616471357344437</v>
      </c>
      <c r="K654">
        <v>1000</v>
      </c>
      <c r="L654">
        <v>0</v>
      </c>
      <c r="N654">
        <v>36</v>
      </c>
      <c r="O654" s="60" t="s">
        <v>1629</v>
      </c>
      <c r="P654" t="s">
        <v>1057</v>
      </c>
      <c r="Q654" t="s">
        <v>882</v>
      </c>
    </row>
    <row r="655" spans="1:17" x14ac:dyDescent="0.25">
      <c r="A655" t="s">
        <v>19</v>
      </c>
      <c r="B655">
        <v>290.7</v>
      </c>
      <c r="C655">
        <v>91.9</v>
      </c>
      <c r="D655">
        <v>7.2</v>
      </c>
      <c r="E655">
        <v>129.29999999999998</v>
      </c>
      <c r="F655">
        <v>91.9</v>
      </c>
      <c r="G655">
        <v>7.2</v>
      </c>
      <c r="H655">
        <v>1.2</v>
      </c>
      <c r="I655">
        <v>470.20311383399996</v>
      </c>
      <c r="J655">
        <v>72.470359089447655</v>
      </c>
      <c r="K655">
        <v>1250</v>
      </c>
      <c r="L655">
        <v>0</v>
      </c>
      <c r="N655">
        <v>36</v>
      </c>
      <c r="O655" s="60" t="s">
        <v>1630</v>
      </c>
      <c r="P655" t="s">
        <v>1054</v>
      </c>
      <c r="Q655" t="s">
        <v>906</v>
      </c>
    </row>
    <row r="656" spans="1:17" x14ac:dyDescent="0.25">
      <c r="A656" t="s">
        <v>19</v>
      </c>
      <c r="B656">
        <v>129.29999999999998</v>
      </c>
      <c r="C656">
        <v>91.9</v>
      </c>
      <c r="D656">
        <v>7.2</v>
      </c>
      <c r="E656">
        <v>129.29999999999998</v>
      </c>
      <c r="F656">
        <v>90.550000000000011</v>
      </c>
      <c r="G656">
        <v>7.2</v>
      </c>
      <c r="H656">
        <v>1.2</v>
      </c>
      <c r="I656">
        <v>470.20311383399996</v>
      </c>
      <c r="J656">
        <v>0.60616471357344437</v>
      </c>
      <c r="K656">
        <v>1000</v>
      </c>
      <c r="L656">
        <v>0</v>
      </c>
      <c r="N656">
        <v>36</v>
      </c>
      <c r="O656" s="60" t="s">
        <v>1631</v>
      </c>
      <c r="P656" t="s">
        <v>1055</v>
      </c>
      <c r="Q656" t="s">
        <v>874</v>
      </c>
    </row>
    <row r="657" spans="1:17" x14ac:dyDescent="0.25">
      <c r="A657" t="s">
        <v>19</v>
      </c>
      <c r="B657">
        <v>129.29999999999998</v>
      </c>
      <c r="C657">
        <v>90.550000000000011</v>
      </c>
      <c r="D657">
        <v>7.2</v>
      </c>
      <c r="E657">
        <v>290.7</v>
      </c>
      <c r="F657">
        <v>90.550000000000011</v>
      </c>
      <c r="G657">
        <v>7.2</v>
      </c>
      <c r="H657">
        <v>1.2</v>
      </c>
      <c r="I657">
        <v>470.20311383399996</v>
      </c>
      <c r="J657">
        <v>72.470359089447655</v>
      </c>
      <c r="K657">
        <v>1250</v>
      </c>
      <c r="L657">
        <v>0</v>
      </c>
      <c r="N657">
        <v>36</v>
      </c>
      <c r="O657" s="60" t="s">
        <v>1632</v>
      </c>
      <c r="P657" t="s">
        <v>1056</v>
      </c>
      <c r="Q657" t="s">
        <v>907</v>
      </c>
    </row>
    <row r="658" spans="1:17" x14ac:dyDescent="0.25">
      <c r="A658" t="s">
        <v>19</v>
      </c>
      <c r="B658">
        <v>290.7</v>
      </c>
      <c r="C658">
        <v>90.550000000000011</v>
      </c>
      <c r="D658">
        <v>7.2</v>
      </c>
      <c r="E658">
        <v>290.7</v>
      </c>
      <c r="F658">
        <v>89.200000000000017</v>
      </c>
      <c r="G658">
        <v>7.2</v>
      </c>
      <c r="H658">
        <v>1.2</v>
      </c>
      <c r="I658">
        <v>470.20311383399996</v>
      </c>
      <c r="J658">
        <v>0.60616471357344437</v>
      </c>
      <c r="K658">
        <v>1000</v>
      </c>
      <c r="L658">
        <v>0</v>
      </c>
      <c r="N658">
        <v>36</v>
      </c>
      <c r="O658" s="60" t="s">
        <v>1633</v>
      </c>
      <c r="P658" t="s">
        <v>1057</v>
      </c>
      <c r="Q658" t="s">
        <v>883</v>
      </c>
    </row>
    <row r="659" spans="1:17" x14ac:dyDescent="0.25">
      <c r="A659" t="s">
        <v>19</v>
      </c>
      <c r="B659">
        <v>290.7</v>
      </c>
      <c r="C659">
        <v>89.2</v>
      </c>
      <c r="D659">
        <v>7.2</v>
      </c>
      <c r="E659">
        <v>129.29999999999998</v>
      </c>
      <c r="F659">
        <v>89.2</v>
      </c>
      <c r="G659">
        <v>7.2</v>
      </c>
      <c r="H659">
        <v>1.2</v>
      </c>
      <c r="I659">
        <v>470.20311383399996</v>
      </c>
      <c r="J659">
        <v>72.470359089447655</v>
      </c>
      <c r="K659">
        <v>1250</v>
      </c>
      <c r="L659">
        <v>0</v>
      </c>
      <c r="N659">
        <v>36</v>
      </c>
      <c r="O659" s="60" t="s">
        <v>1634</v>
      </c>
      <c r="P659" t="s">
        <v>1054</v>
      </c>
      <c r="Q659" t="s">
        <v>906</v>
      </c>
    </row>
    <row r="660" spans="1:17" x14ac:dyDescent="0.25">
      <c r="A660" t="s">
        <v>19</v>
      </c>
      <c r="B660">
        <v>129.29999999999998</v>
      </c>
      <c r="C660">
        <v>89.2</v>
      </c>
      <c r="D660">
        <v>7.2</v>
      </c>
      <c r="E660">
        <v>129.29999999999998</v>
      </c>
      <c r="F660">
        <v>87.850000000000009</v>
      </c>
      <c r="G660">
        <v>7.2</v>
      </c>
      <c r="H660">
        <v>1.2</v>
      </c>
      <c r="I660">
        <v>470.20311383399996</v>
      </c>
      <c r="J660">
        <v>0.60616471357344437</v>
      </c>
      <c r="K660">
        <v>1000</v>
      </c>
      <c r="L660">
        <v>0</v>
      </c>
      <c r="N660">
        <v>36</v>
      </c>
      <c r="O660" s="60" t="s">
        <v>1635</v>
      </c>
      <c r="P660" t="s">
        <v>1055</v>
      </c>
      <c r="Q660" t="s">
        <v>875</v>
      </c>
    </row>
    <row r="661" spans="1:17" x14ac:dyDescent="0.25">
      <c r="A661" t="s">
        <v>19</v>
      </c>
      <c r="B661">
        <v>129.29999999999998</v>
      </c>
      <c r="C661">
        <v>87.850000000000009</v>
      </c>
      <c r="D661">
        <v>7.2</v>
      </c>
      <c r="E661">
        <v>290.7</v>
      </c>
      <c r="F661">
        <v>87.850000000000009</v>
      </c>
      <c r="G661">
        <v>7.2</v>
      </c>
      <c r="H661">
        <v>1.2</v>
      </c>
      <c r="I661">
        <v>470.20311383399996</v>
      </c>
      <c r="J661">
        <v>72.470359089447655</v>
      </c>
      <c r="K661">
        <v>1250</v>
      </c>
      <c r="L661">
        <v>0</v>
      </c>
      <c r="N661">
        <v>36</v>
      </c>
      <c r="O661" s="60" t="s">
        <v>1636</v>
      </c>
      <c r="P661" t="s">
        <v>1056</v>
      </c>
      <c r="Q661" t="s">
        <v>907</v>
      </c>
    </row>
    <row r="662" spans="1:17" x14ac:dyDescent="0.25">
      <c r="A662" t="s">
        <v>19</v>
      </c>
      <c r="B662">
        <v>290.7</v>
      </c>
      <c r="C662">
        <v>87.850000000000009</v>
      </c>
      <c r="D662">
        <v>7.2</v>
      </c>
      <c r="E662">
        <v>290.7</v>
      </c>
      <c r="F662">
        <v>86.500000000000014</v>
      </c>
      <c r="G662">
        <v>7.2</v>
      </c>
      <c r="H662">
        <v>1.2</v>
      </c>
      <c r="I662">
        <v>470.20311383399996</v>
      </c>
      <c r="J662">
        <v>0.60616471357344437</v>
      </c>
      <c r="K662">
        <v>1000</v>
      </c>
      <c r="L662">
        <v>0</v>
      </c>
      <c r="N662">
        <v>36</v>
      </c>
      <c r="O662" s="60" t="s">
        <v>1637</v>
      </c>
      <c r="P662" t="s">
        <v>1057</v>
      </c>
      <c r="Q662" t="s">
        <v>884</v>
      </c>
    </row>
    <row r="663" spans="1:17" x14ac:dyDescent="0.25">
      <c r="A663" t="s">
        <v>19</v>
      </c>
      <c r="B663">
        <v>290.7</v>
      </c>
      <c r="C663">
        <v>86.5</v>
      </c>
      <c r="D663">
        <v>7.2</v>
      </c>
      <c r="E663">
        <v>129.29999999999998</v>
      </c>
      <c r="F663">
        <v>86.5</v>
      </c>
      <c r="G663">
        <v>7.2</v>
      </c>
      <c r="H663">
        <v>1.2</v>
      </c>
      <c r="I663">
        <v>470.20311383399996</v>
      </c>
      <c r="J663">
        <v>72.470359089447655</v>
      </c>
      <c r="K663">
        <v>1250</v>
      </c>
      <c r="L663">
        <v>0</v>
      </c>
      <c r="N663">
        <v>36</v>
      </c>
      <c r="O663" s="60" t="s">
        <v>1638</v>
      </c>
      <c r="P663" t="s">
        <v>1054</v>
      </c>
      <c r="Q663" t="s">
        <v>906</v>
      </c>
    </row>
    <row r="664" spans="1:17" x14ac:dyDescent="0.25">
      <c r="A664" t="s">
        <v>19</v>
      </c>
      <c r="B664">
        <v>129.29999999999998</v>
      </c>
      <c r="C664">
        <v>86.5</v>
      </c>
      <c r="D664">
        <v>7.2</v>
      </c>
      <c r="E664">
        <v>129.29999999999998</v>
      </c>
      <c r="F664">
        <v>85.15</v>
      </c>
      <c r="G664">
        <v>7.2</v>
      </c>
      <c r="H664">
        <v>1.2</v>
      </c>
      <c r="I664">
        <v>470.20311383399996</v>
      </c>
      <c r="J664">
        <v>0.60616471357344437</v>
      </c>
      <c r="K664">
        <v>1000</v>
      </c>
      <c r="L664">
        <v>0</v>
      </c>
      <c r="N664">
        <v>36</v>
      </c>
      <c r="O664" s="60" t="s">
        <v>1639</v>
      </c>
      <c r="P664" t="s">
        <v>1055</v>
      </c>
      <c r="Q664" t="s">
        <v>876</v>
      </c>
    </row>
    <row r="665" spans="1:17" x14ac:dyDescent="0.25">
      <c r="A665" t="s">
        <v>19</v>
      </c>
      <c r="B665">
        <v>129.29999999999998</v>
      </c>
      <c r="C665">
        <v>85.15</v>
      </c>
      <c r="D665">
        <v>7.2</v>
      </c>
      <c r="E665">
        <v>290.7</v>
      </c>
      <c r="F665">
        <v>85.15</v>
      </c>
      <c r="G665">
        <v>7.2</v>
      </c>
      <c r="H665">
        <v>1.2</v>
      </c>
      <c r="I665">
        <v>470.20311383399996</v>
      </c>
      <c r="J665">
        <v>72.470359089447655</v>
      </c>
      <c r="K665">
        <v>1250</v>
      </c>
      <c r="L665">
        <v>0</v>
      </c>
      <c r="N665">
        <v>36</v>
      </c>
      <c r="O665" s="60" t="s">
        <v>1640</v>
      </c>
      <c r="P665" t="s">
        <v>1056</v>
      </c>
      <c r="Q665" t="s">
        <v>907</v>
      </c>
    </row>
    <row r="666" spans="1:17" x14ac:dyDescent="0.25">
      <c r="A666" t="s">
        <v>19</v>
      </c>
      <c r="B666">
        <v>290.7</v>
      </c>
      <c r="C666">
        <v>85.15</v>
      </c>
      <c r="D666">
        <v>7.2</v>
      </c>
      <c r="E666">
        <v>290.7</v>
      </c>
      <c r="F666">
        <v>83.800000000000011</v>
      </c>
      <c r="G666">
        <v>7.2</v>
      </c>
      <c r="H666">
        <v>1.2</v>
      </c>
      <c r="I666">
        <v>470.20311383399996</v>
      </c>
      <c r="J666">
        <v>0.60616471357344437</v>
      </c>
      <c r="K666">
        <v>1000</v>
      </c>
      <c r="L666">
        <v>0</v>
      </c>
      <c r="N666">
        <v>36</v>
      </c>
      <c r="O666" s="60" t="s">
        <v>1641</v>
      </c>
      <c r="P666" t="s">
        <v>1057</v>
      </c>
      <c r="Q666" t="s">
        <v>885</v>
      </c>
    </row>
    <row r="667" spans="1:17" x14ac:dyDescent="0.25">
      <c r="A667" t="s">
        <v>19</v>
      </c>
      <c r="B667">
        <v>290.7</v>
      </c>
      <c r="C667">
        <v>83.8</v>
      </c>
      <c r="D667">
        <v>7.2</v>
      </c>
      <c r="E667">
        <v>129.29999999999998</v>
      </c>
      <c r="F667">
        <v>83.8</v>
      </c>
      <c r="G667">
        <v>7.2</v>
      </c>
      <c r="H667">
        <v>1.2</v>
      </c>
      <c r="I667">
        <v>470.20311383399996</v>
      </c>
      <c r="J667">
        <v>72.470359089447655</v>
      </c>
      <c r="K667">
        <v>1250</v>
      </c>
      <c r="L667">
        <v>0</v>
      </c>
      <c r="N667">
        <v>36</v>
      </c>
      <c r="O667" s="60" t="s">
        <v>1642</v>
      </c>
      <c r="P667" t="s">
        <v>1054</v>
      </c>
      <c r="Q667" t="s">
        <v>906</v>
      </c>
    </row>
    <row r="668" spans="1:17" x14ac:dyDescent="0.25">
      <c r="A668" t="s">
        <v>19</v>
      </c>
      <c r="B668">
        <v>129.29999999999998</v>
      </c>
      <c r="C668">
        <v>83.8</v>
      </c>
      <c r="D668">
        <v>7.2</v>
      </c>
      <c r="E668">
        <v>129.29999999999998</v>
      </c>
      <c r="F668">
        <v>82.45</v>
      </c>
      <c r="G668">
        <v>7.2</v>
      </c>
      <c r="H668">
        <v>1.2</v>
      </c>
      <c r="I668">
        <v>470.20311383399996</v>
      </c>
      <c r="J668">
        <v>0.60616471357344437</v>
      </c>
      <c r="K668">
        <v>1000</v>
      </c>
      <c r="L668">
        <v>0</v>
      </c>
      <c r="N668">
        <v>36</v>
      </c>
      <c r="O668" s="60" t="s">
        <v>1643</v>
      </c>
      <c r="P668" t="s">
        <v>1055</v>
      </c>
      <c r="Q668" t="s">
        <v>877</v>
      </c>
    </row>
    <row r="669" spans="1:17" x14ac:dyDescent="0.25">
      <c r="A669" t="s">
        <v>19</v>
      </c>
      <c r="B669">
        <v>129.29999999999998</v>
      </c>
      <c r="C669">
        <v>82.45</v>
      </c>
      <c r="D669">
        <v>7.2</v>
      </c>
      <c r="E669">
        <v>290.7</v>
      </c>
      <c r="F669">
        <v>82.45</v>
      </c>
      <c r="G669">
        <v>7.2</v>
      </c>
      <c r="H669">
        <v>1.2</v>
      </c>
      <c r="I669">
        <v>470.20311383399996</v>
      </c>
      <c r="J669">
        <v>72.470359089447655</v>
      </c>
      <c r="K669">
        <v>1250</v>
      </c>
      <c r="L669">
        <v>0</v>
      </c>
      <c r="N669">
        <v>36</v>
      </c>
      <c r="O669" s="60" t="s">
        <v>1644</v>
      </c>
      <c r="P669" t="s">
        <v>1056</v>
      </c>
      <c r="Q669" t="s">
        <v>907</v>
      </c>
    </row>
    <row r="670" spans="1:17" x14ac:dyDescent="0.25">
      <c r="A670" t="s">
        <v>19</v>
      </c>
      <c r="B670">
        <v>290.7</v>
      </c>
      <c r="C670">
        <v>82.45</v>
      </c>
      <c r="D670">
        <v>7.2</v>
      </c>
      <c r="E670">
        <v>290.7</v>
      </c>
      <c r="F670">
        <v>81.100000000000009</v>
      </c>
      <c r="G670">
        <v>7.2</v>
      </c>
      <c r="H670">
        <v>1.2</v>
      </c>
      <c r="I670">
        <v>470.20311383399996</v>
      </c>
      <c r="J670">
        <v>0.60616471357344437</v>
      </c>
      <c r="K670">
        <v>1000</v>
      </c>
      <c r="L670">
        <v>0</v>
      </c>
      <c r="N670">
        <v>36</v>
      </c>
      <c r="O670" s="60" t="s">
        <v>1645</v>
      </c>
      <c r="P670" t="s">
        <v>1057</v>
      </c>
      <c r="Q670" t="s">
        <v>886</v>
      </c>
    </row>
    <row r="671" spans="1:17" x14ac:dyDescent="0.25">
      <c r="A671" t="s">
        <v>19</v>
      </c>
      <c r="B671">
        <v>290.7</v>
      </c>
      <c r="C671">
        <v>81.099999999999994</v>
      </c>
      <c r="D671">
        <v>7.2</v>
      </c>
      <c r="E671">
        <v>129.29999999999998</v>
      </c>
      <c r="F671">
        <v>81.099999999999994</v>
      </c>
      <c r="G671">
        <v>7.2</v>
      </c>
      <c r="H671">
        <v>1.2</v>
      </c>
      <c r="I671">
        <v>470.20311383399996</v>
      </c>
      <c r="J671">
        <v>72.470359089447655</v>
      </c>
      <c r="K671">
        <v>1250</v>
      </c>
      <c r="L671">
        <v>0</v>
      </c>
      <c r="N671">
        <v>36</v>
      </c>
      <c r="O671" s="60" t="s">
        <v>1646</v>
      </c>
      <c r="P671" t="s">
        <v>1054</v>
      </c>
      <c r="Q671" t="s">
        <v>906</v>
      </c>
    </row>
    <row r="672" spans="1:17" x14ac:dyDescent="0.25">
      <c r="A672" t="s">
        <v>19</v>
      </c>
      <c r="B672">
        <v>129.29999999999998</v>
      </c>
      <c r="C672">
        <v>81.099999999999994</v>
      </c>
      <c r="D672">
        <v>7.2</v>
      </c>
      <c r="E672">
        <v>129.29999999999998</v>
      </c>
      <c r="F672">
        <v>79.75</v>
      </c>
      <c r="G672">
        <v>7.2</v>
      </c>
      <c r="H672">
        <v>1.2</v>
      </c>
      <c r="I672">
        <v>470.20311383399996</v>
      </c>
      <c r="J672">
        <v>0.60616471357344437</v>
      </c>
      <c r="K672">
        <v>1000</v>
      </c>
      <c r="L672">
        <v>0</v>
      </c>
      <c r="N672">
        <v>36</v>
      </c>
      <c r="O672" s="60" t="s">
        <v>1647</v>
      </c>
      <c r="P672" t="s">
        <v>1055</v>
      </c>
      <c r="Q672" t="s">
        <v>878</v>
      </c>
    </row>
    <row r="673" spans="1:17" x14ac:dyDescent="0.25">
      <c r="A673" t="s">
        <v>19</v>
      </c>
      <c r="B673">
        <v>129.29999999999998</v>
      </c>
      <c r="C673">
        <v>79.75</v>
      </c>
      <c r="D673">
        <v>7.2</v>
      </c>
      <c r="E673">
        <v>290.7</v>
      </c>
      <c r="F673">
        <v>79.75</v>
      </c>
      <c r="G673">
        <v>7.2</v>
      </c>
      <c r="H673">
        <v>1.2</v>
      </c>
      <c r="I673">
        <v>470.20311383399996</v>
      </c>
      <c r="J673">
        <v>72.470359089447655</v>
      </c>
      <c r="K673">
        <v>1250</v>
      </c>
      <c r="L673">
        <v>0</v>
      </c>
      <c r="N673">
        <v>36</v>
      </c>
      <c r="O673" s="60" t="s">
        <v>1648</v>
      </c>
      <c r="P673" t="s">
        <v>1056</v>
      </c>
      <c r="Q673" t="s">
        <v>907</v>
      </c>
    </row>
    <row r="674" spans="1:17" x14ac:dyDescent="0.25">
      <c r="A674" t="s">
        <v>19</v>
      </c>
      <c r="B674">
        <v>290.7</v>
      </c>
      <c r="C674">
        <v>79.75</v>
      </c>
      <c r="D674">
        <v>7.2</v>
      </c>
      <c r="E674">
        <v>290.7</v>
      </c>
      <c r="F674">
        <v>78.400000000000006</v>
      </c>
      <c r="G674">
        <v>7.2</v>
      </c>
      <c r="H674">
        <v>1.2</v>
      </c>
      <c r="I674">
        <v>470.20311383399996</v>
      </c>
      <c r="J674">
        <v>0.60616471357344437</v>
      </c>
      <c r="K674">
        <v>1000</v>
      </c>
      <c r="L674">
        <v>0</v>
      </c>
      <c r="N674">
        <v>36</v>
      </c>
      <c r="O674" s="60" t="s">
        <v>1649</v>
      </c>
      <c r="P674" t="s">
        <v>1057</v>
      </c>
      <c r="Q674" t="s">
        <v>887</v>
      </c>
    </row>
    <row r="675" spans="1:17" x14ac:dyDescent="0.25">
      <c r="A675" t="s">
        <v>19</v>
      </c>
      <c r="B675">
        <v>290.7</v>
      </c>
      <c r="C675">
        <v>78.400000000000006</v>
      </c>
      <c r="D675">
        <v>7.2</v>
      </c>
      <c r="E675">
        <v>129.29999999999998</v>
      </c>
      <c r="F675">
        <v>78.400000000000006</v>
      </c>
      <c r="G675">
        <v>7.2</v>
      </c>
      <c r="H675">
        <v>1.2</v>
      </c>
      <c r="I675">
        <v>470.20311383399996</v>
      </c>
      <c r="J675">
        <v>72.470359089447655</v>
      </c>
      <c r="K675">
        <v>1250</v>
      </c>
      <c r="L675">
        <v>0</v>
      </c>
      <c r="N675">
        <v>36</v>
      </c>
      <c r="O675" s="60" t="s">
        <v>1650</v>
      </c>
      <c r="P675" t="s">
        <v>1054</v>
      </c>
      <c r="Q675" t="s">
        <v>906</v>
      </c>
    </row>
    <row r="676" spans="1:17" x14ac:dyDescent="0.25">
      <c r="A676" t="s">
        <v>19</v>
      </c>
      <c r="B676">
        <v>129.29999999999998</v>
      </c>
      <c r="C676">
        <v>78.400000000000006</v>
      </c>
      <c r="D676">
        <v>7.2</v>
      </c>
      <c r="E676">
        <v>129.29999999999998</v>
      </c>
      <c r="F676">
        <v>77.050000000000011</v>
      </c>
      <c r="G676">
        <v>7.2</v>
      </c>
      <c r="H676">
        <v>1.2</v>
      </c>
      <c r="I676">
        <v>470.20311383399996</v>
      </c>
      <c r="J676">
        <v>0.60616471357344437</v>
      </c>
      <c r="K676">
        <v>1000</v>
      </c>
      <c r="L676">
        <v>0</v>
      </c>
      <c r="N676">
        <v>36</v>
      </c>
      <c r="O676" s="60" t="s">
        <v>1651</v>
      </c>
      <c r="P676" t="s">
        <v>1055</v>
      </c>
      <c r="Q676" t="s">
        <v>879</v>
      </c>
    </row>
    <row r="677" spans="1:17" x14ac:dyDescent="0.25">
      <c r="A677" t="s">
        <v>19</v>
      </c>
      <c r="B677">
        <v>129.29999999999998</v>
      </c>
      <c r="C677">
        <v>77.050000000000011</v>
      </c>
      <c r="D677">
        <v>7.2</v>
      </c>
      <c r="E677">
        <v>290.7</v>
      </c>
      <c r="F677">
        <v>77.050000000000011</v>
      </c>
      <c r="G677">
        <v>7.2</v>
      </c>
      <c r="H677">
        <v>1.2</v>
      </c>
      <c r="I677">
        <v>470.20311383399996</v>
      </c>
      <c r="J677">
        <v>72.470359089447655</v>
      </c>
      <c r="K677">
        <v>1250</v>
      </c>
      <c r="L677">
        <v>0</v>
      </c>
      <c r="N677">
        <v>36</v>
      </c>
      <c r="O677" s="60" t="s">
        <v>1652</v>
      </c>
      <c r="P677" t="s">
        <v>1056</v>
      </c>
      <c r="Q677" t="s">
        <v>907</v>
      </c>
    </row>
    <row r="678" spans="1:17" x14ac:dyDescent="0.25">
      <c r="A678" t="s">
        <v>19</v>
      </c>
      <c r="B678">
        <v>290.7</v>
      </c>
      <c r="C678">
        <v>77.050000000000011</v>
      </c>
      <c r="D678">
        <v>7.2</v>
      </c>
      <c r="E678">
        <v>290.7</v>
      </c>
      <c r="F678">
        <v>75.700000000000017</v>
      </c>
      <c r="G678">
        <v>7.2</v>
      </c>
      <c r="H678">
        <v>1.2</v>
      </c>
      <c r="I678">
        <v>470.20311383399996</v>
      </c>
      <c r="J678">
        <v>0.60616471357344437</v>
      </c>
      <c r="K678">
        <v>1000</v>
      </c>
      <c r="L678">
        <v>0</v>
      </c>
      <c r="N678">
        <v>36</v>
      </c>
      <c r="O678" s="60" t="s">
        <v>1653</v>
      </c>
      <c r="P678" t="s">
        <v>1057</v>
      </c>
      <c r="Q678" t="s">
        <v>888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2"/>
  <sheetViews>
    <sheetView workbookViewId="0">
      <selection activeCell="B2" sqref="B2:B35"/>
    </sheetView>
  </sheetViews>
  <sheetFormatPr defaultRowHeight="15" x14ac:dyDescent="0.25"/>
  <cols>
    <col min="2" max="2" width="69.7109375" bestFit="1" customWidth="1"/>
    <col min="3" max="3" width="9.5703125" customWidth="1"/>
    <col min="4" max="4" width="11" customWidth="1"/>
    <col min="7" max="7" width="28.28515625" customWidth="1"/>
    <col min="8" max="8" width="16" customWidth="1"/>
    <col min="9" max="9" width="13.42578125" customWidth="1"/>
    <col min="13" max="13" width="12" customWidth="1"/>
    <col min="14" max="14" width="16.140625" customWidth="1"/>
    <col min="15" max="15" width="16.28515625" bestFit="1" customWidth="1"/>
    <col min="16" max="16" width="50.7109375" customWidth="1"/>
  </cols>
  <sheetData>
    <row r="1" spans="1:9" x14ac:dyDescent="0.25">
      <c r="A1" t="s">
        <v>107</v>
      </c>
      <c r="B1" t="s">
        <v>635</v>
      </c>
      <c r="I1" t="s">
        <v>489</v>
      </c>
    </row>
    <row r="2" spans="1:9" x14ac:dyDescent="0.25">
      <c r="B2" t="s">
        <v>637</v>
      </c>
    </row>
    <row r="3" spans="1:9" x14ac:dyDescent="0.25">
      <c r="I3" t="s">
        <v>484</v>
      </c>
    </row>
    <row r="4" spans="1:9" x14ac:dyDescent="0.25">
      <c r="B4" t="s">
        <v>495</v>
      </c>
    </row>
    <row r="6" spans="1:9" x14ac:dyDescent="0.25">
      <c r="B6" t="str">
        <f>CONCATENATE("M104 S",NozzleTemp, " ", StartTool)</f>
        <v>M104 S220 T0</v>
      </c>
      <c r="I6" t="s">
        <v>485</v>
      </c>
    </row>
    <row r="7" spans="1:9" x14ac:dyDescent="0.25">
      <c r="B7" t="str">
        <f>CONCATENATE("M140 S",BedTemp)</f>
        <v>M140 S0</v>
      </c>
    </row>
    <row r="8" spans="1:9" ht="14.25" customHeight="1" x14ac:dyDescent="0.25">
      <c r="I8" t="s">
        <v>539</v>
      </c>
    </row>
    <row r="9" spans="1:9" ht="17.25" customHeight="1" x14ac:dyDescent="0.25">
      <c r="B9" t="s">
        <v>485</v>
      </c>
      <c r="I9" s="133" t="s">
        <v>540</v>
      </c>
    </row>
    <row r="10" spans="1:9" x14ac:dyDescent="0.25">
      <c r="B10" t="s">
        <v>633</v>
      </c>
      <c r="I10" t="s">
        <v>541</v>
      </c>
    </row>
    <row r="11" spans="1:9" x14ac:dyDescent="0.25">
      <c r="I11" t="s">
        <v>542</v>
      </c>
    </row>
    <row r="12" spans="1:9" x14ac:dyDescent="0.25">
      <c r="B12" t="s">
        <v>769</v>
      </c>
      <c r="I12" t="s">
        <v>537</v>
      </c>
    </row>
    <row r="13" spans="1:9" ht="15" customHeight="1" x14ac:dyDescent="0.25">
      <c r="I13" s="133" t="s">
        <v>543</v>
      </c>
    </row>
    <row r="14" spans="1:9" x14ac:dyDescent="0.25">
      <c r="B14" t="s">
        <v>770</v>
      </c>
      <c r="I14" t="s">
        <v>547</v>
      </c>
    </row>
    <row r="15" spans="1:9" x14ac:dyDescent="0.25">
      <c r="B15" t="s">
        <v>772</v>
      </c>
      <c r="I15" t="s">
        <v>548</v>
      </c>
    </row>
    <row r="16" spans="1:9" x14ac:dyDescent="0.25">
      <c r="B16" t="str">
        <f>CONCATENATE("set global.concretePrimeX = ", ConcretePrimeX)</f>
        <v>set global.concretePrimeX = 125</v>
      </c>
      <c r="I16" t="s">
        <v>538</v>
      </c>
    </row>
    <row r="17" spans="2:9" x14ac:dyDescent="0.25">
      <c r="B17" t="str">
        <f>CONCATENATE("set global.concretePrimeY = ", ConcretePrimeY)</f>
        <v>set global.concretePrimeY = 125</v>
      </c>
    </row>
    <row r="18" spans="2:9" x14ac:dyDescent="0.25">
      <c r="B18" t="str">
        <f>CONCATENATE("set global.concretePrimeZ = ", ConcreteLayerHeight)</f>
        <v>set global.concretePrimeZ = 2.7</v>
      </c>
      <c r="I18" t="s">
        <v>467</v>
      </c>
    </row>
    <row r="19" spans="2:9" x14ac:dyDescent="0.25">
      <c r="B19" t="str">
        <f>CONCATENATE("set global.concretePrimeLength = ", ConcretePrimeLength)</f>
        <v>set global.concretePrimeLength = 150</v>
      </c>
    </row>
    <row r="20" spans="2:9" x14ac:dyDescent="0.25">
      <c r="B20" t="str">
        <f>CONCATENATE("set global.concretePrimeE = ", 1.465)</f>
        <v>set global.concretePrimeE = 1.465</v>
      </c>
      <c r="I20" t="str">
        <f>CONCATENATE("M140 S",BedTemp)</f>
        <v>M140 S0</v>
      </c>
    </row>
    <row r="21" spans="2:9" x14ac:dyDescent="0.25">
      <c r="I21" t="str">
        <f>CONCATENATE("M104 S",NozzleTemp, " T0")</f>
        <v>M104 S220 T0</v>
      </c>
    </row>
    <row r="22" spans="2:9" x14ac:dyDescent="0.25">
      <c r="B22" t="str">
        <f>CONCATENATE("M109 S",NozzleTemp)</f>
        <v>M109 S220</v>
      </c>
      <c r="I22" t="str">
        <f>CONCATENATE("M104 S",NozzleTemp, " T2")</f>
        <v>M104 S220 T2</v>
      </c>
    </row>
    <row r="23" spans="2:9" x14ac:dyDescent="0.25">
      <c r="B23" t="str">
        <f>CONCATENATE("M190 S",BedTemp)</f>
        <v>M190 S0</v>
      </c>
      <c r="I23" t="str">
        <f>CONCATENATE("M190 S",BedTemp)</f>
        <v>M190 S0</v>
      </c>
    </row>
    <row r="24" spans="2:9" x14ac:dyDescent="0.25">
      <c r="B24" t="str">
        <f>StartTool</f>
        <v>T0</v>
      </c>
      <c r="I24" t="str">
        <f>CONCATENATE("M109 S",NozzleTemp," T0")</f>
        <v>M109 S220 T0</v>
      </c>
    </row>
    <row r="25" spans="2:9" x14ac:dyDescent="0.25">
      <c r="I25" t="str">
        <f>CONCATENATE("M109 S",NozzleTemp," T2")</f>
        <v>M109 S220 T2</v>
      </c>
    </row>
    <row r="27" spans="2:9" x14ac:dyDescent="0.25">
      <c r="B27" t="s">
        <v>687</v>
      </c>
      <c r="I27" t="s">
        <v>490</v>
      </c>
    </row>
    <row r="28" spans="2:9" x14ac:dyDescent="0.25">
      <c r="I28" t="s">
        <v>470</v>
      </c>
    </row>
    <row r="29" spans="2:9" x14ac:dyDescent="0.25">
      <c r="B29" t="str">
        <f>CONCATENATE("M106 S",FanSpeed)</f>
        <v>M106 S0</v>
      </c>
      <c r="I29" t="str">
        <f>CONCATENATE("M106 S",FanSpeed, " ; set fan speed")</f>
        <v>M106 S0 ; set fan speed</v>
      </c>
    </row>
    <row r="31" spans="2:9" x14ac:dyDescent="0.25">
      <c r="B31" t="s">
        <v>649</v>
      </c>
      <c r="I31" t="s">
        <v>544</v>
      </c>
    </row>
    <row r="32" spans="2:9" x14ac:dyDescent="0.25">
      <c r="B32" t="s">
        <v>650</v>
      </c>
    </row>
    <row r="33" spans="2:9" x14ac:dyDescent="0.25">
      <c r="B33" t="s">
        <v>651</v>
      </c>
      <c r="I33" t="s">
        <v>486</v>
      </c>
    </row>
    <row r="34" spans="2:9" x14ac:dyDescent="0.25">
      <c r="I34" t="s">
        <v>487</v>
      </c>
    </row>
    <row r="35" spans="2:9" x14ac:dyDescent="0.25">
      <c r="B35" t="s">
        <v>636</v>
      </c>
    </row>
    <row r="36" spans="2:9" x14ac:dyDescent="0.25">
      <c r="I36" t="s">
        <v>488</v>
      </c>
    </row>
    <row r="39" spans="2:9" x14ac:dyDescent="0.25">
      <c r="I39" t="s">
        <v>121</v>
      </c>
    </row>
    <row r="53" spans="3:14" x14ac:dyDescent="0.25">
      <c r="J53" t="s">
        <v>109</v>
      </c>
      <c r="N53" t="s">
        <v>109</v>
      </c>
    </row>
    <row r="62" spans="3:14" x14ac:dyDescent="0.25">
      <c r="C62" t="s">
        <v>109</v>
      </c>
      <c r="D62" t="s">
        <v>109</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N48"/>
  <sheetViews>
    <sheetView zoomScaleNormal="100" workbookViewId="0">
      <selection activeCell="B2" sqref="B2:B23"/>
    </sheetView>
  </sheetViews>
  <sheetFormatPr defaultRowHeight="15" x14ac:dyDescent="0.25"/>
  <cols>
    <col min="2" max="2" width="73.28515625" customWidth="1"/>
    <col min="4" max="4" width="11" customWidth="1"/>
    <col min="7" max="8" width="28.28515625" customWidth="1"/>
    <col min="12" max="12" width="24.7109375" bestFit="1" customWidth="1"/>
    <col min="13" max="13" width="47.5703125" customWidth="1"/>
    <col min="14" max="14" width="9.7109375" customWidth="1"/>
  </cols>
  <sheetData>
    <row r="1" spans="1:14" x14ac:dyDescent="0.25">
      <c r="A1" t="s">
        <v>110</v>
      </c>
      <c r="B1" t="s">
        <v>635</v>
      </c>
      <c r="C1" t="s">
        <v>393</v>
      </c>
      <c r="D1" t="s">
        <v>394</v>
      </c>
      <c r="E1" t="s">
        <v>425</v>
      </c>
      <c r="F1" t="s">
        <v>455</v>
      </c>
      <c r="G1" t="s">
        <v>465</v>
      </c>
      <c r="H1" t="s">
        <v>466</v>
      </c>
      <c r="I1" t="s">
        <v>489</v>
      </c>
      <c r="J1" t="s">
        <v>504</v>
      </c>
      <c r="K1" t="s">
        <v>554</v>
      </c>
      <c r="L1" t="s">
        <v>558</v>
      </c>
      <c r="M1" t="s">
        <v>591</v>
      </c>
      <c r="N1" t="s">
        <v>592</v>
      </c>
    </row>
    <row r="2" spans="1:14" x14ac:dyDescent="0.25">
      <c r="N2" t="s">
        <v>109</v>
      </c>
    </row>
    <row r="3" spans="1:14" x14ac:dyDescent="0.25">
      <c r="B3" t="s">
        <v>638</v>
      </c>
      <c r="C3" t="s">
        <v>120</v>
      </c>
      <c r="D3" t="s">
        <v>120</v>
      </c>
      <c r="E3" t="s">
        <v>120</v>
      </c>
      <c r="F3" t="s">
        <v>120</v>
      </c>
      <c r="G3" t="s">
        <v>120</v>
      </c>
      <c r="H3" t="s">
        <v>120</v>
      </c>
      <c r="I3" t="s">
        <v>120</v>
      </c>
      <c r="J3" t="s">
        <v>120</v>
      </c>
      <c r="K3" t="s">
        <v>120</v>
      </c>
      <c r="L3" t="s">
        <v>120</v>
      </c>
      <c r="M3" t="s">
        <v>120</v>
      </c>
    </row>
    <row r="4" spans="1:14" x14ac:dyDescent="0.25">
      <c r="G4" t="s">
        <v>109</v>
      </c>
    </row>
    <row r="5" spans="1:14" x14ac:dyDescent="0.25">
      <c r="B5" t="s">
        <v>491</v>
      </c>
      <c r="E5" t="s">
        <v>427</v>
      </c>
      <c r="H5" t="s">
        <v>469</v>
      </c>
    </row>
    <row r="6" spans="1:14" x14ac:dyDescent="0.25">
      <c r="B6" t="s">
        <v>492</v>
      </c>
      <c r="D6" t="s">
        <v>395</v>
      </c>
      <c r="E6" t="s">
        <v>396</v>
      </c>
      <c r="F6" t="s">
        <v>456</v>
      </c>
      <c r="G6" t="s">
        <v>469</v>
      </c>
      <c r="H6" t="s">
        <v>478</v>
      </c>
      <c r="N6" t="s">
        <v>593</v>
      </c>
    </row>
    <row r="7" spans="1:14" x14ac:dyDescent="0.25">
      <c r="B7" t="s">
        <v>493</v>
      </c>
      <c r="D7" t="s">
        <v>396</v>
      </c>
      <c r="E7" t="s">
        <v>429</v>
      </c>
      <c r="G7" t="s">
        <v>83</v>
      </c>
      <c r="I7" t="s">
        <v>491</v>
      </c>
      <c r="J7" t="s">
        <v>536</v>
      </c>
      <c r="K7" t="s">
        <v>505</v>
      </c>
      <c r="L7" t="s">
        <v>559</v>
      </c>
      <c r="M7" t="s">
        <v>567</v>
      </c>
      <c r="N7" t="s">
        <v>594</v>
      </c>
    </row>
    <row r="8" spans="1:14" x14ac:dyDescent="0.25">
      <c r="B8" t="s">
        <v>439</v>
      </c>
      <c r="D8" t="s">
        <v>84</v>
      </c>
      <c r="E8" t="s">
        <v>430</v>
      </c>
      <c r="G8" t="s">
        <v>492</v>
      </c>
      <c r="I8" t="s">
        <v>492</v>
      </c>
      <c r="K8" t="s">
        <v>426</v>
      </c>
      <c r="L8" t="s">
        <v>560</v>
      </c>
      <c r="N8" t="s">
        <v>595</v>
      </c>
    </row>
    <row r="9" spans="1:14" x14ac:dyDescent="0.25">
      <c r="D9" t="s">
        <v>397</v>
      </c>
      <c r="E9" t="s">
        <v>84</v>
      </c>
      <c r="F9" t="s">
        <v>397</v>
      </c>
      <c r="G9" t="s">
        <v>553</v>
      </c>
      <c r="H9" t="s">
        <v>471</v>
      </c>
      <c r="I9" t="s">
        <v>493</v>
      </c>
      <c r="J9" t="s">
        <v>396</v>
      </c>
      <c r="K9" t="s">
        <v>555</v>
      </c>
      <c r="L9" t="s">
        <v>467</v>
      </c>
      <c r="M9" t="s">
        <v>568</v>
      </c>
      <c r="N9" t="s">
        <v>84</v>
      </c>
    </row>
    <row r="10" spans="1:14" x14ac:dyDescent="0.25">
      <c r="B10" t="s">
        <v>494</v>
      </c>
      <c r="D10" t="s">
        <v>398</v>
      </c>
      <c r="E10" t="s">
        <v>431</v>
      </c>
      <c r="F10" t="s">
        <v>457</v>
      </c>
      <c r="G10" t="s">
        <v>439</v>
      </c>
      <c r="H10" t="s">
        <v>472</v>
      </c>
      <c r="I10" t="s">
        <v>439</v>
      </c>
      <c r="J10" t="s">
        <v>84</v>
      </c>
      <c r="K10" t="s">
        <v>438</v>
      </c>
      <c r="L10" t="s">
        <v>561</v>
      </c>
      <c r="N10" t="s">
        <v>596</v>
      </c>
    </row>
    <row r="11" spans="1:14" x14ac:dyDescent="0.25">
      <c r="B11" t="s">
        <v>495</v>
      </c>
      <c r="D11" t="s">
        <v>399</v>
      </c>
      <c r="E11" t="s">
        <v>432</v>
      </c>
      <c r="F11" t="s">
        <v>402</v>
      </c>
      <c r="G11" t="s">
        <v>471</v>
      </c>
      <c r="H11" t="s">
        <v>83</v>
      </c>
      <c r="I11" t="s">
        <v>494</v>
      </c>
      <c r="J11" t="s">
        <v>505</v>
      </c>
      <c r="K11" t="s">
        <v>505</v>
      </c>
      <c r="L11" t="s">
        <v>468</v>
      </c>
      <c r="N11" t="s">
        <v>432</v>
      </c>
    </row>
    <row r="12" spans="1:14" x14ac:dyDescent="0.25">
      <c r="D12" t="s">
        <v>400</v>
      </c>
      <c r="E12" t="s">
        <v>433</v>
      </c>
      <c r="G12" t="s">
        <v>83</v>
      </c>
      <c r="H12" t="s">
        <v>473</v>
      </c>
      <c r="I12" t="s">
        <v>495</v>
      </c>
      <c r="J12" t="s">
        <v>506</v>
      </c>
      <c r="K12" t="s">
        <v>556</v>
      </c>
      <c r="L12" t="s">
        <v>562</v>
      </c>
      <c r="M12" t="s">
        <v>396</v>
      </c>
      <c r="N12" t="s">
        <v>433</v>
      </c>
    </row>
    <row r="13" spans="1:14" x14ac:dyDescent="0.25">
      <c r="B13" t="s">
        <v>639</v>
      </c>
      <c r="D13" t="s">
        <v>401</v>
      </c>
      <c r="E13" t="s">
        <v>84</v>
      </c>
      <c r="F13" t="s">
        <v>458</v>
      </c>
      <c r="G13" t="s">
        <v>473</v>
      </c>
      <c r="H13" t="s">
        <v>471</v>
      </c>
      <c r="J13" t="s">
        <v>426</v>
      </c>
      <c r="K13" t="s">
        <v>557</v>
      </c>
      <c r="L13" t="s">
        <v>469</v>
      </c>
      <c r="M13" t="s">
        <v>428</v>
      </c>
      <c r="N13" t="s">
        <v>597</v>
      </c>
    </row>
    <row r="14" spans="1:14" x14ac:dyDescent="0.25">
      <c r="B14" t="s">
        <v>640</v>
      </c>
      <c r="D14" t="s">
        <v>402</v>
      </c>
      <c r="E14" t="s">
        <v>434</v>
      </c>
      <c r="G14" t="s">
        <v>474</v>
      </c>
      <c r="H14" t="s">
        <v>472</v>
      </c>
      <c r="J14" t="s">
        <v>503</v>
      </c>
      <c r="K14" t="s">
        <v>91</v>
      </c>
      <c r="M14" t="s">
        <v>430</v>
      </c>
      <c r="N14" t="s">
        <v>598</v>
      </c>
    </row>
    <row r="15" spans="1:14" x14ac:dyDescent="0.25">
      <c r="E15" t="s">
        <v>435</v>
      </c>
      <c r="F15" t="s">
        <v>459</v>
      </c>
      <c r="G15" t="s">
        <v>471</v>
      </c>
      <c r="H15" t="s">
        <v>474</v>
      </c>
      <c r="I15" t="s">
        <v>496</v>
      </c>
      <c r="J15" t="s">
        <v>435</v>
      </c>
      <c r="K15" t="s">
        <v>92</v>
      </c>
      <c r="L15" t="s">
        <v>467</v>
      </c>
      <c r="M15" t="s">
        <v>84</v>
      </c>
    </row>
    <row r="16" spans="1:14" x14ac:dyDescent="0.25">
      <c r="B16" t="s">
        <v>496</v>
      </c>
      <c r="D16" t="s">
        <v>416</v>
      </c>
      <c r="E16" t="s">
        <v>454</v>
      </c>
      <c r="F16" t="s">
        <v>460</v>
      </c>
      <c r="G16" t="s">
        <v>407</v>
      </c>
      <c r="H16" t="s">
        <v>475</v>
      </c>
      <c r="I16" t="s">
        <v>497</v>
      </c>
      <c r="J16" t="s">
        <v>507</v>
      </c>
      <c r="L16" t="s">
        <v>492</v>
      </c>
      <c r="M16" t="s">
        <v>569</v>
      </c>
      <c r="N16" t="s">
        <v>599</v>
      </c>
    </row>
    <row r="17" spans="2:14" x14ac:dyDescent="0.25">
      <c r="B17" t="s">
        <v>641</v>
      </c>
      <c r="D17" t="s">
        <v>403</v>
      </c>
      <c r="E17" t="s">
        <v>436</v>
      </c>
      <c r="F17" t="s">
        <v>461</v>
      </c>
      <c r="G17" t="s">
        <v>396</v>
      </c>
      <c r="H17" t="s">
        <v>396</v>
      </c>
      <c r="I17" t="s">
        <v>498</v>
      </c>
      <c r="J17" t="s">
        <v>508</v>
      </c>
      <c r="L17" t="s">
        <v>563</v>
      </c>
      <c r="M17" t="s">
        <v>570</v>
      </c>
      <c r="N17" t="s">
        <v>600</v>
      </c>
    </row>
    <row r="18" spans="2:14" x14ac:dyDescent="0.25">
      <c r="D18" t="s">
        <v>404</v>
      </c>
      <c r="E18" t="s">
        <v>437</v>
      </c>
      <c r="F18" t="s">
        <v>462</v>
      </c>
      <c r="G18" t="s">
        <v>84</v>
      </c>
      <c r="H18" t="s">
        <v>84</v>
      </c>
      <c r="J18" t="s">
        <v>91</v>
      </c>
      <c r="L18" t="s">
        <v>564</v>
      </c>
      <c r="M18" t="s">
        <v>571</v>
      </c>
      <c r="N18" t="s">
        <v>601</v>
      </c>
    </row>
    <row r="19" spans="2:14" x14ac:dyDescent="0.25">
      <c r="B19" t="s">
        <v>693</v>
      </c>
      <c r="C19" t="s">
        <v>642</v>
      </c>
      <c r="D19" t="s">
        <v>405</v>
      </c>
      <c r="E19" t="s">
        <v>438</v>
      </c>
      <c r="F19" t="s">
        <v>463</v>
      </c>
      <c r="G19" t="s">
        <v>492</v>
      </c>
      <c r="H19" t="s">
        <v>397</v>
      </c>
      <c r="J19" t="s">
        <v>407</v>
      </c>
      <c r="L19" t="s">
        <v>439</v>
      </c>
      <c r="M19" t="s">
        <v>572</v>
      </c>
      <c r="N19" t="s">
        <v>602</v>
      </c>
    </row>
    <row r="20" spans="2:14" x14ac:dyDescent="0.25">
      <c r="B20" t="s">
        <v>772</v>
      </c>
      <c r="E20" t="s">
        <v>439</v>
      </c>
      <c r="F20" t="s">
        <v>433</v>
      </c>
      <c r="G20" t="s">
        <v>477</v>
      </c>
      <c r="H20" t="s">
        <v>476</v>
      </c>
      <c r="J20" t="s">
        <v>92</v>
      </c>
      <c r="L20" t="s">
        <v>565</v>
      </c>
      <c r="M20" t="s">
        <v>91</v>
      </c>
      <c r="N20" t="s">
        <v>603</v>
      </c>
    </row>
    <row r="21" spans="2:14" x14ac:dyDescent="0.25">
      <c r="C21" t="s">
        <v>406</v>
      </c>
      <c r="D21" t="s">
        <v>406</v>
      </c>
      <c r="E21" t="s">
        <v>440</v>
      </c>
      <c r="F21" t="s">
        <v>464</v>
      </c>
      <c r="G21" t="s">
        <v>119</v>
      </c>
      <c r="H21" t="s">
        <v>479</v>
      </c>
      <c r="L21" t="s">
        <v>566</v>
      </c>
      <c r="M21" t="s">
        <v>407</v>
      </c>
      <c r="N21" t="s">
        <v>601</v>
      </c>
    </row>
    <row r="22" spans="2:14" x14ac:dyDescent="0.25">
      <c r="B22" t="s">
        <v>498</v>
      </c>
      <c r="E22" t="s">
        <v>91</v>
      </c>
      <c r="G22" t="s">
        <v>439</v>
      </c>
      <c r="H22" t="s">
        <v>402</v>
      </c>
      <c r="J22" t="s">
        <v>509</v>
      </c>
      <c r="M22" t="s">
        <v>475</v>
      </c>
      <c r="N22" t="s">
        <v>604</v>
      </c>
    </row>
    <row r="23" spans="2:14" x14ac:dyDescent="0.25">
      <c r="B23" t="s">
        <v>643</v>
      </c>
      <c r="C23" t="s">
        <v>91</v>
      </c>
      <c r="D23" t="s">
        <v>91</v>
      </c>
      <c r="E23" t="s">
        <v>407</v>
      </c>
      <c r="H23" t="s">
        <v>480</v>
      </c>
      <c r="J23" t="s">
        <v>510</v>
      </c>
      <c r="M23" t="s">
        <v>92</v>
      </c>
      <c r="N23" t="s">
        <v>601</v>
      </c>
    </row>
    <row r="24" spans="2:14" x14ac:dyDescent="0.25">
      <c r="C24" t="s">
        <v>407</v>
      </c>
      <c r="D24" t="s">
        <v>407</v>
      </c>
      <c r="E24" t="s">
        <v>92</v>
      </c>
      <c r="H24" t="s">
        <v>477</v>
      </c>
      <c r="J24" t="s">
        <v>511</v>
      </c>
      <c r="M24" t="s">
        <v>573</v>
      </c>
    </row>
    <row r="25" spans="2:14" x14ac:dyDescent="0.25">
      <c r="C25" t="s">
        <v>92</v>
      </c>
      <c r="D25" t="s">
        <v>92</v>
      </c>
      <c r="E25" t="s">
        <v>441</v>
      </c>
      <c r="J25" t="s">
        <v>512</v>
      </c>
      <c r="M25" t="s">
        <v>574</v>
      </c>
    </row>
    <row r="26" spans="2:14" x14ac:dyDescent="0.25">
      <c r="C26" t="s">
        <v>408</v>
      </c>
      <c r="D26" t="s">
        <v>417</v>
      </c>
      <c r="E26" t="s">
        <v>442</v>
      </c>
      <c r="J26" t="s">
        <v>513</v>
      </c>
      <c r="M26" t="s">
        <v>575</v>
      </c>
    </row>
    <row r="27" spans="2:14" x14ac:dyDescent="0.25">
      <c r="C27" t="s">
        <v>409</v>
      </c>
      <c r="D27" t="s">
        <v>418</v>
      </c>
      <c r="E27" t="s">
        <v>443</v>
      </c>
      <c r="H27" t="s">
        <v>91</v>
      </c>
      <c r="J27" t="s">
        <v>514</v>
      </c>
      <c r="M27" t="s">
        <v>576</v>
      </c>
    </row>
    <row r="28" spans="2:14" x14ac:dyDescent="0.25">
      <c r="C28" t="s">
        <v>410</v>
      </c>
      <c r="D28" t="s">
        <v>419</v>
      </c>
      <c r="E28" t="s">
        <v>444</v>
      </c>
      <c r="J28" t="s">
        <v>515</v>
      </c>
      <c r="M28" t="s">
        <v>577</v>
      </c>
    </row>
    <row r="29" spans="2:14" x14ac:dyDescent="0.25">
      <c r="C29" t="s">
        <v>411</v>
      </c>
      <c r="D29" t="s">
        <v>420</v>
      </c>
      <c r="E29" t="s">
        <v>445</v>
      </c>
      <c r="J29" t="s">
        <v>516</v>
      </c>
      <c r="M29" t="s">
        <v>578</v>
      </c>
    </row>
    <row r="30" spans="2:14" x14ac:dyDescent="0.25">
      <c r="C30" t="s">
        <v>412</v>
      </c>
      <c r="D30" t="s">
        <v>421</v>
      </c>
      <c r="E30" t="s">
        <v>446</v>
      </c>
      <c r="H30" t="s">
        <v>438</v>
      </c>
      <c r="J30" t="s">
        <v>517</v>
      </c>
      <c r="M30" t="s">
        <v>579</v>
      </c>
    </row>
    <row r="31" spans="2:14" x14ac:dyDescent="0.25">
      <c r="C31" t="s">
        <v>413</v>
      </c>
      <c r="D31" t="s">
        <v>422</v>
      </c>
      <c r="E31" t="s">
        <v>447</v>
      </c>
      <c r="H31" t="s">
        <v>490</v>
      </c>
      <c r="J31" t="s">
        <v>518</v>
      </c>
      <c r="M31" t="s">
        <v>580</v>
      </c>
    </row>
    <row r="32" spans="2:14" x14ac:dyDescent="0.25">
      <c r="C32" t="s">
        <v>414</v>
      </c>
      <c r="D32" t="s">
        <v>423</v>
      </c>
      <c r="E32" t="s">
        <v>448</v>
      </c>
      <c r="J32" t="s">
        <v>519</v>
      </c>
      <c r="M32" t="s">
        <v>581</v>
      </c>
    </row>
    <row r="33" spans="3:13" x14ac:dyDescent="0.25">
      <c r="C33" t="s">
        <v>415</v>
      </c>
      <c r="D33" t="s">
        <v>424</v>
      </c>
      <c r="E33" t="s">
        <v>449</v>
      </c>
      <c r="J33" t="s">
        <v>520</v>
      </c>
      <c r="M33" t="s">
        <v>582</v>
      </c>
    </row>
    <row r="34" spans="3:13" x14ac:dyDescent="0.25">
      <c r="E34" t="s">
        <v>450</v>
      </c>
      <c r="J34" t="s">
        <v>521</v>
      </c>
      <c r="M34" t="s">
        <v>583</v>
      </c>
    </row>
    <row r="35" spans="3:13" x14ac:dyDescent="0.25">
      <c r="E35" t="s">
        <v>451</v>
      </c>
      <c r="J35" t="s">
        <v>522</v>
      </c>
      <c r="M35" t="s">
        <v>584</v>
      </c>
    </row>
    <row r="36" spans="3:13" x14ac:dyDescent="0.25">
      <c r="E36" t="s">
        <v>452</v>
      </c>
      <c r="J36" t="s">
        <v>523</v>
      </c>
      <c r="M36" t="s">
        <v>585</v>
      </c>
    </row>
    <row r="37" spans="3:13" x14ac:dyDescent="0.25">
      <c r="E37" t="s">
        <v>453</v>
      </c>
      <c r="J37" t="s">
        <v>524</v>
      </c>
      <c r="M37" t="s">
        <v>586</v>
      </c>
    </row>
    <row r="38" spans="3:13" x14ac:dyDescent="0.25">
      <c r="J38" t="s">
        <v>525</v>
      </c>
      <c r="M38" t="s">
        <v>587</v>
      </c>
    </row>
    <row r="39" spans="3:13" x14ac:dyDescent="0.25">
      <c r="J39" t="s">
        <v>526</v>
      </c>
      <c r="M39" t="s">
        <v>588</v>
      </c>
    </row>
    <row r="40" spans="3:13" x14ac:dyDescent="0.25">
      <c r="J40" t="s">
        <v>527</v>
      </c>
      <c r="M40" t="s">
        <v>589</v>
      </c>
    </row>
    <row r="41" spans="3:13" x14ac:dyDescent="0.25">
      <c r="J41" t="s">
        <v>528</v>
      </c>
      <c r="M41" t="s">
        <v>590</v>
      </c>
    </row>
    <row r="42" spans="3:13" x14ac:dyDescent="0.25">
      <c r="J42" t="s">
        <v>529</v>
      </c>
    </row>
    <row r="43" spans="3:13" x14ac:dyDescent="0.25">
      <c r="J43" t="s">
        <v>530</v>
      </c>
    </row>
    <row r="44" spans="3:13" x14ac:dyDescent="0.25">
      <c r="J44" t="s">
        <v>531</v>
      </c>
    </row>
    <row r="45" spans="3:13" x14ac:dyDescent="0.25">
      <c r="J45" t="s">
        <v>532</v>
      </c>
    </row>
    <row r="46" spans="3:13" x14ac:dyDescent="0.25">
      <c r="J46" t="s">
        <v>533</v>
      </c>
    </row>
    <row r="47" spans="3:13" x14ac:dyDescent="0.25">
      <c r="J47" t="s">
        <v>534</v>
      </c>
    </row>
    <row r="48" spans="3:13" x14ac:dyDescent="0.25">
      <c r="J48" t="s">
        <v>535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5" x14ac:dyDescent="0.25"/>
  <cols>
    <col min="1" max="16" width="14.7109375" bestFit="1" customWidth="1"/>
  </cols>
  <sheetData>
    <row r="1" spans="1:16" x14ac:dyDescent="0.25">
      <c r="A1" t="s">
        <v>110</v>
      </c>
      <c r="B1" t="s">
        <v>204</v>
      </c>
      <c r="C1" t="s">
        <v>466</v>
      </c>
      <c r="D1" t="s">
        <v>483</v>
      </c>
    </row>
    <row r="3" spans="1:16" s="62" customFormat="1" x14ac:dyDescent="0.25">
      <c r="A3" s="62" t="s">
        <v>195</v>
      </c>
      <c r="B3" s="62" t="s">
        <v>195</v>
      </c>
      <c r="C3" s="62" t="s">
        <v>195</v>
      </c>
      <c r="D3" s="62" t="s">
        <v>195</v>
      </c>
      <c r="E3" s="62" t="s">
        <v>195</v>
      </c>
      <c r="F3" s="62" t="s">
        <v>195</v>
      </c>
      <c r="G3" s="62" t="s">
        <v>195</v>
      </c>
      <c r="H3" s="62" t="s">
        <v>195</v>
      </c>
      <c r="I3" s="62" t="s">
        <v>195</v>
      </c>
      <c r="J3" s="62" t="s">
        <v>195</v>
      </c>
      <c r="K3" s="62" t="s">
        <v>195</v>
      </c>
      <c r="L3" s="62" t="s">
        <v>195</v>
      </c>
      <c r="M3" s="62" t="s">
        <v>195</v>
      </c>
      <c r="N3" s="62" t="s">
        <v>195</v>
      </c>
      <c r="O3" s="62" t="s">
        <v>195</v>
      </c>
      <c r="P3" s="62" t="s">
        <v>195</v>
      </c>
    </row>
    <row r="4" spans="1:16" x14ac:dyDescent="0.25">
      <c r="B4" t="s">
        <v>205</v>
      </c>
      <c r="C4" t="s">
        <v>467</v>
      </c>
      <c r="D4" t="s">
        <v>467</v>
      </c>
    </row>
    <row r="5" spans="1:16" x14ac:dyDescent="0.25">
      <c r="B5" t="s">
        <v>206</v>
      </c>
      <c r="C5" t="s">
        <v>482</v>
      </c>
      <c r="D5" t="s">
        <v>486</v>
      </c>
    </row>
    <row r="6" spans="1:16" x14ac:dyDescent="0.25">
      <c r="B6" t="s">
        <v>207</v>
      </c>
      <c r="D6" t="s">
        <v>546</v>
      </c>
    </row>
    <row r="7" spans="1:16" x14ac:dyDescent="0.25">
      <c r="B7" t="s">
        <v>208</v>
      </c>
    </row>
    <row r="8" spans="1:16" x14ac:dyDescent="0.25">
      <c r="B8" t="s">
        <v>209</v>
      </c>
    </row>
    <row r="14" spans="1:16" s="62" customFormat="1" x14ac:dyDescent="0.25">
      <c r="A14" s="62" t="s">
        <v>196</v>
      </c>
      <c r="B14" s="62" t="s">
        <v>196</v>
      </c>
      <c r="C14" s="62" t="s">
        <v>196</v>
      </c>
      <c r="D14" s="62" t="s">
        <v>196</v>
      </c>
      <c r="E14" s="62" t="s">
        <v>196</v>
      </c>
      <c r="F14" s="62" t="s">
        <v>196</v>
      </c>
      <c r="G14" s="62" t="s">
        <v>196</v>
      </c>
      <c r="H14" s="62" t="s">
        <v>196</v>
      </c>
      <c r="I14" s="62" t="s">
        <v>196</v>
      </c>
      <c r="J14" s="62" t="s">
        <v>196</v>
      </c>
      <c r="K14" s="62" t="s">
        <v>196</v>
      </c>
      <c r="L14" s="62" t="s">
        <v>196</v>
      </c>
      <c r="M14" s="62" t="s">
        <v>196</v>
      </c>
      <c r="N14" s="62" t="s">
        <v>196</v>
      </c>
      <c r="O14" s="62" t="s">
        <v>196</v>
      </c>
      <c r="P14" s="62" t="s">
        <v>196</v>
      </c>
    </row>
    <row r="15" spans="1:16" x14ac:dyDescent="0.25">
      <c r="B15" t="s">
        <v>210</v>
      </c>
      <c r="C15" t="s">
        <v>83</v>
      </c>
    </row>
    <row r="16" spans="1:16" s="62" customFormat="1" x14ac:dyDescent="0.25">
      <c r="B16" t="s">
        <v>211</v>
      </c>
      <c r="C16" t="s">
        <v>481</v>
      </c>
    </row>
    <row r="17" spans="1:16" s="62" customFormat="1" x14ac:dyDescent="0.25">
      <c r="B17" t="s">
        <v>212</v>
      </c>
    </row>
    <row r="18" spans="1:16" s="62" customFormat="1" x14ac:dyDescent="0.25">
      <c r="B18" t="s">
        <v>213</v>
      </c>
    </row>
    <row r="19" spans="1:16" s="62" customFormat="1" x14ac:dyDescent="0.25">
      <c r="B19" t="s">
        <v>214</v>
      </c>
    </row>
    <row r="25" spans="1:16" s="62" customFormat="1" x14ac:dyDescent="0.25">
      <c r="A25" s="62" t="s">
        <v>197</v>
      </c>
      <c r="B25" s="62" t="s">
        <v>197</v>
      </c>
      <c r="C25" s="62" t="s">
        <v>197</v>
      </c>
      <c r="D25" s="62" t="s">
        <v>197</v>
      </c>
      <c r="E25" s="62" t="s">
        <v>197</v>
      </c>
      <c r="F25" s="62" t="s">
        <v>197</v>
      </c>
      <c r="G25" s="62" t="s">
        <v>197</v>
      </c>
      <c r="H25" s="62" t="s">
        <v>197</v>
      </c>
      <c r="I25" s="62" t="s">
        <v>197</v>
      </c>
      <c r="J25" s="62" t="s">
        <v>197</v>
      </c>
      <c r="K25" s="62" t="s">
        <v>197</v>
      </c>
      <c r="L25" s="62" t="s">
        <v>197</v>
      </c>
      <c r="M25" s="62" t="s">
        <v>197</v>
      </c>
      <c r="N25" s="62" t="s">
        <v>197</v>
      </c>
      <c r="O25" s="62" t="s">
        <v>197</v>
      </c>
      <c r="P25" s="62" t="s">
        <v>197</v>
      </c>
    </row>
    <row r="26" spans="1:16" x14ac:dyDescent="0.25">
      <c r="B26" t="s">
        <v>215</v>
      </c>
      <c r="C26" t="s">
        <v>468</v>
      </c>
      <c r="D26" t="s">
        <v>468</v>
      </c>
    </row>
    <row r="27" spans="1:16" s="62" customFormat="1" x14ac:dyDescent="0.25">
      <c r="B27" t="s">
        <v>216</v>
      </c>
      <c r="C27" t="s">
        <v>482</v>
      </c>
      <c r="D27" t="s">
        <v>500</v>
      </c>
    </row>
    <row r="28" spans="1:16" s="62" customFormat="1" x14ac:dyDescent="0.25">
      <c r="B28" t="s">
        <v>217</v>
      </c>
      <c r="D28"/>
    </row>
    <row r="29" spans="1:16" s="62" customFormat="1" x14ac:dyDescent="0.25">
      <c r="B29" t="s">
        <v>218</v>
      </c>
      <c r="D29"/>
    </row>
    <row r="30" spans="1:16" s="62" customFormat="1" x14ac:dyDescent="0.25">
      <c r="B30" t="s">
        <v>219</v>
      </c>
    </row>
    <row r="36" spans="1:16" s="62" customFormat="1" x14ac:dyDescent="0.25">
      <c r="A36" s="62" t="s">
        <v>198</v>
      </c>
      <c r="B36" s="62" t="s">
        <v>198</v>
      </c>
      <c r="C36" s="62" t="s">
        <v>198</v>
      </c>
      <c r="D36" s="62" t="s">
        <v>198</v>
      </c>
      <c r="E36" s="62" t="s">
        <v>198</v>
      </c>
      <c r="F36" s="62" t="s">
        <v>198</v>
      </c>
      <c r="G36" s="62" t="s">
        <v>198</v>
      </c>
      <c r="H36" s="62" t="s">
        <v>198</v>
      </c>
      <c r="I36" s="62" t="s">
        <v>198</v>
      </c>
      <c r="J36" s="62" t="s">
        <v>198</v>
      </c>
      <c r="K36" s="62" t="s">
        <v>198</v>
      </c>
      <c r="L36" s="62" t="s">
        <v>198</v>
      </c>
      <c r="M36" s="62" t="s">
        <v>198</v>
      </c>
      <c r="N36" s="62" t="s">
        <v>198</v>
      </c>
      <c r="O36" s="62" t="s">
        <v>198</v>
      </c>
      <c r="P36" s="62" t="s">
        <v>198</v>
      </c>
    </row>
    <row r="37" spans="1:16" x14ac:dyDescent="0.25">
      <c r="B37" t="s">
        <v>220</v>
      </c>
      <c r="C37" t="s">
        <v>83</v>
      </c>
    </row>
    <row r="38" spans="1:16" s="62" customFormat="1" x14ac:dyDescent="0.25">
      <c r="B38" t="s">
        <v>221</v>
      </c>
      <c r="C38" t="s">
        <v>481</v>
      </c>
    </row>
    <row r="39" spans="1:16" s="62" customFormat="1" x14ac:dyDescent="0.25">
      <c r="B39" t="s">
        <v>222</v>
      </c>
    </row>
    <row r="40" spans="1:16" s="62" customFormat="1" x14ac:dyDescent="0.25">
      <c r="B40" t="s">
        <v>223</v>
      </c>
    </row>
    <row r="41" spans="1:16" s="62" customFormat="1" x14ac:dyDescent="0.25">
      <c r="B41" t="s">
        <v>224</v>
      </c>
    </row>
    <row r="47" spans="1:16" s="62" customFormat="1" x14ac:dyDescent="0.25">
      <c r="A47" s="62" t="s">
        <v>199</v>
      </c>
      <c r="B47" s="62" t="s">
        <v>199</v>
      </c>
      <c r="C47" s="62" t="s">
        <v>199</v>
      </c>
      <c r="D47" s="62" t="s">
        <v>199</v>
      </c>
      <c r="E47" s="62" t="s">
        <v>199</v>
      </c>
      <c r="F47" s="62" t="s">
        <v>199</v>
      </c>
      <c r="G47" s="62" t="s">
        <v>199</v>
      </c>
      <c r="H47" s="62" t="s">
        <v>199</v>
      </c>
      <c r="I47" s="62" t="s">
        <v>199</v>
      </c>
      <c r="J47" s="62" t="s">
        <v>199</v>
      </c>
      <c r="K47" s="62" t="s">
        <v>199</v>
      </c>
      <c r="L47" s="62" t="s">
        <v>199</v>
      </c>
      <c r="M47" s="62" t="s">
        <v>199</v>
      </c>
      <c r="N47" s="62" t="s">
        <v>199</v>
      </c>
      <c r="O47" s="62" t="s">
        <v>199</v>
      </c>
      <c r="P47" s="62" t="s">
        <v>199</v>
      </c>
    </row>
    <row r="48" spans="1:16" x14ac:dyDescent="0.25">
      <c r="B48" t="s">
        <v>226</v>
      </c>
      <c r="D48" t="s">
        <v>499</v>
      </c>
    </row>
    <row r="49" spans="1:16" s="62" customFormat="1" x14ac:dyDescent="0.25">
      <c r="B49" t="s">
        <v>225</v>
      </c>
      <c r="D49" t="s">
        <v>545</v>
      </c>
    </row>
    <row r="50" spans="1:16" s="62" customFormat="1" x14ac:dyDescent="0.25">
      <c r="B50" t="s">
        <v>227</v>
      </c>
      <c r="D50" t="s">
        <v>546</v>
      </c>
    </row>
    <row r="51" spans="1:16" s="62" customFormat="1" x14ac:dyDescent="0.25">
      <c r="B51" t="s">
        <v>228</v>
      </c>
      <c r="D51"/>
    </row>
    <row r="52" spans="1:16" s="62" customFormat="1" x14ac:dyDescent="0.25">
      <c r="B52" t="s">
        <v>229</v>
      </c>
      <c r="D52"/>
    </row>
    <row r="58" spans="1:16" s="62" customFormat="1" x14ac:dyDescent="0.25">
      <c r="A58" s="62" t="s">
        <v>200</v>
      </c>
      <c r="B58" s="62" t="s">
        <v>200</v>
      </c>
      <c r="C58" s="62" t="s">
        <v>200</v>
      </c>
      <c r="D58" s="62" t="s">
        <v>200</v>
      </c>
      <c r="E58" s="62" t="s">
        <v>200</v>
      </c>
      <c r="F58" s="62" t="s">
        <v>200</v>
      </c>
      <c r="G58" s="62" t="s">
        <v>200</v>
      </c>
      <c r="H58" s="62" t="s">
        <v>200</v>
      </c>
      <c r="I58" s="62" t="s">
        <v>200</v>
      </c>
      <c r="J58" s="62" t="s">
        <v>200</v>
      </c>
      <c r="K58" s="62" t="s">
        <v>200</v>
      </c>
      <c r="L58" s="62" t="s">
        <v>200</v>
      </c>
      <c r="M58" s="62" t="s">
        <v>200</v>
      </c>
      <c r="N58" s="62" t="s">
        <v>200</v>
      </c>
      <c r="O58" s="62" t="s">
        <v>200</v>
      </c>
      <c r="P58" s="62" t="s">
        <v>200</v>
      </c>
    </row>
    <row r="59" spans="1:16" x14ac:dyDescent="0.25">
      <c r="B59" t="s">
        <v>230</v>
      </c>
    </row>
    <row r="60" spans="1:16" s="62" customFormat="1" x14ac:dyDescent="0.25">
      <c r="B60" t="s">
        <v>231</v>
      </c>
    </row>
    <row r="61" spans="1:16" s="62" customFormat="1" x14ac:dyDescent="0.25">
      <c r="B61" t="s">
        <v>232</v>
      </c>
    </row>
    <row r="62" spans="1:16" s="62" customFormat="1" x14ac:dyDescent="0.25">
      <c r="B62" t="s">
        <v>233</v>
      </c>
    </row>
    <row r="63" spans="1:16" s="62" customFormat="1" x14ac:dyDescent="0.25">
      <c r="B63" t="s">
        <v>234</v>
      </c>
    </row>
    <row r="69" spans="1:16" s="62" customFormat="1" x14ac:dyDescent="0.25">
      <c r="A69" s="62" t="s">
        <v>201</v>
      </c>
      <c r="B69" s="62" t="s">
        <v>201</v>
      </c>
      <c r="C69" s="62" t="s">
        <v>201</v>
      </c>
      <c r="D69" s="62" t="s">
        <v>201</v>
      </c>
      <c r="E69" s="62" t="s">
        <v>201</v>
      </c>
      <c r="F69" s="62" t="s">
        <v>201</v>
      </c>
      <c r="G69" s="62" t="s">
        <v>201</v>
      </c>
      <c r="H69" s="62" t="s">
        <v>201</v>
      </c>
      <c r="I69" s="62" t="s">
        <v>201</v>
      </c>
      <c r="J69" s="62" t="s">
        <v>201</v>
      </c>
      <c r="K69" s="62" t="s">
        <v>201</v>
      </c>
      <c r="L69" s="62" t="s">
        <v>201</v>
      </c>
      <c r="M69" s="62" t="s">
        <v>201</v>
      </c>
      <c r="N69" s="62" t="s">
        <v>201</v>
      </c>
      <c r="O69" s="62" t="s">
        <v>201</v>
      </c>
      <c r="P69" s="62" t="s">
        <v>201</v>
      </c>
    </row>
    <row r="70" spans="1:16" x14ac:dyDescent="0.25">
      <c r="B70" t="s">
        <v>235</v>
      </c>
    </row>
    <row r="71" spans="1:16" s="62" customFormat="1" x14ac:dyDescent="0.25">
      <c r="B71" t="s">
        <v>236</v>
      </c>
      <c r="D71"/>
    </row>
    <row r="72" spans="1:16" s="62" customFormat="1" x14ac:dyDescent="0.25">
      <c r="B72" t="s">
        <v>237</v>
      </c>
      <c r="D72"/>
    </row>
    <row r="73" spans="1:16" s="62" customFormat="1" x14ac:dyDescent="0.25">
      <c r="B73" t="s">
        <v>238</v>
      </c>
      <c r="D73"/>
    </row>
    <row r="74" spans="1:16" s="62" customFormat="1" x14ac:dyDescent="0.25">
      <c r="B74" t="s">
        <v>239</v>
      </c>
    </row>
    <row r="80" spans="1:16" s="62" customFormat="1" x14ac:dyDescent="0.25">
      <c r="A80" s="62" t="s">
        <v>202</v>
      </c>
      <c r="B80" s="62" t="s">
        <v>202</v>
      </c>
      <c r="C80" s="62" t="s">
        <v>202</v>
      </c>
      <c r="D80" s="62" t="s">
        <v>202</v>
      </c>
      <c r="E80" s="62" t="s">
        <v>202</v>
      </c>
      <c r="F80" s="62" t="s">
        <v>202</v>
      </c>
      <c r="G80" s="62" t="s">
        <v>202</v>
      </c>
      <c r="H80" s="62" t="s">
        <v>202</v>
      </c>
      <c r="I80" s="62" t="s">
        <v>202</v>
      </c>
      <c r="J80" s="62" t="s">
        <v>202</v>
      </c>
      <c r="K80" s="62" t="s">
        <v>202</v>
      </c>
      <c r="L80" s="62" t="s">
        <v>202</v>
      </c>
      <c r="M80" s="62" t="s">
        <v>202</v>
      </c>
      <c r="N80" s="62" t="s">
        <v>202</v>
      </c>
      <c r="O80" s="62" t="s">
        <v>202</v>
      </c>
      <c r="P80" s="62" t="s">
        <v>202</v>
      </c>
    </row>
    <row r="81" spans="2:2" x14ac:dyDescent="0.25">
      <c r="B81" t="s">
        <v>240</v>
      </c>
    </row>
    <row r="82" spans="2:2" s="62" customFormat="1" x14ac:dyDescent="0.25">
      <c r="B82" t="s">
        <v>241</v>
      </c>
    </row>
    <row r="83" spans="2:2" s="62" customFormat="1" x14ac:dyDescent="0.25">
      <c r="B83" t="s">
        <v>242</v>
      </c>
    </row>
    <row r="84" spans="2:2" s="62" customFormat="1" x14ac:dyDescent="0.25">
      <c r="B84" t="s">
        <v>243</v>
      </c>
    </row>
    <row r="85" spans="2:2" s="62" customFormat="1" x14ac:dyDescent="0.25">
      <c r="B85" t="s">
        <v>244</v>
      </c>
    </row>
    <row r="92" spans="2:2" s="62" customFormat="1" x14ac:dyDescent="0.25">
      <c r="B92"/>
    </row>
    <row r="93" spans="2:2" s="62" customFormat="1" x14ac:dyDescent="0.25">
      <c r="B93"/>
    </row>
    <row r="94" spans="2:2" s="62" customFormat="1" x14ac:dyDescent="0.25">
      <c r="B94"/>
    </row>
    <row r="95" spans="2:2" s="62" customFormat="1" x14ac:dyDescent="0.25">
      <c r="B95"/>
    </row>
    <row r="102" spans="2:2" s="62" customFormat="1" x14ac:dyDescent="0.25">
      <c r="B102"/>
    </row>
    <row r="103" spans="2:2" s="62" customFormat="1" x14ac:dyDescent="0.25">
      <c r="B103"/>
    </row>
    <row r="104" spans="2:2" s="62" customFormat="1" x14ac:dyDescent="0.25">
      <c r="B104"/>
    </row>
    <row r="105" spans="2:2" s="62" customFormat="1" x14ac:dyDescent="0.25">
      <c r="B105"/>
    </row>
    <row r="112" spans="2:2" s="62" customFormat="1" x14ac:dyDescent="0.25">
      <c r="B112"/>
    </row>
    <row r="113" spans="2:2" s="62" customFormat="1" x14ac:dyDescent="0.25">
      <c r="B113"/>
    </row>
    <row r="114" spans="2:2" s="62" customFormat="1" x14ac:dyDescent="0.25">
      <c r="B114"/>
    </row>
    <row r="115" spans="2:2" s="62" customFormat="1" x14ac:dyDescent="0.25">
      <c r="B115"/>
    </row>
    <row r="122" spans="2:2" s="62" customFormat="1" x14ac:dyDescent="0.25">
      <c r="B122"/>
    </row>
    <row r="123" spans="2:2" s="62" customFormat="1" x14ac:dyDescent="0.25">
      <c r="B123"/>
    </row>
    <row r="124" spans="2:2" s="62" customFormat="1" x14ac:dyDescent="0.25">
      <c r="B124"/>
    </row>
    <row r="125" spans="2:2" s="62" customFormat="1" x14ac:dyDescent="0.25">
      <c r="B125"/>
    </row>
    <row r="132" spans="2:2" s="62" customFormat="1" x14ac:dyDescent="0.25">
      <c r="B132"/>
    </row>
    <row r="133" spans="2:2" s="62" customFormat="1" x14ac:dyDescent="0.25">
      <c r="B133"/>
    </row>
    <row r="134" spans="2:2" s="62" customFormat="1" x14ac:dyDescent="0.25">
      <c r="B134"/>
    </row>
    <row r="135" spans="2:2" s="62" customFormat="1" x14ac:dyDescent="0.25">
      <c r="B135"/>
    </row>
    <row r="142" spans="2:2" s="62" customFormat="1" x14ac:dyDescent="0.25">
      <c r="B142"/>
    </row>
    <row r="143" spans="2:2" s="62" customFormat="1" x14ac:dyDescent="0.25">
      <c r="B143"/>
    </row>
    <row r="144" spans="2:2" s="62" customFormat="1" x14ac:dyDescent="0.25">
      <c r="B144"/>
    </row>
    <row r="145" spans="2:2" s="62" customFormat="1" x14ac:dyDescent="0.25">
      <c r="B145"/>
    </row>
    <row r="152" spans="2:2" s="62" customFormat="1" x14ac:dyDescent="0.25">
      <c r="B152"/>
    </row>
    <row r="153" spans="2:2" s="62" customFormat="1" x14ac:dyDescent="0.25">
      <c r="B153"/>
    </row>
    <row r="154" spans="2:2" s="62" customFormat="1" x14ac:dyDescent="0.25">
      <c r="B154"/>
    </row>
    <row r="155" spans="2:2" s="62" customFormat="1" x14ac:dyDescent="0.25">
      <c r="B155"/>
    </row>
    <row r="162" spans="2:2" s="62" customFormat="1" x14ac:dyDescent="0.25">
      <c r="B162"/>
    </row>
    <row r="163" spans="2:2" s="62" customFormat="1" x14ac:dyDescent="0.25">
      <c r="B163"/>
    </row>
    <row r="164" spans="2:2" s="62" customFormat="1" x14ac:dyDescent="0.25">
      <c r="B164"/>
    </row>
    <row r="165" spans="2:2" s="62" customFormat="1" x14ac:dyDescent="0.25">
      <c r="B165"/>
    </row>
    <row r="172" spans="2:2" s="62" customFormat="1" x14ac:dyDescent="0.25">
      <c r="B172"/>
    </row>
    <row r="173" spans="2:2" s="62" customFormat="1" x14ac:dyDescent="0.25">
      <c r="B173"/>
    </row>
    <row r="174" spans="2:2" s="62" customFormat="1" x14ac:dyDescent="0.25">
      <c r="B174"/>
    </row>
    <row r="175" spans="2:2" s="62" customFormat="1" x14ac:dyDescent="0.25">
      <c r="B175"/>
    </row>
  </sheetData>
  <phoneticPr fontId="9"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1:A733"/>
  <sheetViews>
    <sheetView zoomScale="71" zoomScaleNormal="71" workbookViewId="0">
      <selection sqref="A1:A733"/>
    </sheetView>
  </sheetViews>
  <sheetFormatPr defaultRowHeight="15" x14ac:dyDescent="0.25"/>
  <sheetData>
    <row r="1" spans="1:1" x14ac:dyDescent="0.25">
      <c r="A1" t="s">
        <v>637</v>
      </c>
    </row>
    <row r="3" spans="1:1" x14ac:dyDescent="0.25">
      <c r="A3" t="s">
        <v>495</v>
      </c>
    </row>
    <row r="5" spans="1:1" x14ac:dyDescent="0.25">
      <c r="A5" t="s">
        <v>800</v>
      </c>
    </row>
    <row r="6" spans="1:1" x14ac:dyDescent="0.25">
      <c r="A6" t="s">
        <v>396</v>
      </c>
    </row>
    <row r="8" spans="1:1" x14ac:dyDescent="0.25">
      <c r="A8" t="s">
        <v>485</v>
      </c>
    </row>
    <row r="9" spans="1:1" x14ac:dyDescent="0.25">
      <c r="A9" t="s">
        <v>633</v>
      </c>
    </row>
    <row r="11" spans="1:1" x14ac:dyDescent="0.25">
      <c r="A11" t="s">
        <v>769</v>
      </c>
    </row>
    <row r="13" spans="1:1" x14ac:dyDescent="0.25">
      <c r="A13" t="s">
        <v>770</v>
      </c>
    </row>
    <row r="14" spans="1:1" x14ac:dyDescent="0.25">
      <c r="A14" t="s">
        <v>772</v>
      </c>
    </row>
    <row r="15" spans="1:1" x14ac:dyDescent="0.25">
      <c r="A15" t="s">
        <v>774</v>
      </c>
    </row>
    <row r="16" spans="1:1" x14ac:dyDescent="0.25">
      <c r="A16" t="s">
        <v>773</v>
      </c>
    </row>
    <row r="17" spans="1:1" x14ac:dyDescent="0.25">
      <c r="A17" t="s">
        <v>779</v>
      </c>
    </row>
    <row r="18" spans="1:1" x14ac:dyDescent="0.25">
      <c r="A18" t="s">
        <v>775</v>
      </c>
    </row>
    <row r="19" spans="1:1" x14ac:dyDescent="0.25">
      <c r="A19" t="s">
        <v>771</v>
      </c>
    </row>
    <row r="21" spans="1:1" x14ac:dyDescent="0.25">
      <c r="A21" t="s">
        <v>795</v>
      </c>
    </row>
    <row r="22" spans="1:1" x14ac:dyDescent="0.25">
      <c r="A22" t="s">
        <v>863</v>
      </c>
    </row>
    <row r="23" spans="1:1" x14ac:dyDescent="0.25">
      <c r="A23" t="s">
        <v>467</v>
      </c>
    </row>
    <row r="26" spans="1:1" x14ac:dyDescent="0.25">
      <c r="A26" t="s">
        <v>687</v>
      </c>
    </row>
    <row r="28" spans="1:1" x14ac:dyDescent="0.25">
      <c r="A28" t="s">
        <v>469</v>
      </c>
    </row>
    <row r="30" spans="1:1" x14ac:dyDescent="0.25">
      <c r="A30" t="s">
        <v>649</v>
      </c>
    </row>
    <row r="31" spans="1:1" x14ac:dyDescent="0.25">
      <c r="A31" t="s">
        <v>650</v>
      </c>
    </row>
    <row r="32" spans="1:1" x14ac:dyDescent="0.25">
      <c r="A32" t="s">
        <v>651</v>
      </c>
    </row>
    <row r="34" spans="1:1" x14ac:dyDescent="0.25">
      <c r="A34" t="s">
        <v>636</v>
      </c>
    </row>
    <row r="35" spans="1:1" x14ac:dyDescent="0.25">
      <c r="A35" t="s">
        <v>891</v>
      </c>
    </row>
    <row r="36" spans="1:1" x14ac:dyDescent="0.25">
      <c r="A36" t="s">
        <v>889</v>
      </c>
    </row>
    <row r="37" spans="1:1" x14ac:dyDescent="0.25">
      <c r="A37" t="s">
        <v>892</v>
      </c>
    </row>
    <row r="38" spans="1:1" x14ac:dyDescent="0.25">
      <c r="A38" t="s">
        <v>861</v>
      </c>
    </row>
    <row r="39" spans="1:1" x14ac:dyDescent="0.25">
      <c r="A39" t="s">
        <v>893</v>
      </c>
    </row>
    <row r="40" spans="1:1" x14ac:dyDescent="0.25">
      <c r="A40" t="s">
        <v>1063</v>
      </c>
    </row>
    <row r="41" spans="1:1" x14ac:dyDescent="0.25">
      <c r="A41" t="s">
        <v>1066</v>
      </c>
    </row>
    <row r="42" spans="1:1" x14ac:dyDescent="0.25">
      <c r="A42" t="s">
        <v>1067</v>
      </c>
    </row>
    <row r="43" spans="1:1" x14ac:dyDescent="0.25">
      <c r="A43" t="s">
        <v>1068</v>
      </c>
    </row>
    <row r="44" spans="1:1" x14ac:dyDescent="0.25">
      <c r="A44" t="s">
        <v>1069</v>
      </c>
    </row>
    <row r="45" spans="1:1" x14ac:dyDescent="0.25">
      <c r="A45" t="s">
        <v>1070</v>
      </c>
    </row>
    <row r="46" spans="1:1" x14ac:dyDescent="0.25">
      <c r="A46" t="s">
        <v>1072</v>
      </c>
    </row>
    <row r="47" spans="1:1" x14ac:dyDescent="0.25">
      <c r="A47" t="s">
        <v>1073</v>
      </c>
    </row>
    <row r="48" spans="1:1" x14ac:dyDescent="0.25">
      <c r="A48" t="s">
        <v>1074</v>
      </c>
    </row>
    <row r="49" spans="1:1" x14ac:dyDescent="0.25">
      <c r="A49" t="s">
        <v>1075</v>
      </c>
    </row>
    <row r="50" spans="1:1" x14ac:dyDescent="0.25">
      <c r="A50" t="s">
        <v>1076</v>
      </c>
    </row>
    <row r="51" spans="1:1" x14ac:dyDescent="0.25">
      <c r="A51" t="s">
        <v>1078</v>
      </c>
    </row>
    <row r="52" spans="1:1" x14ac:dyDescent="0.25">
      <c r="A52" t="s">
        <v>1079</v>
      </c>
    </row>
    <row r="53" spans="1:1" x14ac:dyDescent="0.25">
      <c r="A53" t="s">
        <v>1080</v>
      </c>
    </row>
    <row r="54" spans="1:1" x14ac:dyDescent="0.25">
      <c r="A54" t="s">
        <v>1081</v>
      </c>
    </row>
    <row r="55" spans="1:1" x14ac:dyDescent="0.25">
      <c r="A55" t="s">
        <v>918</v>
      </c>
    </row>
    <row r="56" spans="1:1" x14ac:dyDescent="0.25">
      <c r="A56" t="s">
        <v>865</v>
      </c>
    </row>
    <row r="57" spans="1:1" x14ac:dyDescent="0.25">
      <c r="A57" t="s">
        <v>892</v>
      </c>
    </row>
    <row r="58" spans="1:1" x14ac:dyDescent="0.25">
      <c r="A58" t="s">
        <v>864</v>
      </c>
    </row>
    <row r="59" spans="1:1" x14ac:dyDescent="0.25">
      <c r="A59" t="s">
        <v>893</v>
      </c>
    </row>
    <row r="60" spans="1:1" x14ac:dyDescent="0.25">
      <c r="A60" t="s">
        <v>1082</v>
      </c>
    </row>
    <row r="61" spans="1:1" x14ac:dyDescent="0.25">
      <c r="A61" t="s">
        <v>1085</v>
      </c>
    </row>
    <row r="62" spans="1:1" x14ac:dyDescent="0.25">
      <c r="A62" t="s">
        <v>1086</v>
      </c>
    </row>
    <row r="63" spans="1:1" x14ac:dyDescent="0.25">
      <c r="A63" t="s">
        <v>1069</v>
      </c>
    </row>
    <row r="64" spans="1:1" x14ac:dyDescent="0.25">
      <c r="A64" t="s">
        <v>1087</v>
      </c>
    </row>
    <row r="65" spans="1:1" x14ac:dyDescent="0.25">
      <c r="A65" t="s">
        <v>1088</v>
      </c>
    </row>
    <row r="66" spans="1:1" x14ac:dyDescent="0.25">
      <c r="A66" t="s">
        <v>1090</v>
      </c>
    </row>
    <row r="67" spans="1:1" x14ac:dyDescent="0.25">
      <c r="A67" t="s">
        <v>1091</v>
      </c>
    </row>
    <row r="68" spans="1:1" x14ac:dyDescent="0.25">
      <c r="A68" t="s">
        <v>1075</v>
      </c>
    </row>
    <row r="69" spans="1:1" x14ac:dyDescent="0.25">
      <c r="A69" t="s">
        <v>1092</v>
      </c>
    </row>
    <row r="70" spans="1:1" x14ac:dyDescent="0.25">
      <c r="A70" t="s">
        <v>1093</v>
      </c>
    </row>
    <row r="71" spans="1:1" x14ac:dyDescent="0.25">
      <c r="A71" t="s">
        <v>1095</v>
      </c>
    </row>
    <row r="72" spans="1:1" x14ac:dyDescent="0.25">
      <c r="A72" t="s">
        <v>1096</v>
      </c>
    </row>
    <row r="73" spans="1:1" x14ac:dyDescent="0.25">
      <c r="A73" t="s">
        <v>1081</v>
      </c>
    </row>
    <row r="74" spans="1:1" x14ac:dyDescent="0.25">
      <c r="A74" t="s">
        <v>1097</v>
      </c>
    </row>
    <row r="75" spans="1:1" x14ac:dyDescent="0.25">
      <c r="A75" t="s">
        <v>1098</v>
      </c>
    </row>
    <row r="76" spans="1:1" x14ac:dyDescent="0.25">
      <c r="A76" t="s">
        <v>919</v>
      </c>
    </row>
    <row r="77" spans="1:1" x14ac:dyDescent="0.25">
      <c r="A77" t="s">
        <v>1099</v>
      </c>
    </row>
    <row r="78" spans="1:1" x14ac:dyDescent="0.25">
      <c r="A78" t="s">
        <v>889</v>
      </c>
    </row>
    <row r="79" spans="1:1" x14ac:dyDescent="0.25">
      <c r="A79" t="s">
        <v>892</v>
      </c>
    </row>
    <row r="80" spans="1:1" x14ac:dyDescent="0.25">
      <c r="A80" t="s">
        <v>861</v>
      </c>
    </row>
    <row r="81" spans="1:1" x14ac:dyDescent="0.25">
      <c r="A81" t="s">
        <v>893</v>
      </c>
    </row>
    <row r="82" spans="1:1" x14ac:dyDescent="0.25">
      <c r="A82" t="s">
        <v>922</v>
      </c>
    </row>
    <row r="83" spans="1:1" x14ac:dyDescent="0.25">
      <c r="A83" t="s">
        <v>919</v>
      </c>
    </row>
    <row r="84" spans="1:1" x14ac:dyDescent="0.25">
      <c r="A84" t="s">
        <v>865</v>
      </c>
    </row>
    <row r="85" spans="1:1" x14ac:dyDescent="0.25">
      <c r="A85" t="s">
        <v>892</v>
      </c>
    </row>
    <row r="86" spans="1:1" x14ac:dyDescent="0.25">
      <c r="A86" t="s">
        <v>864</v>
      </c>
    </row>
    <row r="87" spans="1:1" x14ac:dyDescent="0.25">
      <c r="A87" t="s">
        <v>893</v>
      </c>
    </row>
    <row r="88" spans="1:1" x14ac:dyDescent="0.25">
      <c r="A88" t="s">
        <v>1102</v>
      </c>
    </row>
    <row r="89" spans="1:1" x14ac:dyDescent="0.25">
      <c r="A89" t="s">
        <v>1103</v>
      </c>
    </row>
    <row r="90" spans="1:1" x14ac:dyDescent="0.25">
      <c r="A90" t="s">
        <v>919</v>
      </c>
    </row>
    <row r="91" spans="1:1" x14ac:dyDescent="0.25">
      <c r="A91" t="s">
        <v>915</v>
      </c>
    </row>
    <row r="92" spans="1:1" x14ac:dyDescent="0.25">
      <c r="A92" t="s">
        <v>889</v>
      </c>
    </row>
    <row r="93" spans="1:1" x14ac:dyDescent="0.25">
      <c r="A93" t="s">
        <v>892</v>
      </c>
    </row>
    <row r="94" spans="1:1" x14ac:dyDescent="0.25">
      <c r="A94" t="s">
        <v>861</v>
      </c>
    </row>
    <row r="95" spans="1:1" x14ac:dyDescent="0.25">
      <c r="A95" t="s">
        <v>893</v>
      </c>
    </row>
    <row r="96" spans="1:1" x14ac:dyDescent="0.25">
      <c r="A96" t="s">
        <v>922</v>
      </c>
    </row>
    <row r="97" spans="1:1" x14ac:dyDescent="0.25">
      <c r="A97" t="s">
        <v>919</v>
      </c>
    </row>
    <row r="98" spans="1:1" x14ac:dyDescent="0.25">
      <c r="A98" t="s">
        <v>865</v>
      </c>
    </row>
    <row r="99" spans="1:1" x14ac:dyDescent="0.25">
      <c r="A99" t="s">
        <v>892</v>
      </c>
    </row>
    <row r="100" spans="1:1" x14ac:dyDescent="0.25">
      <c r="A100" t="s">
        <v>864</v>
      </c>
    </row>
    <row r="101" spans="1:1" x14ac:dyDescent="0.25">
      <c r="A101" t="s">
        <v>893</v>
      </c>
    </row>
    <row r="102" spans="1:1" x14ac:dyDescent="0.25">
      <c r="A102" t="s">
        <v>1106</v>
      </c>
    </row>
    <row r="103" spans="1:1" x14ac:dyDescent="0.25">
      <c r="A103" t="s">
        <v>1107</v>
      </c>
    </row>
    <row r="104" spans="1:1" x14ac:dyDescent="0.25">
      <c r="A104" t="s">
        <v>919</v>
      </c>
    </row>
    <row r="105" spans="1:1" x14ac:dyDescent="0.25">
      <c r="A105" t="s">
        <v>916</v>
      </c>
    </row>
    <row r="106" spans="1:1" x14ac:dyDescent="0.25">
      <c r="A106" t="s">
        <v>889</v>
      </c>
    </row>
    <row r="107" spans="1:1" x14ac:dyDescent="0.25">
      <c r="A107" t="s">
        <v>892</v>
      </c>
    </row>
    <row r="108" spans="1:1" x14ac:dyDescent="0.25">
      <c r="A108" t="s">
        <v>861</v>
      </c>
    </row>
    <row r="109" spans="1:1" x14ac:dyDescent="0.25">
      <c r="A109" t="s">
        <v>893</v>
      </c>
    </row>
    <row r="110" spans="1:1" x14ac:dyDescent="0.25">
      <c r="A110" t="s">
        <v>922</v>
      </c>
    </row>
    <row r="111" spans="1:1" x14ac:dyDescent="0.25">
      <c r="A111" t="s">
        <v>919</v>
      </c>
    </row>
    <row r="112" spans="1:1" x14ac:dyDescent="0.25">
      <c r="A112" t="s">
        <v>865</v>
      </c>
    </row>
    <row r="113" spans="1:1" x14ac:dyDescent="0.25">
      <c r="A113" t="s">
        <v>892</v>
      </c>
    </row>
    <row r="114" spans="1:1" x14ac:dyDescent="0.25">
      <c r="A114" t="s">
        <v>864</v>
      </c>
    </row>
    <row r="115" spans="1:1" x14ac:dyDescent="0.25">
      <c r="A115" t="s">
        <v>893</v>
      </c>
    </row>
    <row r="116" spans="1:1" x14ac:dyDescent="0.25">
      <c r="A116" t="s">
        <v>1108</v>
      </c>
    </row>
    <row r="117" spans="1:1" x14ac:dyDescent="0.25">
      <c r="A117" t="s">
        <v>1109</v>
      </c>
    </row>
    <row r="118" spans="1:1" x14ac:dyDescent="0.25">
      <c r="A118" t="s">
        <v>919</v>
      </c>
    </row>
    <row r="119" spans="1:1" x14ac:dyDescent="0.25">
      <c r="A119" t="s">
        <v>917</v>
      </c>
    </row>
    <row r="120" spans="1:1" x14ac:dyDescent="0.25">
      <c r="A120" t="s">
        <v>889</v>
      </c>
    </row>
    <row r="121" spans="1:1" x14ac:dyDescent="0.25">
      <c r="A121" t="s">
        <v>892</v>
      </c>
    </row>
    <row r="122" spans="1:1" x14ac:dyDescent="0.25">
      <c r="A122" t="s">
        <v>861</v>
      </c>
    </row>
    <row r="123" spans="1:1" x14ac:dyDescent="0.25">
      <c r="A123" t="s">
        <v>893</v>
      </c>
    </row>
    <row r="124" spans="1:1" x14ac:dyDescent="0.25">
      <c r="A124" t="s">
        <v>922</v>
      </c>
    </row>
    <row r="125" spans="1:1" x14ac:dyDescent="0.25">
      <c r="A125" t="s">
        <v>919</v>
      </c>
    </row>
    <row r="126" spans="1:1" x14ac:dyDescent="0.25">
      <c r="A126" t="s">
        <v>865</v>
      </c>
    </row>
    <row r="127" spans="1:1" x14ac:dyDescent="0.25">
      <c r="A127" t="s">
        <v>892</v>
      </c>
    </row>
    <row r="128" spans="1:1" x14ac:dyDescent="0.25">
      <c r="A128" t="s">
        <v>864</v>
      </c>
    </row>
    <row r="129" spans="1:1" x14ac:dyDescent="0.25">
      <c r="A129" t="s">
        <v>893</v>
      </c>
    </row>
    <row r="130" spans="1:1" x14ac:dyDescent="0.25">
      <c r="A130" t="s">
        <v>868</v>
      </c>
    </row>
    <row r="131" spans="1:1" x14ac:dyDescent="0.25">
      <c r="A131" t="s">
        <v>1132</v>
      </c>
    </row>
    <row r="132" spans="1:1" x14ac:dyDescent="0.25">
      <c r="A132" t="s">
        <v>894</v>
      </c>
    </row>
    <row r="133" spans="1:1" x14ac:dyDescent="0.25">
      <c r="A133" t="s">
        <v>801</v>
      </c>
    </row>
    <row r="134" spans="1:1" x14ac:dyDescent="0.25">
      <c r="A134" t="s">
        <v>895</v>
      </c>
    </row>
    <row r="135" spans="1:1" x14ac:dyDescent="0.25">
      <c r="A135" t="s">
        <v>880</v>
      </c>
    </row>
    <row r="136" spans="1:1" x14ac:dyDescent="0.25">
      <c r="A136" t="s">
        <v>894</v>
      </c>
    </row>
    <row r="137" spans="1:1" x14ac:dyDescent="0.25">
      <c r="A137" t="s">
        <v>870</v>
      </c>
    </row>
    <row r="138" spans="1:1" x14ac:dyDescent="0.25">
      <c r="A138" t="s">
        <v>895</v>
      </c>
    </row>
    <row r="139" spans="1:1" x14ac:dyDescent="0.25">
      <c r="A139" t="s">
        <v>881</v>
      </c>
    </row>
    <row r="140" spans="1:1" x14ac:dyDescent="0.25">
      <c r="A140" t="s">
        <v>894</v>
      </c>
    </row>
    <row r="141" spans="1:1" x14ac:dyDescent="0.25">
      <c r="A141" t="s">
        <v>873</v>
      </c>
    </row>
    <row r="142" spans="1:1" x14ac:dyDescent="0.25">
      <c r="A142" t="s">
        <v>895</v>
      </c>
    </row>
    <row r="143" spans="1:1" x14ac:dyDescent="0.25">
      <c r="A143" t="s">
        <v>882</v>
      </c>
    </row>
    <row r="144" spans="1:1" x14ac:dyDescent="0.25">
      <c r="A144" t="s">
        <v>894</v>
      </c>
    </row>
    <row r="145" spans="1:1" x14ac:dyDescent="0.25">
      <c r="A145" t="s">
        <v>874</v>
      </c>
    </row>
    <row r="146" spans="1:1" x14ac:dyDescent="0.25">
      <c r="A146" t="s">
        <v>895</v>
      </c>
    </row>
    <row r="147" spans="1:1" x14ac:dyDescent="0.25">
      <c r="A147" t="s">
        <v>883</v>
      </c>
    </row>
    <row r="148" spans="1:1" x14ac:dyDescent="0.25">
      <c r="A148" t="s">
        <v>894</v>
      </c>
    </row>
    <row r="149" spans="1:1" x14ac:dyDescent="0.25">
      <c r="A149" t="s">
        <v>875</v>
      </c>
    </row>
    <row r="150" spans="1:1" x14ac:dyDescent="0.25">
      <c r="A150" t="s">
        <v>895</v>
      </c>
    </row>
    <row r="151" spans="1:1" x14ac:dyDescent="0.25">
      <c r="A151" t="s">
        <v>884</v>
      </c>
    </row>
    <row r="152" spans="1:1" x14ac:dyDescent="0.25">
      <c r="A152" t="s">
        <v>894</v>
      </c>
    </row>
    <row r="153" spans="1:1" x14ac:dyDescent="0.25">
      <c r="A153" t="s">
        <v>876</v>
      </c>
    </row>
    <row r="154" spans="1:1" x14ac:dyDescent="0.25">
      <c r="A154" t="s">
        <v>895</v>
      </c>
    </row>
    <row r="155" spans="1:1" x14ac:dyDescent="0.25">
      <c r="A155" t="s">
        <v>885</v>
      </c>
    </row>
    <row r="156" spans="1:1" x14ac:dyDescent="0.25">
      <c r="A156" t="s">
        <v>894</v>
      </c>
    </row>
    <row r="157" spans="1:1" x14ac:dyDescent="0.25">
      <c r="A157" t="s">
        <v>877</v>
      </c>
    </row>
    <row r="158" spans="1:1" x14ac:dyDescent="0.25">
      <c r="A158" t="s">
        <v>895</v>
      </c>
    </row>
    <row r="159" spans="1:1" x14ac:dyDescent="0.25">
      <c r="A159" t="s">
        <v>886</v>
      </c>
    </row>
    <row r="160" spans="1:1" x14ac:dyDescent="0.25">
      <c r="A160" t="s">
        <v>894</v>
      </c>
    </row>
    <row r="161" spans="1:1" x14ac:dyDescent="0.25">
      <c r="A161" t="s">
        <v>878</v>
      </c>
    </row>
    <row r="162" spans="1:1" x14ac:dyDescent="0.25">
      <c r="A162" t="s">
        <v>895</v>
      </c>
    </row>
    <row r="163" spans="1:1" x14ac:dyDescent="0.25">
      <c r="A163" t="s">
        <v>887</v>
      </c>
    </row>
    <row r="164" spans="1:1" x14ac:dyDescent="0.25">
      <c r="A164" t="s">
        <v>894</v>
      </c>
    </row>
    <row r="165" spans="1:1" x14ac:dyDescent="0.25">
      <c r="A165" t="s">
        <v>879</v>
      </c>
    </row>
    <row r="166" spans="1:1" x14ac:dyDescent="0.25">
      <c r="A166" t="s">
        <v>895</v>
      </c>
    </row>
    <row r="167" spans="1:1" x14ac:dyDescent="0.25">
      <c r="A167" t="s">
        <v>888</v>
      </c>
    </row>
    <row r="168" spans="1:1" x14ac:dyDescent="0.25">
      <c r="A168" t="s">
        <v>897</v>
      </c>
    </row>
    <row r="169" spans="1:1" x14ac:dyDescent="0.25">
      <c r="A169" t="s">
        <v>1165</v>
      </c>
    </row>
    <row r="170" spans="1:1" x14ac:dyDescent="0.25">
      <c r="A170" t="s">
        <v>890</v>
      </c>
    </row>
    <row r="171" spans="1:1" x14ac:dyDescent="0.25">
      <c r="A171" t="s">
        <v>925</v>
      </c>
    </row>
    <row r="172" spans="1:1" x14ac:dyDescent="0.25">
      <c r="A172" t="s">
        <v>926</v>
      </c>
    </row>
    <row r="173" spans="1:1" x14ac:dyDescent="0.25">
      <c r="A173" t="s">
        <v>927</v>
      </c>
    </row>
    <row r="174" spans="1:1" x14ac:dyDescent="0.25">
      <c r="A174" t="s">
        <v>928</v>
      </c>
    </row>
    <row r="175" spans="1:1" x14ac:dyDescent="0.25">
      <c r="A175" t="s">
        <v>925</v>
      </c>
    </row>
    <row r="176" spans="1:1" x14ac:dyDescent="0.25">
      <c r="A176" t="s">
        <v>929</v>
      </c>
    </row>
    <row r="177" spans="1:1" x14ac:dyDescent="0.25">
      <c r="A177" t="s">
        <v>927</v>
      </c>
    </row>
    <row r="178" spans="1:1" x14ac:dyDescent="0.25">
      <c r="A178" t="s">
        <v>930</v>
      </c>
    </row>
    <row r="179" spans="1:1" x14ac:dyDescent="0.25">
      <c r="A179" t="s">
        <v>925</v>
      </c>
    </row>
    <row r="180" spans="1:1" x14ac:dyDescent="0.25">
      <c r="A180" t="s">
        <v>931</v>
      </c>
    </row>
    <row r="181" spans="1:1" x14ac:dyDescent="0.25">
      <c r="A181" t="s">
        <v>927</v>
      </c>
    </row>
    <row r="182" spans="1:1" x14ac:dyDescent="0.25">
      <c r="A182" t="s">
        <v>932</v>
      </c>
    </row>
    <row r="183" spans="1:1" x14ac:dyDescent="0.25">
      <c r="A183" t="s">
        <v>925</v>
      </c>
    </row>
    <row r="184" spans="1:1" x14ac:dyDescent="0.25">
      <c r="A184" t="s">
        <v>933</v>
      </c>
    </row>
    <row r="185" spans="1:1" x14ac:dyDescent="0.25">
      <c r="A185" t="s">
        <v>927</v>
      </c>
    </row>
    <row r="186" spans="1:1" x14ac:dyDescent="0.25">
      <c r="A186" t="s">
        <v>934</v>
      </c>
    </row>
    <row r="187" spans="1:1" x14ac:dyDescent="0.25">
      <c r="A187" t="s">
        <v>925</v>
      </c>
    </row>
    <row r="188" spans="1:1" x14ac:dyDescent="0.25">
      <c r="A188" t="s">
        <v>935</v>
      </c>
    </row>
    <row r="189" spans="1:1" x14ac:dyDescent="0.25">
      <c r="A189" t="s">
        <v>927</v>
      </c>
    </row>
    <row r="190" spans="1:1" x14ac:dyDescent="0.25">
      <c r="A190" t="s">
        <v>936</v>
      </c>
    </row>
    <row r="191" spans="1:1" x14ac:dyDescent="0.25">
      <c r="A191" t="s">
        <v>925</v>
      </c>
    </row>
    <row r="192" spans="1:1" x14ac:dyDescent="0.25">
      <c r="A192" t="s">
        <v>937</v>
      </c>
    </row>
    <row r="193" spans="1:1" x14ac:dyDescent="0.25">
      <c r="A193" t="s">
        <v>927</v>
      </c>
    </row>
    <row r="194" spans="1:1" x14ac:dyDescent="0.25">
      <c r="A194" t="s">
        <v>938</v>
      </c>
    </row>
    <row r="195" spans="1:1" x14ac:dyDescent="0.25">
      <c r="A195" t="s">
        <v>925</v>
      </c>
    </row>
    <row r="196" spans="1:1" x14ac:dyDescent="0.25">
      <c r="A196" t="s">
        <v>939</v>
      </c>
    </row>
    <row r="197" spans="1:1" x14ac:dyDescent="0.25">
      <c r="A197" t="s">
        <v>927</v>
      </c>
    </row>
    <row r="198" spans="1:1" x14ac:dyDescent="0.25">
      <c r="A198" t="s">
        <v>940</v>
      </c>
    </row>
    <row r="199" spans="1:1" x14ac:dyDescent="0.25">
      <c r="A199" t="s">
        <v>925</v>
      </c>
    </row>
    <row r="200" spans="1:1" x14ac:dyDescent="0.25">
      <c r="A200" t="s">
        <v>941</v>
      </c>
    </row>
    <row r="201" spans="1:1" x14ac:dyDescent="0.25">
      <c r="A201" t="s">
        <v>927</v>
      </c>
    </row>
    <row r="202" spans="1:1" x14ac:dyDescent="0.25">
      <c r="A202" t="s">
        <v>942</v>
      </c>
    </row>
    <row r="203" spans="1:1" x14ac:dyDescent="0.25">
      <c r="A203" t="s">
        <v>925</v>
      </c>
    </row>
    <row r="204" spans="1:1" x14ac:dyDescent="0.25">
      <c r="A204" t="s">
        <v>943</v>
      </c>
    </row>
    <row r="205" spans="1:1" x14ac:dyDescent="0.25">
      <c r="A205" t="s">
        <v>927</v>
      </c>
    </row>
    <row r="206" spans="1:1" x14ac:dyDescent="0.25">
      <c r="A206" t="s">
        <v>944</v>
      </c>
    </row>
    <row r="207" spans="1:1" x14ac:dyDescent="0.25">
      <c r="A207" t="s">
        <v>925</v>
      </c>
    </row>
    <row r="208" spans="1:1" x14ac:dyDescent="0.25">
      <c r="A208" t="s">
        <v>945</v>
      </c>
    </row>
    <row r="209" spans="1:1" x14ac:dyDescent="0.25">
      <c r="A209" t="s">
        <v>927</v>
      </c>
    </row>
    <row r="210" spans="1:1" x14ac:dyDescent="0.25">
      <c r="A210" t="s">
        <v>946</v>
      </c>
    </row>
    <row r="211" spans="1:1" x14ac:dyDescent="0.25">
      <c r="A211" t="s">
        <v>925</v>
      </c>
    </row>
    <row r="212" spans="1:1" x14ac:dyDescent="0.25">
      <c r="A212" t="s">
        <v>947</v>
      </c>
    </row>
    <row r="213" spans="1:1" x14ac:dyDescent="0.25">
      <c r="A213" t="s">
        <v>927</v>
      </c>
    </row>
    <row r="214" spans="1:1" x14ac:dyDescent="0.25">
      <c r="A214" t="s">
        <v>948</v>
      </c>
    </row>
    <row r="215" spans="1:1" x14ac:dyDescent="0.25">
      <c r="A215" t="s">
        <v>925</v>
      </c>
    </row>
    <row r="216" spans="1:1" x14ac:dyDescent="0.25">
      <c r="A216" t="s">
        <v>949</v>
      </c>
    </row>
    <row r="217" spans="1:1" x14ac:dyDescent="0.25">
      <c r="A217" t="s">
        <v>927</v>
      </c>
    </row>
    <row r="218" spans="1:1" x14ac:dyDescent="0.25">
      <c r="A218" t="s">
        <v>950</v>
      </c>
    </row>
    <row r="219" spans="1:1" x14ac:dyDescent="0.25">
      <c r="A219" t="s">
        <v>925</v>
      </c>
    </row>
    <row r="220" spans="1:1" x14ac:dyDescent="0.25">
      <c r="A220" t="s">
        <v>951</v>
      </c>
    </row>
    <row r="221" spans="1:1" x14ac:dyDescent="0.25">
      <c r="A221" t="s">
        <v>927</v>
      </c>
    </row>
    <row r="222" spans="1:1" x14ac:dyDescent="0.25">
      <c r="A222" t="s">
        <v>952</v>
      </c>
    </row>
    <row r="223" spans="1:1" x14ac:dyDescent="0.25">
      <c r="A223" t="s">
        <v>925</v>
      </c>
    </row>
    <row r="224" spans="1:1" x14ac:dyDescent="0.25">
      <c r="A224" t="s">
        <v>953</v>
      </c>
    </row>
    <row r="225" spans="1:1" x14ac:dyDescent="0.25">
      <c r="A225" t="s">
        <v>927</v>
      </c>
    </row>
    <row r="226" spans="1:1" x14ac:dyDescent="0.25">
      <c r="A226" t="s">
        <v>954</v>
      </c>
    </row>
    <row r="227" spans="1:1" x14ac:dyDescent="0.25">
      <c r="A227" t="s">
        <v>925</v>
      </c>
    </row>
    <row r="228" spans="1:1" x14ac:dyDescent="0.25">
      <c r="A228" t="s">
        <v>955</v>
      </c>
    </row>
    <row r="229" spans="1:1" x14ac:dyDescent="0.25">
      <c r="A229" t="s">
        <v>927</v>
      </c>
    </row>
    <row r="230" spans="1:1" x14ac:dyDescent="0.25">
      <c r="A230" t="s">
        <v>956</v>
      </c>
    </row>
    <row r="231" spans="1:1" x14ac:dyDescent="0.25">
      <c r="A231" t="s">
        <v>925</v>
      </c>
    </row>
    <row r="232" spans="1:1" x14ac:dyDescent="0.25">
      <c r="A232" t="s">
        <v>957</v>
      </c>
    </row>
    <row r="233" spans="1:1" x14ac:dyDescent="0.25">
      <c r="A233" t="s">
        <v>927</v>
      </c>
    </row>
    <row r="234" spans="1:1" x14ac:dyDescent="0.25">
      <c r="A234" t="s">
        <v>958</v>
      </c>
    </row>
    <row r="235" spans="1:1" x14ac:dyDescent="0.25">
      <c r="A235" t="s">
        <v>925</v>
      </c>
    </row>
    <row r="236" spans="1:1" x14ac:dyDescent="0.25">
      <c r="A236" t="s">
        <v>959</v>
      </c>
    </row>
    <row r="237" spans="1:1" x14ac:dyDescent="0.25">
      <c r="A237" t="s">
        <v>927</v>
      </c>
    </row>
    <row r="238" spans="1:1" x14ac:dyDescent="0.25">
      <c r="A238" t="s">
        <v>960</v>
      </c>
    </row>
    <row r="239" spans="1:1" x14ac:dyDescent="0.25">
      <c r="A239" t="s">
        <v>925</v>
      </c>
    </row>
    <row r="240" spans="1:1" x14ac:dyDescent="0.25">
      <c r="A240" t="s">
        <v>961</v>
      </c>
    </row>
    <row r="241" spans="1:1" x14ac:dyDescent="0.25">
      <c r="A241" t="s">
        <v>927</v>
      </c>
    </row>
    <row r="242" spans="1:1" x14ac:dyDescent="0.25">
      <c r="A242" t="s">
        <v>962</v>
      </c>
    </row>
    <row r="243" spans="1:1" x14ac:dyDescent="0.25">
      <c r="A243" t="s">
        <v>925</v>
      </c>
    </row>
    <row r="244" spans="1:1" x14ac:dyDescent="0.25">
      <c r="A244" t="s">
        <v>963</v>
      </c>
    </row>
    <row r="245" spans="1:1" x14ac:dyDescent="0.25">
      <c r="A245" t="s">
        <v>927</v>
      </c>
    </row>
    <row r="246" spans="1:1" x14ac:dyDescent="0.25">
      <c r="A246" t="s">
        <v>964</v>
      </c>
    </row>
    <row r="247" spans="1:1" x14ac:dyDescent="0.25">
      <c r="A247" t="s">
        <v>925</v>
      </c>
    </row>
    <row r="248" spans="1:1" x14ac:dyDescent="0.25">
      <c r="A248" t="s">
        <v>965</v>
      </c>
    </row>
    <row r="249" spans="1:1" x14ac:dyDescent="0.25">
      <c r="A249" t="s">
        <v>927</v>
      </c>
    </row>
    <row r="250" spans="1:1" x14ac:dyDescent="0.25">
      <c r="A250" t="s">
        <v>966</v>
      </c>
    </row>
    <row r="251" spans="1:1" x14ac:dyDescent="0.25">
      <c r="A251" t="s">
        <v>925</v>
      </c>
    </row>
    <row r="252" spans="1:1" x14ac:dyDescent="0.25">
      <c r="A252" t="s">
        <v>967</v>
      </c>
    </row>
    <row r="253" spans="1:1" x14ac:dyDescent="0.25">
      <c r="A253" t="s">
        <v>927</v>
      </c>
    </row>
    <row r="254" spans="1:1" x14ac:dyDescent="0.25">
      <c r="A254" t="s">
        <v>968</v>
      </c>
    </row>
    <row r="255" spans="1:1" x14ac:dyDescent="0.25">
      <c r="A255" t="s">
        <v>925</v>
      </c>
    </row>
    <row r="256" spans="1:1" x14ac:dyDescent="0.25">
      <c r="A256" t="s">
        <v>969</v>
      </c>
    </row>
    <row r="257" spans="1:1" x14ac:dyDescent="0.25">
      <c r="A257" t="s">
        <v>927</v>
      </c>
    </row>
    <row r="258" spans="1:1" x14ac:dyDescent="0.25">
      <c r="A258" t="s">
        <v>970</v>
      </c>
    </row>
    <row r="259" spans="1:1" x14ac:dyDescent="0.25">
      <c r="A259" t="s">
        <v>925</v>
      </c>
    </row>
    <row r="260" spans="1:1" x14ac:dyDescent="0.25">
      <c r="A260" t="s">
        <v>971</v>
      </c>
    </row>
    <row r="261" spans="1:1" x14ac:dyDescent="0.25">
      <c r="A261" t="s">
        <v>927</v>
      </c>
    </row>
    <row r="262" spans="1:1" x14ac:dyDescent="0.25">
      <c r="A262" t="s">
        <v>972</v>
      </c>
    </row>
    <row r="263" spans="1:1" x14ac:dyDescent="0.25">
      <c r="A263" t="s">
        <v>925</v>
      </c>
    </row>
    <row r="264" spans="1:1" x14ac:dyDescent="0.25">
      <c r="A264" t="s">
        <v>973</v>
      </c>
    </row>
    <row r="265" spans="1:1" x14ac:dyDescent="0.25">
      <c r="A265" t="s">
        <v>927</v>
      </c>
    </row>
    <row r="266" spans="1:1" x14ac:dyDescent="0.25">
      <c r="A266" t="s">
        <v>974</v>
      </c>
    </row>
    <row r="267" spans="1:1" x14ac:dyDescent="0.25">
      <c r="A267" t="s">
        <v>925</v>
      </c>
    </row>
    <row r="268" spans="1:1" x14ac:dyDescent="0.25">
      <c r="A268" t="s">
        <v>975</v>
      </c>
    </row>
    <row r="269" spans="1:1" x14ac:dyDescent="0.25">
      <c r="A269" t="s">
        <v>927</v>
      </c>
    </row>
    <row r="270" spans="1:1" x14ac:dyDescent="0.25">
      <c r="A270" t="s">
        <v>976</v>
      </c>
    </row>
    <row r="271" spans="1:1" x14ac:dyDescent="0.25">
      <c r="A271" t="s">
        <v>925</v>
      </c>
    </row>
    <row r="272" spans="1:1" x14ac:dyDescent="0.25">
      <c r="A272" t="s">
        <v>977</v>
      </c>
    </row>
    <row r="273" spans="1:1" x14ac:dyDescent="0.25">
      <c r="A273" t="s">
        <v>927</v>
      </c>
    </row>
    <row r="274" spans="1:1" x14ac:dyDescent="0.25">
      <c r="A274" t="s">
        <v>978</v>
      </c>
    </row>
    <row r="275" spans="1:1" x14ac:dyDescent="0.25">
      <c r="A275" t="s">
        <v>925</v>
      </c>
    </row>
    <row r="276" spans="1:1" x14ac:dyDescent="0.25">
      <c r="A276" t="s">
        <v>979</v>
      </c>
    </row>
    <row r="277" spans="1:1" x14ac:dyDescent="0.25">
      <c r="A277" t="s">
        <v>927</v>
      </c>
    </row>
    <row r="278" spans="1:1" x14ac:dyDescent="0.25">
      <c r="A278" t="s">
        <v>980</v>
      </c>
    </row>
    <row r="279" spans="1:1" x14ac:dyDescent="0.25">
      <c r="A279" t="s">
        <v>925</v>
      </c>
    </row>
    <row r="280" spans="1:1" x14ac:dyDescent="0.25">
      <c r="A280" t="s">
        <v>981</v>
      </c>
    </row>
    <row r="281" spans="1:1" x14ac:dyDescent="0.25">
      <c r="A281" t="s">
        <v>927</v>
      </c>
    </row>
    <row r="282" spans="1:1" x14ac:dyDescent="0.25">
      <c r="A282" t="s">
        <v>982</v>
      </c>
    </row>
    <row r="283" spans="1:1" x14ac:dyDescent="0.25">
      <c r="A283" t="s">
        <v>925</v>
      </c>
    </row>
    <row r="284" spans="1:1" x14ac:dyDescent="0.25">
      <c r="A284" t="s">
        <v>983</v>
      </c>
    </row>
    <row r="285" spans="1:1" x14ac:dyDescent="0.25">
      <c r="A285" t="s">
        <v>927</v>
      </c>
    </row>
    <row r="286" spans="1:1" x14ac:dyDescent="0.25">
      <c r="A286" t="s">
        <v>984</v>
      </c>
    </row>
    <row r="287" spans="1:1" x14ac:dyDescent="0.25">
      <c r="A287" t="s">
        <v>925</v>
      </c>
    </row>
    <row r="288" spans="1:1" x14ac:dyDescent="0.25">
      <c r="A288" t="s">
        <v>985</v>
      </c>
    </row>
    <row r="289" spans="1:1" x14ac:dyDescent="0.25">
      <c r="A289" t="s">
        <v>927</v>
      </c>
    </row>
    <row r="290" spans="1:1" x14ac:dyDescent="0.25">
      <c r="A290" t="s">
        <v>986</v>
      </c>
    </row>
    <row r="291" spans="1:1" x14ac:dyDescent="0.25">
      <c r="A291" t="s">
        <v>925</v>
      </c>
    </row>
    <row r="292" spans="1:1" x14ac:dyDescent="0.25">
      <c r="A292" t="s">
        <v>987</v>
      </c>
    </row>
    <row r="293" spans="1:1" x14ac:dyDescent="0.25">
      <c r="A293" t="s">
        <v>927</v>
      </c>
    </row>
    <row r="294" spans="1:1" x14ac:dyDescent="0.25">
      <c r="A294" t="s">
        <v>988</v>
      </c>
    </row>
    <row r="295" spans="1:1" x14ac:dyDescent="0.25">
      <c r="A295" t="s">
        <v>925</v>
      </c>
    </row>
    <row r="296" spans="1:1" x14ac:dyDescent="0.25">
      <c r="A296" t="s">
        <v>989</v>
      </c>
    </row>
    <row r="297" spans="1:1" x14ac:dyDescent="0.25">
      <c r="A297" t="s">
        <v>927</v>
      </c>
    </row>
    <row r="298" spans="1:1" x14ac:dyDescent="0.25">
      <c r="A298" t="s">
        <v>990</v>
      </c>
    </row>
    <row r="299" spans="1:1" x14ac:dyDescent="0.25">
      <c r="A299" t="s">
        <v>925</v>
      </c>
    </row>
    <row r="300" spans="1:1" x14ac:dyDescent="0.25">
      <c r="A300" t="s">
        <v>991</v>
      </c>
    </row>
    <row r="301" spans="1:1" x14ac:dyDescent="0.25">
      <c r="A301" t="s">
        <v>927</v>
      </c>
    </row>
    <row r="302" spans="1:1" x14ac:dyDescent="0.25">
      <c r="A302" t="s">
        <v>992</v>
      </c>
    </row>
    <row r="303" spans="1:1" x14ac:dyDescent="0.25">
      <c r="A303" t="s">
        <v>925</v>
      </c>
    </row>
    <row r="304" spans="1:1" x14ac:dyDescent="0.25">
      <c r="A304" t="s">
        <v>993</v>
      </c>
    </row>
    <row r="305" spans="1:1" x14ac:dyDescent="0.25">
      <c r="A305" t="s">
        <v>927</v>
      </c>
    </row>
    <row r="306" spans="1:1" x14ac:dyDescent="0.25">
      <c r="A306" t="s">
        <v>994</v>
      </c>
    </row>
    <row r="307" spans="1:1" x14ac:dyDescent="0.25">
      <c r="A307" t="s">
        <v>925</v>
      </c>
    </row>
    <row r="308" spans="1:1" x14ac:dyDescent="0.25">
      <c r="A308" t="s">
        <v>995</v>
      </c>
    </row>
    <row r="309" spans="1:1" x14ac:dyDescent="0.25">
      <c r="A309" t="s">
        <v>927</v>
      </c>
    </row>
    <row r="310" spans="1:1" x14ac:dyDescent="0.25">
      <c r="A310" t="s">
        <v>996</v>
      </c>
    </row>
    <row r="311" spans="1:1" x14ac:dyDescent="0.25">
      <c r="A311" t="s">
        <v>925</v>
      </c>
    </row>
    <row r="312" spans="1:1" x14ac:dyDescent="0.25">
      <c r="A312" t="s">
        <v>997</v>
      </c>
    </row>
    <row r="313" spans="1:1" x14ac:dyDescent="0.25">
      <c r="A313" t="s">
        <v>927</v>
      </c>
    </row>
    <row r="314" spans="1:1" x14ac:dyDescent="0.25">
      <c r="A314" t="s">
        <v>998</v>
      </c>
    </row>
    <row r="315" spans="1:1" x14ac:dyDescent="0.25">
      <c r="A315" t="s">
        <v>925</v>
      </c>
    </row>
    <row r="316" spans="1:1" x14ac:dyDescent="0.25">
      <c r="A316" t="s">
        <v>999</v>
      </c>
    </row>
    <row r="317" spans="1:1" x14ac:dyDescent="0.25">
      <c r="A317" t="s">
        <v>927</v>
      </c>
    </row>
    <row r="318" spans="1:1" x14ac:dyDescent="0.25">
      <c r="A318" t="s">
        <v>1000</v>
      </c>
    </row>
    <row r="319" spans="1:1" x14ac:dyDescent="0.25">
      <c r="A319" t="s">
        <v>925</v>
      </c>
    </row>
    <row r="320" spans="1:1" x14ac:dyDescent="0.25">
      <c r="A320" t="s">
        <v>1001</v>
      </c>
    </row>
    <row r="321" spans="1:1" x14ac:dyDescent="0.25">
      <c r="A321" t="s">
        <v>927</v>
      </c>
    </row>
    <row r="322" spans="1:1" x14ac:dyDescent="0.25">
      <c r="A322" t="s">
        <v>1002</v>
      </c>
    </row>
    <row r="323" spans="1:1" x14ac:dyDescent="0.25">
      <c r="A323" t="s">
        <v>925</v>
      </c>
    </row>
    <row r="324" spans="1:1" x14ac:dyDescent="0.25">
      <c r="A324" t="s">
        <v>1003</v>
      </c>
    </row>
    <row r="325" spans="1:1" x14ac:dyDescent="0.25">
      <c r="A325" t="s">
        <v>927</v>
      </c>
    </row>
    <row r="326" spans="1:1" x14ac:dyDescent="0.25">
      <c r="A326" t="s">
        <v>1004</v>
      </c>
    </row>
    <row r="327" spans="1:1" x14ac:dyDescent="0.25">
      <c r="A327" t="s">
        <v>925</v>
      </c>
    </row>
    <row r="328" spans="1:1" x14ac:dyDescent="0.25">
      <c r="A328" t="s">
        <v>1005</v>
      </c>
    </row>
    <row r="329" spans="1:1" x14ac:dyDescent="0.25">
      <c r="A329" t="s">
        <v>927</v>
      </c>
    </row>
    <row r="330" spans="1:1" x14ac:dyDescent="0.25">
      <c r="A330" t="s">
        <v>1006</v>
      </c>
    </row>
    <row r="331" spans="1:1" x14ac:dyDescent="0.25">
      <c r="A331" t="s">
        <v>925</v>
      </c>
    </row>
    <row r="332" spans="1:1" x14ac:dyDescent="0.25">
      <c r="A332" t="s">
        <v>1007</v>
      </c>
    </row>
    <row r="333" spans="1:1" x14ac:dyDescent="0.25">
      <c r="A333" t="s">
        <v>927</v>
      </c>
    </row>
    <row r="334" spans="1:1" x14ac:dyDescent="0.25">
      <c r="A334" t="s">
        <v>1008</v>
      </c>
    </row>
    <row r="335" spans="1:1" x14ac:dyDescent="0.25">
      <c r="A335" t="s">
        <v>925</v>
      </c>
    </row>
    <row r="336" spans="1:1" x14ac:dyDescent="0.25">
      <c r="A336" t="s">
        <v>1009</v>
      </c>
    </row>
    <row r="337" spans="1:1" x14ac:dyDescent="0.25">
      <c r="A337" t="s">
        <v>927</v>
      </c>
    </row>
    <row r="338" spans="1:1" x14ac:dyDescent="0.25">
      <c r="A338" t="s">
        <v>1010</v>
      </c>
    </row>
    <row r="339" spans="1:1" x14ac:dyDescent="0.25">
      <c r="A339" t="s">
        <v>925</v>
      </c>
    </row>
    <row r="340" spans="1:1" x14ac:dyDescent="0.25">
      <c r="A340" t="s">
        <v>1011</v>
      </c>
    </row>
    <row r="341" spans="1:1" x14ac:dyDescent="0.25">
      <c r="A341" t="s">
        <v>927</v>
      </c>
    </row>
    <row r="342" spans="1:1" x14ac:dyDescent="0.25">
      <c r="A342" t="s">
        <v>1012</v>
      </c>
    </row>
    <row r="343" spans="1:1" x14ac:dyDescent="0.25">
      <c r="A343" t="s">
        <v>925</v>
      </c>
    </row>
    <row r="344" spans="1:1" x14ac:dyDescent="0.25">
      <c r="A344" t="s">
        <v>1013</v>
      </c>
    </row>
    <row r="345" spans="1:1" x14ac:dyDescent="0.25">
      <c r="A345" t="s">
        <v>927</v>
      </c>
    </row>
    <row r="346" spans="1:1" x14ac:dyDescent="0.25">
      <c r="A346" t="s">
        <v>1014</v>
      </c>
    </row>
    <row r="347" spans="1:1" x14ac:dyDescent="0.25">
      <c r="A347" t="s">
        <v>925</v>
      </c>
    </row>
    <row r="348" spans="1:1" x14ac:dyDescent="0.25">
      <c r="A348" t="s">
        <v>1015</v>
      </c>
    </row>
    <row r="349" spans="1:1" x14ac:dyDescent="0.25">
      <c r="A349" t="s">
        <v>927</v>
      </c>
    </row>
    <row r="350" spans="1:1" x14ac:dyDescent="0.25">
      <c r="A350" t="s">
        <v>1016</v>
      </c>
    </row>
    <row r="351" spans="1:1" x14ac:dyDescent="0.25">
      <c r="A351" t="s">
        <v>925</v>
      </c>
    </row>
    <row r="352" spans="1:1" x14ac:dyDescent="0.25">
      <c r="A352" t="s">
        <v>1017</v>
      </c>
    </row>
    <row r="353" spans="1:1" x14ac:dyDescent="0.25">
      <c r="A353" t="s">
        <v>927</v>
      </c>
    </row>
    <row r="354" spans="1:1" x14ac:dyDescent="0.25">
      <c r="A354" t="s">
        <v>1018</v>
      </c>
    </row>
    <row r="355" spans="1:1" x14ac:dyDescent="0.25">
      <c r="A355" t="s">
        <v>925</v>
      </c>
    </row>
    <row r="356" spans="1:1" x14ac:dyDescent="0.25">
      <c r="A356" t="s">
        <v>1019</v>
      </c>
    </row>
    <row r="357" spans="1:1" x14ac:dyDescent="0.25">
      <c r="A357" t="s">
        <v>927</v>
      </c>
    </row>
    <row r="358" spans="1:1" x14ac:dyDescent="0.25">
      <c r="A358" t="s">
        <v>1020</v>
      </c>
    </row>
    <row r="359" spans="1:1" x14ac:dyDescent="0.25">
      <c r="A359" t="s">
        <v>925</v>
      </c>
    </row>
    <row r="360" spans="1:1" x14ac:dyDescent="0.25">
      <c r="A360" t="s">
        <v>1021</v>
      </c>
    </row>
    <row r="361" spans="1:1" x14ac:dyDescent="0.25">
      <c r="A361" t="s">
        <v>927</v>
      </c>
    </row>
    <row r="362" spans="1:1" x14ac:dyDescent="0.25">
      <c r="A362" t="s">
        <v>1022</v>
      </c>
    </row>
    <row r="363" spans="1:1" x14ac:dyDescent="0.25">
      <c r="A363" t="s">
        <v>925</v>
      </c>
    </row>
    <row r="364" spans="1:1" x14ac:dyDescent="0.25">
      <c r="A364" t="s">
        <v>1023</v>
      </c>
    </row>
    <row r="365" spans="1:1" x14ac:dyDescent="0.25">
      <c r="A365" t="s">
        <v>927</v>
      </c>
    </row>
    <row r="366" spans="1:1" x14ac:dyDescent="0.25">
      <c r="A366" t="s">
        <v>1024</v>
      </c>
    </row>
    <row r="367" spans="1:1" x14ac:dyDescent="0.25">
      <c r="A367" t="s">
        <v>925</v>
      </c>
    </row>
    <row r="368" spans="1:1" x14ac:dyDescent="0.25">
      <c r="A368" t="s">
        <v>1025</v>
      </c>
    </row>
    <row r="369" spans="1:1" x14ac:dyDescent="0.25">
      <c r="A369" t="s">
        <v>927</v>
      </c>
    </row>
    <row r="370" spans="1:1" x14ac:dyDescent="0.25">
      <c r="A370" t="s">
        <v>1026</v>
      </c>
    </row>
    <row r="371" spans="1:1" x14ac:dyDescent="0.25">
      <c r="A371" t="s">
        <v>925</v>
      </c>
    </row>
    <row r="372" spans="1:1" x14ac:dyDescent="0.25">
      <c r="A372" t="s">
        <v>1027</v>
      </c>
    </row>
    <row r="373" spans="1:1" x14ac:dyDescent="0.25">
      <c r="A373" t="s">
        <v>927</v>
      </c>
    </row>
    <row r="374" spans="1:1" x14ac:dyDescent="0.25">
      <c r="A374" t="s">
        <v>1028</v>
      </c>
    </row>
    <row r="375" spans="1:1" x14ac:dyDescent="0.25">
      <c r="A375" t="s">
        <v>925</v>
      </c>
    </row>
    <row r="376" spans="1:1" x14ac:dyDescent="0.25">
      <c r="A376" t="s">
        <v>1029</v>
      </c>
    </row>
    <row r="377" spans="1:1" x14ac:dyDescent="0.25">
      <c r="A377" t="s">
        <v>927</v>
      </c>
    </row>
    <row r="378" spans="1:1" x14ac:dyDescent="0.25">
      <c r="A378" t="s">
        <v>1030</v>
      </c>
    </row>
    <row r="379" spans="1:1" x14ac:dyDescent="0.25">
      <c r="A379" t="s">
        <v>925</v>
      </c>
    </row>
    <row r="380" spans="1:1" x14ac:dyDescent="0.25">
      <c r="A380" t="s">
        <v>1031</v>
      </c>
    </row>
    <row r="381" spans="1:1" x14ac:dyDescent="0.25">
      <c r="A381" t="s">
        <v>927</v>
      </c>
    </row>
    <row r="382" spans="1:1" x14ac:dyDescent="0.25">
      <c r="A382" t="s">
        <v>1032</v>
      </c>
    </row>
    <row r="383" spans="1:1" x14ac:dyDescent="0.25">
      <c r="A383" t="s">
        <v>925</v>
      </c>
    </row>
    <row r="384" spans="1:1" x14ac:dyDescent="0.25">
      <c r="A384" t="s">
        <v>1033</v>
      </c>
    </row>
    <row r="385" spans="1:1" x14ac:dyDescent="0.25">
      <c r="A385" t="s">
        <v>927</v>
      </c>
    </row>
    <row r="386" spans="1:1" x14ac:dyDescent="0.25">
      <c r="A386" t="s">
        <v>1034</v>
      </c>
    </row>
    <row r="387" spans="1:1" x14ac:dyDescent="0.25">
      <c r="A387" t="s">
        <v>925</v>
      </c>
    </row>
    <row r="388" spans="1:1" x14ac:dyDescent="0.25">
      <c r="A388" t="s">
        <v>1035</v>
      </c>
    </row>
    <row r="389" spans="1:1" x14ac:dyDescent="0.25">
      <c r="A389" t="s">
        <v>927</v>
      </c>
    </row>
    <row r="390" spans="1:1" x14ac:dyDescent="0.25">
      <c r="A390" t="s">
        <v>1036</v>
      </c>
    </row>
    <row r="391" spans="1:1" x14ac:dyDescent="0.25">
      <c r="A391" t="s">
        <v>925</v>
      </c>
    </row>
    <row r="392" spans="1:1" x14ac:dyDescent="0.25">
      <c r="A392" t="s">
        <v>1037</v>
      </c>
    </row>
    <row r="393" spans="1:1" x14ac:dyDescent="0.25">
      <c r="A393" t="s">
        <v>927</v>
      </c>
    </row>
    <row r="394" spans="1:1" x14ac:dyDescent="0.25">
      <c r="A394" t="s">
        <v>1038</v>
      </c>
    </row>
    <row r="395" spans="1:1" x14ac:dyDescent="0.25">
      <c r="A395" t="s">
        <v>925</v>
      </c>
    </row>
    <row r="396" spans="1:1" x14ac:dyDescent="0.25">
      <c r="A396" t="s">
        <v>1039</v>
      </c>
    </row>
    <row r="397" spans="1:1" x14ac:dyDescent="0.25">
      <c r="A397" t="s">
        <v>927</v>
      </c>
    </row>
    <row r="398" spans="1:1" x14ac:dyDescent="0.25">
      <c r="A398" t="s">
        <v>1040</v>
      </c>
    </row>
    <row r="399" spans="1:1" x14ac:dyDescent="0.25">
      <c r="A399" t="s">
        <v>925</v>
      </c>
    </row>
    <row r="400" spans="1:1" x14ac:dyDescent="0.25">
      <c r="A400" t="s">
        <v>1041</v>
      </c>
    </row>
    <row r="401" spans="1:1" x14ac:dyDescent="0.25">
      <c r="A401" t="s">
        <v>927</v>
      </c>
    </row>
    <row r="402" spans="1:1" x14ac:dyDescent="0.25">
      <c r="A402" t="s">
        <v>1042</v>
      </c>
    </row>
    <row r="403" spans="1:1" x14ac:dyDescent="0.25">
      <c r="A403" t="s">
        <v>925</v>
      </c>
    </row>
    <row r="404" spans="1:1" x14ac:dyDescent="0.25">
      <c r="A404" t="s">
        <v>1043</v>
      </c>
    </row>
    <row r="405" spans="1:1" x14ac:dyDescent="0.25">
      <c r="A405" t="s">
        <v>927</v>
      </c>
    </row>
    <row r="406" spans="1:1" x14ac:dyDescent="0.25">
      <c r="A406" t="s">
        <v>1044</v>
      </c>
    </row>
    <row r="407" spans="1:1" x14ac:dyDescent="0.25">
      <c r="A407" t="s">
        <v>1059</v>
      </c>
    </row>
    <row r="408" spans="1:1" x14ac:dyDescent="0.25">
      <c r="A408" t="s">
        <v>1398</v>
      </c>
    </row>
    <row r="409" spans="1:1" x14ac:dyDescent="0.25">
      <c r="A409" t="s">
        <v>906</v>
      </c>
    </row>
    <row r="410" spans="1:1" x14ac:dyDescent="0.25">
      <c r="A410" t="s">
        <v>801</v>
      </c>
    </row>
    <row r="411" spans="1:1" x14ac:dyDescent="0.25">
      <c r="A411" t="s">
        <v>907</v>
      </c>
    </row>
    <row r="412" spans="1:1" x14ac:dyDescent="0.25">
      <c r="A412" t="s">
        <v>880</v>
      </c>
    </row>
    <row r="413" spans="1:1" x14ac:dyDescent="0.25">
      <c r="A413" t="s">
        <v>906</v>
      </c>
    </row>
    <row r="414" spans="1:1" x14ac:dyDescent="0.25">
      <c r="A414" t="s">
        <v>870</v>
      </c>
    </row>
    <row r="415" spans="1:1" x14ac:dyDescent="0.25">
      <c r="A415" t="s">
        <v>907</v>
      </c>
    </row>
    <row r="416" spans="1:1" x14ac:dyDescent="0.25">
      <c r="A416" t="s">
        <v>881</v>
      </c>
    </row>
    <row r="417" spans="1:1" x14ac:dyDescent="0.25">
      <c r="A417" t="s">
        <v>906</v>
      </c>
    </row>
    <row r="418" spans="1:1" x14ac:dyDescent="0.25">
      <c r="A418" t="s">
        <v>873</v>
      </c>
    </row>
    <row r="419" spans="1:1" x14ac:dyDescent="0.25">
      <c r="A419" t="s">
        <v>907</v>
      </c>
    </row>
    <row r="420" spans="1:1" x14ac:dyDescent="0.25">
      <c r="A420" t="s">
        <v>882</v>
      </c>
    </row>
    <row r="421" spans="1:1" x14ac:dyDescent="0.25">
      <c r="A421" t="s">
        <v>906</v>
      </c>
    </row>
    <row r="422" spans="1:1" x14ac:dyDescent="0.25">
      <c r="A422" t="s">
        <v>874</v>
      </c>
    </row>
    <row r="423" spans="1:1" x14ac:dyDescent="0.25">
      <c r="A423" t="s">
        <v>907</v>
      </c>
    </row>
    <row r="424" spans="1:1" x14ac:dyDescent="0.25">
      <c r="A424" t="s">
        <v>883</v>
      </c>
    </row>
    <row r="425" spans="1:1" x14ac:dyDescent="0.25">
      <c r="A425" t="s">
        <v>906</v>
      </c>
    </row>
    <row r="426" spans="1:1" x14ac:dyDescent="0.25">
      <c r="A426" t="s">
        <v>875</v>
      </c>
    </row>
    <row r="427" spans="1:1" x14ac:dyDescent="0.25">
      <c r="A427" t="s">
        <v>907</v>
      </c>
    </row>
    <row r="428" spans="1:1" x14ac:dyDescent="0.25">
      <c r="A428" t="s">
        <v>884</v>
      </c>
    </row>
    <row r="429" spans="1:1" x14ac:dyDescent="0.25">
      <c r="A429" t="s">
        <v>906</v>
      </c>
    </row>
    <row r="430" spans="1:1" x14ac:dyDescent="0.25">
      <c r="A430" t="s">
        <v>876</v>
      </c>
    </row>
    <row r="431" spans="1:1" x14ac:dyDescent="0.25">
      <c r="A431" t="s">
        <v>907</v>
      </c>
    </row>
    <row r="432" spans="1:1" x14ac:dyDescent="0.25">
      <c r="A432" t="s">
        <v>885</v>
      </c>
    </row>
    <row r="433" spans="1:1" x14ac:dyDescent="0.25">
      <c r="A433" t="s">
        <v>906</v>
      </c>
    </row>
    <row r="434" spans="1:1" x14ac:dyDescent="0.25">
      <c r="A434" t="s">
        <v>877</v>
      </c>
    </row>
    <row r="435" spans="1:1" x14ac:dyDescent="0.25">
      <c r="A435" t="s">
        <v>907</v>
      </c>
    </row>
    <row r="436" spans="1:1" x14ac:dyDescent="0.25">
      <c r="A436" t="s">
        <v>886</v>
      </c>
    </row>
    <row r="437" spans="1:1" x14ac:dyDescent="0.25">
      <c r="A437" t="s">
        <v>906</v>
      </c>
    </row>
    <row r="438" spans="1:1" x14ac:dyDescent="0.25">
      <c r="A438" t="s">
        <v>878</v>
      </c>
    </row>
    <row r="439" spans="1:1" x14ac:dyDescent="0.25">
      <c r="A439" t="s">
        <v>907</v>
      </c>
    </row>
    <row r="440" spans="1:1" x14ac:dyDescent="0.25">
      <c r="A440" t="s">
        <v>887</v>
      </c>
    </row>
    <row r="441" spans="1:1" x14ac:dyDescent="0.25">
      <c r="A441" t="s">
        <v>906</v>
      </c>
    </row>
    <row r="442" spans="1:1" x14ac:dyDescent="0.25">
      <c r="A442" t="s">
        <v>879</v>
      </c>
    </row>
    <row r="443" spans="1:1" x14ac:dyDescent="0.25">
      <c r="A443" t="s">
        <v>907</v>
      </c>
    </row>
    <row r="444" spans="1:1" x14ac:dyDescent="0.25">
      <c r="A444" t="s">
        <v>888</v>
      </c>
    </row>
    <row r="445" spans="1:1" x14ac:dyDescent="0.25">
      <c r="A445" t="s">
        <v>897</v>
      </c>
    </row>
    <row r="446" spans="1:1" x14ac:dyDescent="0.25">
      <c r="A446" t="s">
        <v>902</v>
      </c>
    </row>
    <row r="447" spans="1:1" x14ac:dyDescent="0.25">
      <c r="A447" t="s">
        <v>1400</v>
      </c>
    </row>
    <row r="448" spans="1:1" x14ac:dyDescent="0.25">
      <c r="A448" t="s">
        <v>906</v>
      </c>
    </row>
    <row r="449" spans="1:1" x14ac:dyDescent="0.25">
      <c r="A449" t="s">
        <v>801</v>
      </c>
    </row>
    <row r="450" spans="1:1" x14ac:dyDescent="0.25">
      <c r="A450" t="s">
        <v>907</v>
      </c>
    </row>
    <row r="451" spans="1:1" x14ac:dyDescent="0.25">
      <c r="A451" t="s">
        <v>880</v>
      </c>
    </row>
    <row r="452" spans="1:1" x14ac:dyDescent="0.25">
      <c r="A452" t="s">
        <v>906</v>
      </c>
    </row>
    <row r="453" spans="1:1" x14ac:dyDescent="0.25">
      <c r="A453" t="s">
        <v>870</v>
      </c>
    </row>
    <row r="454" spans="1:1" x14ac:dyDescent="0.25">
      <c r="A454" t="s">
        <v>907</v>
      </c>
    </row>
    <row r="455" spans="1:1" x14ac:dyDescent="0.25">
      <c r="A455" t="s">
        <v>881</v>
      </c>
    </row>
    <row r="456" spans="1:1" x14ac:dyDescent="0.25">
      <c r="A456" t="s">
        <v>906</v>
      </c>
    </row>
    <row r="457" spans="1:1" x14ac:dyDescent="0.25">
      <c r="A457" t="s">
        <v>873</v>
      </c>
    </row>
    <row r="458" spans="1:1" x14ac:dyDescent="0.25">
      <c r="A458" t="s">
        <v>907</v>
      </c>
    </row>
    <row r="459" spans="1:1" x14ac:dyDescent="0.25">
      <c r="A459" t="s">
        <v>882</v>
      </c>
    </row>
    <row r="460" spans="1:1" x14ac:dyDescent="0.25">
      <c r="A460" t="s">
        <v>906</v>
      </c>
    </row>
    <row r="461" spans="1:1" x14ac:dyDescent="0.25">
      <c r="A461" t="s">
        <v>874</v>
      </c>
    </row>
    <row r="462" spans="1:1" x14ac:dyDescent="0.25">
      <c r="A462" t="s">
        <v>907</v>
      </c>
    </row>
    <row r="463" spans="1:1" x14ac:dyDescent="0.25">
      <c r="A463" t="s">
        <v>883</v>
      </c>
    </row>
    <row r="464" spans="1:1" x14ac:dyDescent="0.25">
      <c r="A464" t="s">
        <v>906</v>
      </c>
    </row>
    <row r="465" spans="1:1" x14ac:dyDescent="0.25">
      <c r="A465" t="s">
        <v>875</v>
      </c>
    </row>
    <row r="466" spans="1:1" x14ac:dyDescent="0.25">
      <c r="A466" t="s">
        <v>907</v>
      </c>
    </row>
    <row r="467" spans="1:1" x14ac:dyDescent="0.25">
      <c r="A467" t="s">
        <v>884</v>
      </c>
    </row>
    <row r="468" spans="1:1" x14ac:dyDescent="0.25">
      <c r="A468" t="s">
        <v>906</v>
      </c>
    </row>
    <row r="469" spans="1:1" x14ac:dyDescent="0.25">
      <c r="A469" t="s">
        <v>876</v>
      </c>
    </row>
    <row r="470" spans="1:1" x14ac:dyDescent="0.25">
      <c r="A470" t="s">
        <v>907</v>
      </c>
    </row>
    <row r="471" spans="1:1" x14ac:dyDescent="0.25">
      <c r="A471" t="s">
        <v>885</v>
      </c>
    </row>
    <row r="472" spans="1:1" x14ac:dyDescent="0.25">
      <c r="A472" t="s">
        <v>906</v>
      </c>
    </row>
    <row r="473" spans="1:1" x14ac:dyDescent="0.25">
      <c r="A473" t="s">
        <v>877</v>
      </c>
    </row>
    <row r="474" spans="1:1" x14ac:dyDescent="0.25">
      <c r="A474" t="s">
        <v>907</v>
      </c>
    </row>
    <row r="475" spans="1:1" x14ac:dyDescent="0.25">
      <c r="A475" t="s">
        <v>886</v>
      </c>
    </row>
    <row r="476" spans="1:1" x14ac:dyDescent="0.25">
      <c r="A476" t="s">
        <v>906</v>
      </c>
    </row>
    <row r="477" spans="1:1" x14ac:dyDescent="0.25">
      <c r="A477" t="s">
        <v>878</v>
      </c>
    </row>
    <row r="478" spans="1:1" x14ac:dyDescent="0.25">
      <c r="A478" t="s">
        <v>907</v>
      </c>
    </row>
    <row r="479" spans="1:1" x14ac:dyDescent="0.25">
      <c r="A479" t="s">
        <v>887</v>
      </c>
    </row>
    <row r="480" spans="1:1" x14ac:dyDescent="0.25">
      <c r="A480" t="s">
        <v>906</v>
      </c>
    </row>
    <row r="481" spans="1:1" x14ac:dyDescent="0.25">
      <c r="A481" t="s">
        <v>879</v>
      </c>
    </row>
    <row r="482" spans="1:1" x14ac:dyDescent="0.25">
      <c r="A482" t="s">
        <v>907</v>
      </c>
    </row>
    <row r="483" spans="1:1" x14ac:dyDescent="0.25">
      <c r="A483" t="s">
        <v>888</v>
      </c>
    </row>
    <row r="484" spans="1:1" x14ac:dyDescent="0.25">
      <c r="A484" t="s">
        <v>1052</v>
      </c>
    </row>
    <row r="485" spans="1:1" x14ac:dyDescent="0.25">
      <c r="A485" t="s">
        <v>906</v>
      </c>
    </row>
    <row r="486" spans="1:1" x14ac:dyDescent="0.25">
      <c r="A486" t="s">
        <v>801</v>
      </c>
    </row>
    <row r="487" spans="1:1" x14ac:dyDescent="0.25">
      <c r="A487" t="s">
        <v>907</v>
      </c>
    </row>
    <row r="488" spans="1:1" x14ac:dyDescent="0.25">
      <c r="A488" t="s">
        <v>880</v>
      </c>
    </row>
    <row r="489" spans="1:1" x14ac:dyDescent="0.25">
      <c r="A489" t="s">
        <v>906</v>
      </c>
    </row>
    <row r="490" spans="1:1" x14ac:dyDescent="0.25">
      <c r="A490" t="s">
        <v>870</v>
      </c>
    </row>
    <row r="491" spans="1:1" x14ac:dyDescent="0.25">
      <c r="A491" t="s">
        <v>907</v>
      </c>
    </row>
    <row r="492" spans="1:1" x14ac:dyDescent="0.25">
      <c r="A492" t="s">
        <v>881</v>
      </c>
    </row>
    <row r="493" spans="1:1" x14ac:dyDescent="0.25">
      <c r="A493" t="s">
        <v>906</v>
      </c>
    </row>
    <row r="494" spans="1:1" x14ac:dyDescent="0.25">
      <c r="A494" t="s">
        <v>873</v>
      </c>
    </row>
    <row r="495" spans="1:1" x14ac:dyDescent="0.25">
      <c r="A495" t="s">
        <v>907</v>
      </c>
    </row>
    <row r="496" spans="1:1" x14ac:dyDescent="0.25">
      <c r="A496" t="s">
        <v>882</v>
      </c>
    </row>
    <row r="497" spans="1:1" x14ac:dyDescent="0.25">
      <c r="A497" t="s">
        <v>906</v>
      </c>
    </row>
    <row r="498" spans="1:1" x14ac:dyDescent="0.25">
      <c r="A498" t="s">
        <v>874</v>
      </c>
    </row>
    <row r="499" spans="1:1" x14ac:dyDescent="0.25">
      <c r="A499" t="s">
        <v>907</v>
      </c>
    </row>
    <row r="500" spans="1:1" x14ac:dyDescent="0.25">
      <c r="A500" t="s">
        <v>883</v>
      </c>
    </row>
    <row r="501" spans="1:1" x14ac:dyDescent="0.25">
      <c r="A501" t="s">
        <v>906</v>
      </c>
    </row>
    <row r="502" spans="1:1" x14ac:dyDescent="0.25">
      <c r="A502" t="s">
        <v>875</v>
      </c>
    </row>
    <row r="503" spans="1:1" x14ac:dyDescent="0.25">
      <c r="A503" t="s">
        <v>907</v>
      </c>
    </row>
    <row r="504" spans="1:1" x14ac:dyDescent="0.25">
      <c r="A504" t="s">
        <v>884</v>
      </c>
    </row>
    <row r="505" spans="1:1" x14ac:dyDescent="0.25">
      <c r="A505" t="s">
        <v>906</v>
      </c>
    </row>
    <row r="506" spans="1:1" x14ac:dyDescent="0.25">
      <c r="A506" t="s">
        <v>876</v>
      </c>
    </row>
    <row r="507" spans="1:1" x14ac:dyDescent="0.25">
      <c r="A507" t="s">
        <v>907</v>
      </c>
    </row>
    <row r="508" spans="1:1" x14ac:dyDescent="0.25">
      <c r="A508" t="s">
        <v>885</v>
      </c>
    </row>
    <row r="509" spans="1:1" x14ac:dyDescent="0.25">
      <c r="A509" t="s">
        <v>906</v>
      </c>
    </row>
    <row r="510" spans="1:1" x14ac:dyDescent="0.25">
      <c r="A510" t="s">
        <v>877</v>
      </c>
    </row>
    <row r="511" spans="1:1" x14ac:dyDescent="0.25">
      <c r="A511" t="s">
        <v>907</v>
      </c>
    </row>
    <row r="512" spans="1:1" x14ac:dyDescent="0.25">
      <c r="A512" t="s">
        <v>886</v>
      </c>
    </row>
    <row r="513" spans="1:1" x14ac:dyDescent="0.25">
      <c r="A513" t="s">
        <v>906</v>
      </c>
    </row>
    <row r="514" spans="1:1" x14ac:dyDescent="0.25">
      <c r="A514" t="s">
        <v>878</v>
      </c>
    </row>
    <row r="515" spans="1:1" x14ac:dyDescent="0.25">
      <c r="A515" t="s">
        <v>907</v>
      </c>
    </row>
    <row r="516" spans="1:1" x14ac:dyDescent="0.25">
      <c r="A516" t="s">
        <v>887</v>
      </c>
    </row>
    <row r="517" spans="1:1" x14ac:dyDescent="0.25">
      <c r="A517" t="s">
        <v>906</v>
      </c>
    </row>
    <row r="518" spans="1:1" x14ac:dyDescent="0.25">
      <c r="A518" t="s">
        <v>879</v>
      </c>
    </row>
    <row r="519" spans="1:1" x14ac:dyDescent="0.25">
      <c r="A519" t="s">
        <v>907</v>
      </c>
    </row>
    <row r="520" spans="1:1" x14ac:dyDescent="0.25">
      <c r="A520" t="s">
        <v>888</v>
      </c>
    </row>
    <row r="521" spans="1:1" x14ac:dyDescent="0.25">
      <c r="A521" t="s">
        <v>897</v>
      </c>
    </row>
    <row r="522" spans="1:1" x14ac:dyDescent="0.25">
      <c r="A522" t="s">
        <v>903</v>
      </c>
    </row>
    <row r="523" spans="1:1" x14ac:dyDescent="0.25">
      <c r="A523" t="s">
        <v>1047</v>
      </c>
    </row>
    <row r="524" spans="1:1" x14ac:dyDescent="0.25">
      <c r="A524" t="s">
        <v>906</v>
      </c>
    </row>
    <row r="525" spans="1:1" x14ac:dyDescent="0.25">
      <c r="A525" t="s">
        <v>801</v>
      </c>
    </row>
    <row r="526" spans="1:1" x14ac:dyDescent="0.25">
      <c r="A526" t="s">
        <v>907</v>
      </c>
    </row>
    <row r="527" spans="1:1" x14ac:dyDescent="0.25">
      <c r="A527" t="s">
        <v>880</v>
      </c>
    </row>
    <row r="528" spans="1:1" x14ac:dyDescent="0.25">
      <c r="A528" t="s">
        <v>906</v>
      </c>
    </row>
    <row r="529" spans="1:1" x14ac:dyDescent="0.25">
      <c r="A529" t="s">
        <v>870</v>
      </c>
    </row>
    <row r="530" spans="1:1" x14ac:dyDescent="0.25">
      <c r="A530" t="s">
        <v>907</v>
      </c>
    </row>
    <row r="531" spans="1:1" x14ac:dyDescent="0.25">
      <c r="A531" t="s">
        <v>881</v>
      </c>
    </row>
    <row r="532" spans="1:1" x14ac:dyDescent="0.25">
      <c r="A532" t="s">
        <v>906</v>
      </c>
    </row>
    <row r="533" spans="1:1" x14ac:dyDescent="0.25">
      <c r="A533" t="s">
        <v>873</v>
      </c>
    </row>
    <row r="534" spans="1:1" x14ac:dyDescent="0.25">
      <c r="A534" t="s">
        <v>907</v>
      </c>
    </row>
    <row r="535" spans="1:1" x14ac:dyDescent="0.25">
      <c r="A535" t="s">
        <v>882</v>
      </c>
    </row>
    <row r="536" spans="1:1" x14ac:dyDescent="0.25">
      <c r="A536" t="s">
        <v>906</v>
      </c>
    </row>
    <row r="537" spans="1:1" x14ac:dyDescent="0.25">
      <c r="A537" t="s">
        <v>874</v>
      </c>
    </row>
    <row r="538" spans="1:1" x14ac:dyDescent="0.25">
      <c r="A538" t="s">
        <v>907</v>
      </c>
    </row>
    <row r="539" spans="1:1" x14ac:dyDescent="0.25">
      <c r="A539" t="s">
        <v>883</v>
      </c>
    </row>
    <row r="540" spans="1:1" x14ac:dyDescent="0.25">
      <c r="A540" t="s">
        <v>906</v>
      </c>
    </row>
    <row r="541" spans="1:1" x14ac:dyDescent="0.25">
      <c r="A541" t="s">
        <v>875</v>
      </c>
    </row>
    <row r="542" spans="1:1" x14ac:dyDescent="0.25">
      <c r="A542" t="s">
        <v>907</v>
      </c>
    </row>
    <row r="543" spans="1:1" x14ac:dyDescent="0.25">
      <c r="A543" t="s">
        <v>884</v>
      </c>
    </row>
    <row r="544" spans="1:1" x14ac:dyDescent="0.25">
      <c r="A544" t="s">
        <v>906</v>
      </c>
    </row>
    <row r="545" spans="1:1" x14ac:dyDescent="0.25">
      <c r="A545" t="s">
        <v>876</v>
      </c>
    </row>
    <row r="546" spans="1:1" x14ac:dyDescent="0.25">
      <c r="A546" t="s">
        <v>907</v>
      </c>
    </row>
    <row r="547" spans="1:1" x14ac:dyDescent="0.25">
      <c r="A547" t="s">
        <v>885</v>
      </c>
    </row>
    <row r="548" spans="1:1" x14ac:dyDescent="0.25">
      <c r="A548" t="s">
        <v>906</v>
      </c>
    </row>
    <row r="549" spans="1:1" x14ac:dyDescent="0.25">
      <c r="A549" t="s">
        <v>877</v>
      </c>
    </row>
    <row r="550" spans="1:1" x14ac:dyDescent="0.25">
      <c r="A550" t="s">
        <v>907</v>
      </c>
    </row>
    <row r="551" spans="1:1" x14ac:dyDescent="0.25">
      <c r="A551" t="s">
        <v>886</v>
      </c>
    </row>
    <row r="552" spans="1:1" x14ac:dyDescent="0.25">
      <c r="A552" t="s">
        <v>906</v>
      </c>
    </row>
    <row r="553" spans="1:1" x14ac:dyDescent="0.25">
      <c r="A553" t="s">
        <v>878</v>
      </c>
    </row>
    <row r="554" spans="1:1" x14ac:dyDescent="0.25">
      <c r="A554" t="s">
        <v>907</v>
      </c>
    </row>
    <row r="555" spans="1:1" x14ac:dyDescent="0.25">
      <c r="A555" t="s">
        <v>887</v>
      </c>
    </row>
    <row r="556" spans="1:1" x14ac:dyDescent="0.25">
      <c r="A556" t="s">
        <v>906</v>
      </c>
    </row>
    <row r="557" spans="1:1" x14ac:dyDescent="0.25">
      <c r="A557" t="s">
        <v>879</v>
      </c>
    </row>
    <row r="558" spans="1:1" x14ac:dyDescent="0.25">
      <c r="A558" t="s">
        <v>907</v>
      </c>
    </row>
    <row r="559" spans="1:1" x14ac:dyDescent="0.25">
      <c r="A559" t="s">
        <v>888</v>
      </c>
    </row>
    <row r="560" spans="1:1" x14ac:dyDescent="0.25">
      <c r="A560" t="s">
        <v>1052</v>
      </c>
    </row>
    <row r="561" spans="1:1" x14ac:dyDescent="0.25">
      <c r="A561" t="s">
        <v>906</v>
      </c>
    </row>
    <row r="562" spans="1:1" x14ac:dyDescent="0.25">
      <c r="A562" t="s">
        <v>801</v>
      </c>
    </row>
    <row r="563" spans="1:1" x14ac:dyDescent="0.25">
      <c r="A563" t="s">
        <v>907</v>
      </c>
    </row>
    <row r="564" spans="1:1" x14ac:dyDescent="0.25">
      <c r="A564" t="s">
        <v>880</v>
      </c>
    </row>
    <row r="565" spans="1:1" x14ac:dyDescent="0.25">
      <c r="A565" t="s">
        <v>906</v>
      </c>
    </row>
    <row r="566" spans="1:1" x14ac:dyDescent="0.25">
      <c r="A566" t="s">
        <v>870</v>
      </c>
    </row>
    <row r="567" spans="1:1" x14ac:dyDescent="0.25">
      <c r="A567" t="s">
        <v>907</v>
      </c>
    </row>
    <row r="568" spans="1:1" x14ac:dyDescent="0.25">
      <c r="A568" t="s">
        <v>881</v>
      </c>
    </row>
    <row r="569" spans="1:1" x14ac:dyDescent="0.25">
      <c r="A569" t="s">
        <v>906</v>
      </c>
    </row>
    <row r="570" spans="1:1" x14ac:dyDescent="0.25">
      <c r="A570" t="s">
        <v>873</v>
      </c>
    </row>
    <row r="571" spans="1:1" x14ac:dyDescent="0.25">
      <c r="A571" t="s">
        <v>907</v>
      </c>
    </row>
    <row r="572" spans="1:1" x14ac:dyDescent="0.25">
      <c r="A572" t="s">
        <v>882</v>
      </c>
    </row>
    <row r="573" spans="1:1" x14ac:dyDescent="0.25">
      <c r="A573" t="s">
        <v>906</v>
      </c>
    </row>
    <row r="574" spans="1:1" x14ac:dyDescent="0.25">
      <c r="A574" t="s">
        <v>874</v>
      </c>
    </row>
    <row r="575" spans="1:1" x14ac:dyDescent="0.25">
      <c r="A575" t="s">
        <v>907</v>
      </c>
    </row>
    <row r="576" spans="1:1" x14ac:dyDescent="0.25">
      <c r="A576" t="s">
        <v>883</v>
      </c>
    </row>
    <row r="577" spans="1:1" x14ac:dyDescent="0.25">
      <c r="A577" t="s">
        <v>906</v>
      </c>
    </row>
    <row r="578" spans="1:1" x14ac:dyDescent="0.25">
      <c r="A578" t="s">
        <v>875</v>
      </c>
    </row>
    <row r="579" spans="1:1" x14ac:dyDescent="0.25">
      <c r="A579" t="s">
        <v>907</v>
      </c>
    </row>
    <row r="580" spans="1:1" x14ac:dyDescent="0.25">
      <c r="A580" t="s">
        <v>884</v>
      </c>
    </row>
    <row r="581" spans="1:1" x14ac:dyDescent="0.25">
      <c r="A581" t="s">
        <v>906</v>
      </c>
    </row>
    <row r="582" spans="1:1" x14ac:dyDescent="0.25">
      <c r="A582" t="s">
        <v>876</v>
      </c>
    </row>
    <row r="583" spans="1:1" x14ac:dyDescent="0.25">
      <c r="A583" t="s">
        <v>907</v>
      </c>
    </row>
    <row r="584" spans="1:1" x14ac:dyDescent="0.25">
      <c r="A584" t="s">
        <v>885</v>
      </c>
    </row>
    <row r="585" spans="1:1" x14ac:dyDescent="0.25">
      <c r="A585" t="s">
        <v>906</v>
      </c>
    </row>
    <row r="586" spans="1:1" x14ac:dyDescent="0.25">
      <c r="A586" t="s">
        <v>877</v>
      </c>
    </row>
    <row r="587" spans="1:1" x14ac:dyDescent="0.25">
      <c r="A587" t="s">
        <v>907</v>
      </c>
    </row>
    <row r="588" spans="1:1" x14ac:dyDescent="0.25">
      <c r="A588" t="s">
        <v>886</v>
      </c>
    </row>
    <row r="589" spans="1:1" x14ac:dyDescent="0.25">
      <c r="A589" t="s">
        <v>906</v>
      </c>
    </row>
    <row r="590" spans="1:1" x14ac:dyDescent="0.25">
      <c r="A590" t="s">
        <v>878</v>
      </c>
    </row>
    <row r="591" spans="1:1" x14ac:dyDescent="0.25">
      <c r="A591" t="s">
        <v>907</v>
      </c>
    </row>
    <row r="592" spans="1:1" x14ac:dyDescent="0.25">
      <c r="A592" t="s">
        <v>887</v>
      </c>
    </row>
    <row r="593" spans="1:1" x14ac:dyDescent="0.25">
      <c r="A593" t="s">
        <v>906</v>
      </c>
    </row>
    <row r="594" spans="1:1" x14ac:dyDescent="0.25">
      <c r="A594" t="s">
        <v>879</v>
      </c>
    </row>
    <row r="595" spans="1:1" x14ac:dyDescent="0.25">
      <c r="A595" t="s">
        <v>907</v>
      </c>
    </row>
    <row r="596" spans="1:1" x14ac:dyDescent="0.25">
      <c r="A596" t="s">
        <v>888</v>
      </c>
    </row>
    <row r="597" spans="1:1" x14ac:dyDescent="0.25">
      <c r="A597" t="s">
        <v>897</v>
      </c>
    </row>
    <row r="598" spans="1:1" x14ac:dyDescent="0.25">
      <c r="A598" t="s">
        <v>904</v>
      </c>
    </row>
    <row r="599" spans="1:1" x14ac:dyDescent="0.25">
      <c r="A599" t="s">
        <v>1053</v>
      </c>
    </row>
    <row r="600" spans="1:1" x14ac:dyDescent="0.25">
      <c r="A600" t="s">
        <v>906</v>
      </c>
    </row>
    <row r="601" spans="1:1" x14ac:dyDescent="0.25">
      <c r="A601" t="s">
        <v>801</v>
      </c>
    </row>
    <row r="602" spans="1:1" x14ac:dyDescent="0.25">
      <c r="A602" t="s">
        <v>907</v>
      </c>
    </row>
    <row r="603" spans="1:1" x14ac:dyDescent="0.25">
      <c r="A603" t="s">
        <v>880</v>
      </c>
    </row>
    <row r="604" spans="1:1" x14ac:dyDescent="0.25">
      <c r="A604" t="s">
        <v>906</v>
      </c>
    </row>
    <row r="605" spans="1:1" x14ac:dyDescent="0.25">
      <c r="A605" t="s">
        <v>870</v>
      </c>
    </row>
    <row r="606" spans="1:1" x14ac:dyDescent="0.25">
      <c r="A606" t="s">
        <v>907</v>
      </c>
    </row>
    <row r="607" spans="1:1" x14ac:dyDescent="0.25">
      <c r="A607" t="s">
        <v>881</v>
      </c>
    </row>
    <row r="608" spans="1:1" x14ac:dyDescent="0.25">
      <c r="A608" t="s">
        <v>906</v>
      </c>
    </row>
    <row r="609" spans="1:1" x14ac:dyDescent="0.25">
      <c r="A609" t="s">
        <v>873</v>
      </c>
    </row>
    <row r="610" spans="1:1" x14ac:dyDescent="0.25">
      <c r="A610" t="s">
        <v>907</v>
      </c>
    </row>
    <row r="611" spans="1:1" x14ac:dyDescent="0.25">
      <c r="A611" t="s">
        <v>882</v>
      </c>
    </row>
    <row r="612" spans="1:1" x14ac:dyDescent="0.25">
      <c r="A612" t="s">
        <v>906</v>
      </c>
    </row>
    <row r="613" spans="1:1" x14ac:dyDescent="0.25">
      <c r="A613" t="s">
        <v>874</v>
      </c>
    </row>
    <row r="614" spans="1:1" x14ac:dyDescent="0.25">
      <c r="A614" t="s">
        <v>907</v>
      </c>
    </row>
    <row r="615" spans="1:1" x14ac:dyDescent="0.25">
      <c r="A615" t="s">
        <v>883</v>
      </c>
    </row>
    <row r="616" spans="1:1" x14ac:dyDescent="0.25">
      <c r="A616" t="s">
        <v>906</v>
      </c>
    </row>
    <row r="617" spans="1:1" x14ac:dyDescent="0.25">
      <c r="A617" t="s">
        <v>875</v>
      </c>
    </row>
    <row r="618" spans="1:1" x14ac:dyDescent="0.25">
      <c r="A618" t="s">
        <v>907</v>
      </c>
    </row>
    <row r="619" spans="1:1" x14ac:dyDescent="0.25">
      <c r="A619" t="s">
        <v>884</v>
      </c>
    </row>
    <row r="620" spans="1:1" x14ac:dyDescent="0.25">
      <c r="A620" t="s">
        <v>906</v>
      </c>
    </row>
    <row r="621" spans="1:1" x14ac:dyDescent="0.25">
      <c r="A621" t="s">
        <v>876</v>
      </c>
    </row>
    <row r="622" spans="1:1" x14ac:dyDescent="0.25">
      <c r="A622" t="s">
        <v>907</v>
      </c>
    </row>
    <row r="623" spans="1:1" x14ac:dyDescent="0.25">
      <c r="A623" t="s">
        <v>885</v>
      </c>
    </row>
    <row r="624" spans="1:1" x14ac:dyDescent="0.25">
      <c r="A624" t="s">
        <v>906</v>
      </c>
    </row>
    <row r="625" spans="1:1" x14ac:dyDescent="0.25">
      <c r="A625" t="s">
        <v>877</v>
      </c>
    </row>
    <row r="626" spans="1:1" x14ac:dyDescent="0.25">
      <c r="A626" t="s">
        <v>907</v>
      </c>
    </row>
    <row r="627" spans="1:1" x14ac:dyDescent="0.25">
      <c r="A627" t="s">
        <v>886</v>
      </c>
    </row>
    <row r="628" spans="1:1" x14ac:dyDescent="0.25">
      <c r="A628" t="s">
        <v>906</v>
      </c>
    </row>
    <row r="629" spans="1:1" x14ac:dyDescent="0.25">
      <c r="A629" t="s">
        <v>878</v>
      </c>
    </row>
    <row r="630" spans="1:1" x14ac:dyDescent="0.25">
      <c r="A630" t="s">
        <v>907</v>
      </c>
    </row>
    <row r="631" spans="1:1" x14ac:dyDescent="0.25">
      <c r="A631" t="s">
        <v>887</v>
      </c>
    </row>
    <row r="632" spans="1:1" x14ac:dyDescent="0.25">
      <c r="A632" t="s">
        <v>906</v>
      </c>
    </row>
    <row r="633" spans="1:1" x14ac:dyDescent="0.25">
      <c r="A633" t="s">
        <v>879</v>
      </c>
    </row>
    <row r="634" spans="1:1" x14ac:dyDescent="0.25">
      <c r="A634" t="s">
        <v>907</v>
      </c>
    </row>
    <row r="635" spans="1:1" x14ac:dyDescent="0.25">
      <c r="A635" t="s">
        <v>888</v>
      </c>
    </row>
    <row r="636" spans="1:1" x14ac:dyDescent="0.25">
      <c r="A636" t="s">
        <v>1052</v>
      </c>
    </row>
    <row r="637" spans="1:1" x14ac:dyDescent="0.25">
      <c r="A637" t="s">
        <v>906</v>
      </c>
    </row>
    <row r="638" spans="1:1" x14ac:dyDescent="0.25">
      <c r="A638" t="s">
        <v>801</v>
      </c>
    </row>
    <row r="639" spans="1:1" x14ac:dyDescent="0.25">
      <c r="A639" t="s">
        <v>907</v>
      </c>
    </row>
    <row r="640" spans="1:1" x14ac:dyDescent="0.25">
      <c r="A640" t="s">
        <v>880</v>
      </c>
    </row>
    <row r="641" spans="1:1" x14ac:dyDescent="0.25">
      <c r="A641" t="s">
        <v>906</v>
      </c>
    </row>
    <row r="642" spans="1:1" x14ac:dyDescent="0.25">
      <c r="A642" t="s">
        <v>870</v>
      </c>
    </row>
    <row r="643" spans="1:1" x14ac:dyDescent="0.25">
      <c r="A643" t="s">
        <v>907</v>
      </c>
    </row>
    <row r="644" spans="1:1" x14ac:dyDescent="0.25">
      <c r="A644" t="s">
        <v>881</v>
      </c>
    </row>
    <row r="645" spans="1:1" x14ac:dyDescent="0.25">
      <c r="A645" t="s">
        <v>906</v>
      </c>
    </row>
    <row r="646" spans="1:1" x14ac:dyDescent="0.25">
      <c r="A646" t="s">
        <v>873</v>
      </c>
    </row>
    <row r="647" spans="1:1" x14ac:dyDescent="0.25">
      <c r="A647" t="s">
        <v>907</v>
      </c>
    </row>
    <row r="648" spans="1:1" x14ac:dyDescent="0.25">
      <c r="A648" t="s">
        <v>882</v>
      </c>
    </row>
    <row r="649" spans="1:1" x14ac:dyDescent="0.25">
      <c r="A649" t="s">
        <v>906</v>
      </c>
    </row>
    <row r="650" spans="1:1" x14ac:dyDescent="0.25">
      <c r="A650" t="s">
        <v>874</v>
      </c>
    </row>
    <row r="651" spans="1:1" x14ac:dyDescent="0.25">
      <c r="A651" t="s">
        <v>907</v>
      </c>
    </row>
    <row r="652" spans="1:1" x14ac:dyDescent="0.25">
      <c r="A652" t="s">
        <v>883</v>
      </c>
    </row>
    <row r="653" spans="1:1" x14ac:dyDescent="0.25">
      <c r="A653" t="s">
        <v>906</v>
      </c>
    </row>
    <row r="654" spans="1:1" x14ac:dyDescent="0.25">
      <c r="A654" t="s">
        <v>875</v>
      </c>
    </row>
    <row r="655" spans="1:1" x14ac:dyDescent="0.25">
      <c r="A655" t="s">
        <v>907</v>
      </c>
    </row>
    <row r="656" spans="1:1" x14ac:dyDescent="0.25">
      <c r="A656" t="s">
        <v>884</v>
      </c>
    </row>
    <row r="657" spans="1:1" x14ac:dyDescent="0.25">
      <c r="A657" t="s">
        <v>906</v>
      </c>
    </row>
    <row r="658" spans="1:1" x14ac:dyDescent="0.25">
      <c r="A658" t="s">
        <v>876</v>
      </c>
    </row>
    <row r="659" spans="1:1" x14ac:dyDescent="0.25">
      <c r="A659" t="s">
        <v>907</v>
      </c>
    </row>
    <row r="660" spans="1:1" x14ac:dyDescent="0.25">
      <c r="A660" t="s">
        <v>885</v>
      </c>
    </row>
    <row r="661" spans="1:1" x14ac:dyDescent="0.25">
      <c r="A661" t="s">
        <v>906</v>
      </c>
    </row>
    <row r="662" spans="1:1" x14ac:dyDescent="0.25">
      <c r="A662" t="s">
        <v>877</v>
      </c>
    </row>
    <row r="663" spans="1:1" x14ac:dyDescent="0.25">
      <c r="A663" t="s">
        <v>907</v>
      </c>
    </row>
    <row r="664" spans="1:1" x14ac:dyDescent="0.25">
      <c r="A664" t="s">
        <v>886</v>
      </c>
    </row>
    <row r="665" spans="1:1" x14ac:dyDescent="0.25">
      <c r="A665" t="s">
        <v>906</v>
      </c>
    </row>
    <row r="666" spans="1:1" x14ac:dyDescent="0.25">
      <c r="A666" t="s">
        <v>878</v>
      </c>
    </row>
    <row r="667" spans="1:1" x14ac:dyDescent="0.25">
      <c r="A667" t="s">
        <v>907</v>
      </c>
    </row>
    <row r="668" spans="1:1" x14ac:dyDescent="0.25">
      <c r="A668" t="s">
        <v>887</v>
      </c>
    </row>
    <row r="669" spans="1:1" x14ac:dyDescent="0.25">
      <c r="A669" t="s">
        <v>906</v>
      </c>
    </row>
    <row r="670" spans="1:1" x14ac:dyDescent="0.25">
      <c r="A670" t="s">
        <v>879</v>
      </c>
    </row>
    <row r="671" spans="1:1" x14ac:dyDescent="0.25">
      <c r="A671" t="s">
        <v>907</v>
      </c>
    </row>
    <row r="672" spans="1:1" x14ac:dyDescent="0.25">
      <c r="A672" t="s">
        <v>888</v>
      </c>
    </row>
    <row r="673" spans="1:1" x14ac:dyDescent="0.25">
      <c r="A673" t="s">
        <v>897</v>
      </c>
    </row>
    <row r="674" spans="1:1" x14ac:dyDescent="0.25">
      <c r="A674" t="s">
        <v>905</v>
      </c>
    </row>
    <row r="675" spans="1:1" x14ac:dyDescent="0.25">
      <c r="A675" t="s">
        <v>1058</v>
      </c>
    </row>
    <row r="676" spans="1:1" x14ac:dyDescent="0.25">
      <c r="A676" t="s">
        <v>906</v>
      </c>
    </row>
    <row r="677" spans="1:1" x14ac:dyDescent="0.25">
      <c r="A677" t="s">
        <v>801</v>
      </c>
    </row>
    <row r="678" spans="1:1" x14ac:dyDescent="0.25">
      <c r="A678" t="s">
        <v>907</v>
      </c>
    </row>
    <row r="679" spans="1:1" x14ac:dyDescent="0.25">
      <c r="A679" t="s">
        <v>880</v>
      </c>
    </row>
    <row r="680" spans="1:1" x14ac:dyDescent="0.25">
      <c r="A680" t="s">
        <v>906</v>
      </c>
    </row>
    <row r="681" spans="1:1" x14ac:dyDescent="0.25">
      <c r="A681" t="s">
        <v>870</v>
      </c>
    </row>
    <row r="682" spans="1:1" x14ac:dyDescent="0.25">
      <c r="A682" t="s">
        <v>907</v>
      </c>
    </row>
    <row r="683" spans="1:1" x14ac:dyDescent="0.25">
      <c r="A683" t="s">
        <v>881</v>
      </c>
    </row>
    <row r="684" spans="1:1" x14ac:dyDescent="0.25">
      <c r="A684" t="s">
        <v>906</v>
      </c>
    </row>
    <row r="685" spans="1:1" x14ac:dyDescent="0.25">
      <c r="A685" t="s">
        <v>873</v>
      </c>
    </row>
    <row r="686" spans="1:1" x14ac:dyDescent="0.25">
      <c r="A686" t="s">
        <v>907</v>
      </c>
    </row>
    <row r="687" spans="1:1" x14ac:dyDescent="0.25">
      <c r="A687" t="s">
        <v>882</v>
      </c>
    </row>
    <row r="688" spans="1:1" x14ac:dyDescent="0.25">
      <c r="A688" t="s">
        <v>906</v>
      </c>
    </row>
    <row r="689" spans="1:1" x14ac:dyDescent="0.25">
      <c r="A689" t="s">
        <v>874</v>
      </c>
    </row>
    <row r="690" spans="1:1" x14ac:dyDescent="0.25">
      <c r="A690" t="s">
        <v>907</v>
      </c>
    </row>
    <row r="691" spans="1:1" x14ac:dyDescent="0.25">
      <c r="A691" t="s">
        <v>883</v>
      </c>
    </row>
    <row r="692" spans="1:1" x14ac:dyDescent="0.25">
      <c r="A692" t="s">
        <v>906</v>
      </c>
    </row>
    <row r="693" spans="1:1" x14ac:dyDescent="0.25">
      <c r="A693" t="s">
        <v>875</v>
      </c>
    </row>
    <row r="694" spans="1:1" x14ac:dyDescent="0.25">
      <c r="A694" t="s">
        <v>907</v>
      </c>
    </row>
    <row r="695" spans="1:1" x14ac:dyDescent="0.25">
      <c r="A695" t="s">
        <v>884</v>
      </c>
    </row>
    <row r="696" spans="1:1" x14ac:dyDescent="0.25">
      <c r="A696" t="s">
        <v>906</v>
      </c>
    </row>
    <row r="697" spans="1:1" x14ac:dyDescent="0.25">
      <c r="A697" t="s">
        <v>876</v>
      </c>
    </row>
    <row r="698" spans="1:1" x14ac:dyDescent="0.25">
      <c r="A698" t="s">
        <v>907</v>
      </c>
    </row>
    <row r="699" spans="1:1" x14ac:dyDescent="0.25">
      <c r="A699" t="s">
        <v>885</v>
      </c>
    </row>
    <row r="700" spans="1:1" x14ac:dyDescent="0.25">
      <c r="A700" t="s">
        <v>906</v>
      </c>
    </row>
    <row r="701" spans="1:1" x14ac:dyDescent="0.25">
      <c r="A701" t="s">
        <v>877</v>
      </c>
    </row>
    <row r="702" spans="1:1" x14ac:dyDescent="0.25">
      <c r="A702" t="s">
        <v>907</v>
      </c>
    </row>
    <row r="703" spans="1:1" x14ac:dyDescent="0.25">
      <c r="A703" t="s">
        <v>886</v>
      </c>
    </row>
    <row r="704" spans="1:1" x14ac:dyDescent="0.25">
      <c r="A704" t="s">
        <v>906</v>
      </c>
    </row>
    <row r="705" spans="1:1" x14ac:dyDescent="0.25">
      <c r="A705" t="s">
        <v>878</v>
      </c>
    </row>
    <row r="706" spans="1:1" x14ac:dyDescent="0.25">
      <c r="A706" t="s">
        <v>907</v>
      </c>
    </row>
    <row r="707" spans="1:1" x14ac:dyDescent="0.25">
      <c r="A707" t="s">
        <v>887</v>
      </c>
    </row>
    <row r="708" spans="1:1" x14ac:dyDescent="0.25">
      <c r="A708" t="s">
        <v>906</v>
      </c>
    </row>
    <row r="709" spans="1:1" x14ac:dyDescent="0.25">
      <c r="A709" t="s">
        <v>879</v>
      </c>
    </row>
    <row r="710" spans="1:1" x14ac:dyDescent="0.25">
      <c r="A710" t="s">
        <v>907</v>
      </c>
    </row>
    <row r="711" spans="1:1" x14ac:dyDescent="0.25">
      <c r="A711" t="s">
        <v>888</v>
      </c>
    </row>
    <row r="713" spans="1:1" x14ac:dyDescent="0.25">
      <c r="A713" t="s">
        <v>638</v>
      </c>
    </row>
    <row r="715" spans="1:1" x14ac:dyDescent="0.25">
      <c r="A715" t="s">
        <v>491</v>
      </c>
    </row>
    <row r="716" spans="1:1" x14ac:dyDescent="0.25">
      <c r="A716" t="s">
        <v>492</v>
      </c>
    </row>
    <row r="717" spans="1:1" x14ac:dyDescent="0.25">
      <c r="A717" t="s">
        <v>493</v>
      </c>
    </row>
    <row r="718" spans="1:1" x14ac:dyDescent="0.25">
      <c r="A718" t="s">
        <v>439</v>
      </c>
    </row>
    <row r="720" spans="1:1" x14ac:dyDescent="0.25">
      <c r="A720" t="s">
        <v>494</v>
      </c>
    </row>
    <row r="721" spans="1:1" x14ac:dyDescent="0.25">
      <c r="A721" t="s">
        <v>495</v>
      </c>
    </row>
    <row r="723" spans="1:1" x14ac:dyDescent="0.25">
      <c r="A723" t="s">
        <v>639</v>
      </c>
    </row>
    <row r="724" spans="1:1" x14ac:dyDescent="0.25">
      <c r="A724" t="s">
        <v>640</v>
      </c>
    </row>
    <row r="726" spans="1:1" x14ac:dyDescent="0.25">
      <c r="A726" t="s">
        <v>496</v>
      </c>
    </row>
    <row r="727" spans="1:1" x14ac:dyDescent="0.25">
      <c r="A727" t="s">
        <v>641</v>
      </c>
    </row>
    <row r="729" spans="1:1" x14ac:dyDescent="0.25">
      <c r="A729" t="s">
        <v>693</v>
      </c>
    </row>
    <row r="730" spans="1:1" x14ac:dyDescent="0.25">
      <c r="A730" t="s">
        <v>772</v>
      </c>
    </row>
    <row r="732" spans="1:1" x14ac:dyDescent="0.25">
      <c r="A732" t="s">
        <v>498</v>
      </c>
    </row>
    <row r="733" spans="1:1" x14ac:dyDescent="0.25">
      <c r="A733" t="s">
        <v>643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42"/>
  <sheetViews>
    <sheetView workbookViewId="0">
      <selection activeCell="A6" sqref="A6:A8"/>
    </sheetView>
  </sheetViews>
  <sheetFormatPr defaultRowHeight="15" x14ac:dyDescent="0.25"/>
  <sheetData>
    <row r="1" spans="1:1" x14ac:dyDescent="0.25">
      <c r="A1" t="s">
        <v>613</v>
      </c>
    </row>
    <row r="2" spans="1:1" x14ac:dyDescent="0.25">
      <c r="A2" s="89" t="s">
        <v>612</v>
      </c>
    </row>
    <row r="6" spans="1:1" x14ac:dyDescent="0.25">
      <c r="A6" s="141" t="s">
        <v>626</v>
      </c>
    </row>
    <row r="7" spans="1:1" x14ac:dyDescent="0.25">
      <c r="A7" t="s">
        <v>629</v>
      </c>
    </row>
    <row r="8" spans="1:1" x14ac:dyDescent="0.25">
      <c r="A8" t="s">
        <v>630</v>
      </c>
    </row>
    <row r="15" spans="1:1" x14ac:dyDescent="0.25">
      <c r="A15" t="s">
        <v>627</v>
      </c>
    </row>
    <row r="16" spans="1:1" x14ac:dyDescent="0.25">
      <c r="A16" t="s">
        <v>620</v>
      </c>
    </row>
    <row r="17" spans="1:1" x14ac:dyDescent="0.25">
      <c r="A17" t="s">
        <v>624</v>
      </c>
    </row>
    <row r="18" spans="1:1" x14ac:dyDescent="0.25">
      <c r="A18" t="s">
        <v>621</v>
      </c>
    </row>
    <row r="20" spans="1:1" x14ac:dyDescent="0.25">
      <c r="A20" t="s">
        <v>625</v>
      </c>
    </row>
    <row r="24" spans="1:1" x14ac:dyDescent="0.25">
      <c r="A24" t="s">
        <v>628</v>
      </c>
    </row>
    <row r="25" spans="1:1" x14ac:dyDescent="0.25">
      <c r="A25" t="s">
        <v>611</v>
      </c>
    </row>
    <row r="26" spans="1:1" x14ac:dyDescent="0.25">
      <c r="A26" t="s">
        <v>552</v>
      </c>
    </row>
    <row r="27" spans="1:1" x14ac:dyDescent="0.25">
      <c r="A27" t="s">
        <v>610</v>
      </c>
    </row>
    <row r="28" spans="1:1" x14ac:dyDescent="0.25">
      <c r="A28" t="s">
        <v>609</v>
      </c>
    </row>
    <row r="30" spans="1:1" x14ac:dyDescent="0.25">
      <c r="A30" t="s">
        <v>625</v>
      </c>
    </row>
    <row r="34" spans="1:1" x14ac:dyDescent="0.25">
      <c r="A34" t="s">
        <v>605</v>
      </c>
    </row>
    <row r="35" spans="1:1" x14ac:dyDescent="0.25">
      <c r="A35" t="s">
        <v>606</v>
      </c>
    </row>
    <row r="37" spans="1:1" x14ac:dyDescent="0.25">
      <c r="A37" t="s">
        <v>625</v>
      </c>
    </row>
    <row r="41" spans="1:1" x14ac:dyDescent="0.25">
      <c r="A41" t="s">
        <v>607</v>
      </c>
    </row>
    <row r="42" spans="1:1" x14ac:dyDescent="0.25">
      <c r="A42" t="s">
        <v>608</v>
      </c>
    </row>
  </sheetData>
  <phoneticPr fontId="9" type="noConversion"/>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11A2381-6922-413F-BA4F-340F34FD9335}">
  <ds:schemaRefs>
    <ds:schemaRef ds:uri="http://schemas.microsoft.com/sharepoint/v3/contenttype/forms"/>
  </ds:schemaRefs>
</ds:datastoreItem>
</file>

<file path=customXml/itemProps2.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35</vt:i4>
      </vt:variant>
    </vt:vector>
  </HeadingPairs>
  <TitlesOfParts>
    <vt:vector size="48" baseType="lpstr">
      <vt:lpstr>Main Sheet</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Changelog</vt:lpstr>
      <vt:lpstr>BarbLength</vt:lpstr>
      <vt:lpstr>BarbRepeats</vt:lpstr>
      <vt:lpstr>BarbSpacing</vt:lpstr>
      <vt:lpstr>BedTemp</vt:lpstr>
      <vt:lpstr>BridgePrintSpeed</vt:lpstr>
      <vt:lpstr>BridgeSupportWidth</vt:lpstr>
      <vt:lpstr>ConcreteExtrusionHeight</vt:lpstr>
      <vt:lpstr>ConcreteExtrusionSpacing</vt:lpstr>
      <vt:lpstr>ConcreteExtrusionWidth</vt:lpstr>
      <vt:lpstr>ConcreteLayerHeight</vt:lpstr>
      <vt:lpstr>ConcretePrimeLength</vt:lpstr>
      <vt:lpstr>ConcretePrimeX</vt:lpstr>
      <vt:lpstr>ConcretePrimeY</vt:lpstr>
      <vt:lpstr>FanSpeed</vt:lpstr>
      <vt:lpstr>Height</vt:lpstr>
      <vt:lpstr>Length</vt:lpstr>
      <vt:lpstr>NozzleFeedratePrinting</vt:lpstr>
      <vt:lpstr>NozzleFeedrateTravelling</vt:lpstr>
      <vt:lpstr>NozzleTemp</vt:lpstr>
      <vt:lpstr>PlasticExtrusionHeight</vt:lpstr>
      <vt:lpstr>PlasticExtrusionSpacing</vt:lpstr>
      <vt:lpstr>PlasticExtrusionWidth</vt:lpstr>
      <vt:lpstr>PlasticLayerHeight</vt:lpstr>
      <vt:lpstr>PlasticPrintSpeedCurves</vt:lpstr>
      <vt:lpstr>PlasticPrintSpeedStraight</vt:lpstr>
      <vt:lpstr>RebarHeight</vt:lpstr>
      <vt:lpstr>RebarLength</vt:lpstr>
      <vt:lpstr>RebarRepeats</vt:lpstr>
      <vt:lpstr>RebarStartHeight</vt:lpstr>
      <vt:lpstr>RebarWidth</vt:lpstr>
      <vt:lpstr>StartTool</vt:lpstr>
      <vt:lpstr>StartX</vt:lpstr>
      <vt:lpstr>StartY</vt:lpstr>
      <vt:lpstr>Width</vt:lpstr>
      <vt:lpstr>Zoffset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William Makinen</cp:lastModifiedBy>
  <dcterms:created xsi:type="dcterms:W3CDTF">2019-02-26T06:58:24Z</dcterms:created>
  <dcterms:modified xsi:type="dcterms:W3CDTF">2022-03-27T18:18:29Z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